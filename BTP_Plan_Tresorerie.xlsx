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pothèses" sheetId="1" state="visible" r:id="rId1"/>
    <sheet name="Revenus" sheetId="2" state="visible" r:id="rId2"/>
    <sheet name="Dépenses détaillées" sheetId="3" state="visible" r:id="rId3"/>
    <sheet name="Plan de trésorerie" sheetId="4" state="visible" r:id="rId4"/>
    <sheet name="Benchmarks &amp; 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€"/>
    <numFmt numFmtId="165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1F4E78"/>
      <sz val="15"/>
    </font>
    <font>
      <name val="Arial"/>
      <i val="1"/>
      <color rgb="00595959"/>
      <sz val="10"/>
    </font>
    <font>
      <name val="Arial"/>
      <color rgb="00000000"/>
      <sz val="10"/>
    </font>
    <font>
      <name val="Arial"/>
      <color rgb="001F4E78"/>
      <sz val="10"/>
    </font>
    <font>
      <name val="Arial"/>
      <i val="1"/>
      <color rgb="007F7F7F"/>
      <sz val="9"/>
    </font>
    <font>
      <name val="Arial"/>
      <color rgb="002E7D32"/>
      <sz val="10"/>
    </font>
    <font>
      <name val="Arial"/>
      <b val="1"/>
      <color rgb="00FFFFFF"/>
      <sz val="10"/>
    </font>
    <font>
      <name val="Arial"/>
      <b val="1"/>
      <color rgb="001F4E78"/>
      <sz val="10"/>
    </font>
    <font>
      <name val="Arial"/>
      <b val="1"/>
      <color rgb="00FFFFFF"/>
      <sz val="9"/>
    </font>
    <font>
      <name val="Arial"/>
      <b val="1"/>
      <color rgb="00000000"/>
      <sz val="10"/>
    </font>
    <font>
      <name val="Arial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B6"/>
        <bgColor rgb="00FCE4B6"/>
      </patternFill>
    </fill>
    <fill>
      <patternFill patternType="solid">
        <fgColor rgb="002E5395"/>
        <bgColor rgb="002E5395"/>
      </patternFill>
    </fill>
    <fill>
      <patternFill patternType="solid">
        <fgColor rgb="003E6FB0"/>
        <bgColor rgb="003E6FB0"/>
      </patternFill>
    </fill>
    <fill>
      <patternFill patternType="solid">
        <fgColor rgb="005B8BC4"/>
        <bgColor rgb="005B8BC4"/>
      </patternFill>
    </fill>
    <fill>
      <patternFill patternType="solid">
        <fgColor rgb="00D9E2F3"/>
        <bgColor rgb="00D9E2F3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0" fontId="5" fillId="0" borderId="0" pivotButton="0" quotePrefix="0" xfId="0"/>
    <xf numFmtId="165" fontId="3" fillId="0" borderId="0" pivotButton="0" quotePrefix="0" xfId="0"/>
    <xf numFmtId="164" fontId="6" fillId="0" borderId="0" pivotButton="0" quotePrefix="0" xfId="0"/>
    <xf numFmtId="0" fontId="7" fillId="2" borderId="1" applyAlignment="1" pivotButton="0" quotePrefix="0" xfId="0">
      <alignment horizontal="center"/>
    </xf>
    <xf numFmtId="4" fontId="4" fillId="0" borderId="1" pivotButton="0" quotePrefix="0" xfId="0"/>
    <xf numFmtId="165" fontId="3" fillId="0" borderId="1" pivotButton="0" quotePrefix="0" xfId="0"/>
    <xf numFmtId="0" fontId="8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0" fillId="3" borderId="0" pivotButton="0" quotePrefix="0" xfId="0"/>
    <xf numFmtId="0" fontId="9" fillId="4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wrapText="1"/>
    </xf>
    <xf numFmtId="0" fontId="7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164" fontId="6" fillId="0" borderId="1" pivotButton="0" quotePrefix="0" xfId="0"/>
    <xf numFmtId="164" fontId="3" fillId="0" borderId="1" pivotButton="0" quotePrefix="0" xfId="0"/>
    <xf numFmtId="0" fontId="10" fillId="7" borderId="0" pivotButton="0" quotePrefix="0" xfId="0"/>
    <xf numFmtId="164" fontId="10" fillId="7" borderId="1" pivotButton="0" quotePrefix="0" xfId="0"/>
    <xf numFmtId="165" fontId="5" fillId="0" borderId="0" pivotButton="0" quotePrefix="0" xfId="0"/>
    <xf numFmtId="0" fontId="3" fillId="0" borderId="1" pivotButton="0" quotePrefix="0" xfId="0"/>
    <xf numFmtId="3" fontId="4" fillId="0" borderId="1" pivotButton="0" quotePrefix="0" xfId="0"/>
    <xf numFmtId="0" fontId="5" fillId="0" borderId="1" applyAlignment="1" pivotButton="0" quotePrefix="0" xfId="0">
      <alignment wrapText="1"/>
    </xf>
    <xf numFmtId="0" fontId="5" fillId="0" borderId="1" pivotButton="0" quotePrefix="0" xfId="0"/>
    <xf numFmtId="0" fontId="0" fillId="0" borderId="1" pivotButton="0" quotePrefix="0" xfId="0"/>
    <xf numFmtId="4" fontId="3" fillId="0" borderId="1" pivotButton="0" quotePrefix="0" xfId="0"/>
    <xf numFmtId="4" fontId="4" fillId="3" borderId="1" pivotButton="0" quotePrefix="0" xfId="0"/>
    <xf numFmtId="0" fontId="0" fillId="7" borderId="0" pivotButton="0" quotePrefix="0" xfId="0"/>
    <xf numFmtId="0" fontId="7" fillId="2" borderId="0" pivotButton="0" quotePrefix="0" xfId="0"/>
    <xf numFmtId="0" fontId="0" fillId="2" borderId="0" pivotButton="0" quotePrefix="0" xfId="0"/>
    <xf numFmtId="164" fontId="7" fillId="2" borderId="1" pivotButton="0" quotePrefix="0" xfId="0"/>
    <xf numFmtId="165" fontId="6" fillId="0" borderId="0" pivotButton="0" quotePrefix="0" xfId="0"/>
    <xf numFmtId="0" fontId="10" fillId="0" borderId="0" pivotButton="0" quotePrefix="0" xfId="0"/>
    <xf numFmtId="0" fontId="11" fillId="8" borderId="0" pivotButton="0" quotePrefix="0" xfId="0"/>
    <xf numFmtId="164" fontId="10" fillId="0" borderId="1" pivotButton="0" quotePrefix="0" xfId="0"/>
    <xf numFmtId="0" fontId="3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</cols>
  <sheetData>
    <row r="1" ht="22" customHeight="1">
      <c r="A1" s="1" t="inlineStr">
        <is>
          <t>Entreprise de BTP (gros œuvre / maçonnerie) — Hypothèses</t>
        </is>
      </c>
    </row>
    <row r="2" ht="16" customHeight="1">
      <c r="A2" s="2" t="inlineStr">
        <is>
          <t>Métier : petite entreprise de gros œuvre/maçonnerie | CA cible ≈ 1,5 M€ en Année 1, sur 3 ans | Cellules bleues = modifiables</t>
        </is>
      </c>
    </row>
    <row r="4">
      <c r="A4" s="3" t="inlineStr">
        <is>
          <t>Chiffre d'affaires annuel HT — Année 1 (€)</t>
        </is>
      </c>
      <c r="C4" s="4" t="n">
        <v>1500000</v>
      </c>
    </row>
    <row r="5">
      <c r="A5" s="3" t="inlineStr">
        <is>
          <t>Taux de TVA moyen sur les ventes (%)</t>
        </is>
      </c>
      <c r="C5" s="5" t="n">
        <v>0.2</v>
      </c>
    </row>
    <row r="6">
      <c r="A6" s="3" t="inlineStr">
        <is>
          <t>Taux de TVA moyen sur les achats (%)</t>
        </is>
      </c>
      <c r="C6" s="5" t="n">
        <v>0.2</v>
      </c>
    </row>
    <row r="7">
      <c r="A7" s="3" t="inlineStr">
        <is>
          <t>Trésorerie disponible au 1er janvier Année 1 (€)</t>
        </is>
      </c>
      <c r="C7" s="4" t="n">
        <v>40000</v>
      </c>
    </row>
    <row r="8">
      <c r="A8" s="3" t="inlineStr">
        <is>
          <t>Cotisations sociales du dirigeant (TNS) — par trimestre, Année 1 (€)</t>
        </is>
      </c>
      <c r="C8" s="4" t="n">
        <v>4500</v>
      </c>
    </row>
    <row r="9">
      <c r="A9" s="3" t="inlineStr">
        <is>
          <t>Remboursement emprunts matériel/véhicules — mensualité fixe (€)</t>
        </is>
      </c>
      <c r="C9" s="4" t="n">
        <v>1200</v>
      </c>
    </row>
    <row r="10">
      <c r="A10" s="3" t="inlineStr">
        <is>
          <t>Part du CA encaissée le mois même (%)</t>
        </is>
      </c>
      <c r="C10" s="5" t="n">
        <v>0</v>
      </c>
    </row>
    <row r="11">
      <c r="A11" s="3" t="inlineStr">
        <is>
          <t>Part du CA encaissée à M-1 (30 jours) (%)</t>
        </is>
      </c>
      <c r="C11" s="5" t="n">
        <v>0.5</v>
      </c>
    </row>
    <row r="12">
      <c r="A12" s="3" t="inlineStr">
        <is>
          <t>Part du CA encaissée à M-2 (60 jours) (%)</t>
        </is>
      </c>
      <c r="C12" s="5" t="n">
        <v>0.5</v>
      </c>
      <c r="D12" s="6" t="inlineStr">
        <is>
          <t>Contrôle (doit = 100%)</t>
        </is>
      </c>
      <c r="E12" s="7">
        <f>C10+C11+C12</f>
        <v/>
      </c>
    </row>
    <row r="13">
      <c r="A13" s="3" t="inlineStr">
        <is>
          <t>Taux de croissance du CA — par an (%)</t>
        </is>
      </c>
      <c r="C13" s="5" t="n">
        <v>0.025</v>
      </c>
    </row>
    <row r="14">
      <c r="A14" s="3" t="inlineStr">
        <is>
          <t>Taux d'inflation des prix d'achat — par an (%)</t>
        </is>
      </c>
      <c r="C14" s="5" t="n">
        <v>0.035</v>
      </c>
    </row>
    <row r="15">
      <c r="A15" s="3" t="inlineStr">
        <is>
          <t>CA TTC mensuel moyen — amorçage M-1/M-2 avant janvier Année 1 (€)</t>
        </is>
      </c>
      <c r="C15" s="8">
        <f>Revenus!$AM$12/12</f>
        <v/>
      </c>
    </row>
    <row r="17">
      <c r="A17" s="3" t="inlineStr">
        <is>
          <t>Mois (motif répété chaque année)</t>
        </is>
      </c>
      <c r="C17" s="9" t="inlineStr">
        <is>
          <t>Jan</t>
        </is>
      </c>
      <c r="D17" s="9" t="inlineStr">
        <is>
          <t>Fév</t>
        </is>
      </c>
      <c r="E17" s="9" t="inlineStr">
        <is>
          <t>Mar</t>
        </is>
      </c>
      <c r="F17" s="9" t="inlineStr">
        <is>
          <t>Avr</t>
        </is>
      </c>
      <c r="G17" s="9" t="inlineStr">
        <is>
          <t>Mai</t>
        </is>
      </c>
      <c r="H17" s="9" t="inlineStr">
        <is>
          <t>Jui</t>
        </is>
      </c>
      <c r="I17" s="9" t="inlineStr">
        <is>
          <t>Jui</t>
        </is>
      </c>
      <c r="J17" s="9" t="inlineStr">
        <is>
          <t>Aoû</t>
        </is>
      </c>
      <c r="K17" s="9" t="inlineStr">
        <is>
          <t>Sep</t>
        </is>
      </c>
      <c r="L17" s="9" t="inlineStr">
        <is>
          <t>Oct</t>
        </is>
      </c>
      <c r="M17" s="9" t="inlineStr">
        <is>
          <t>Nov</t>
        </is>
      </c>
      <c r="N17" s="9" t="inlineStr">
        <is>
          <t>Déc</t>
        </is>
      </c>
    </row>
    <row r="18">
      <c r="A18" s="3" t="inlineStr">
        <is>
          <t>Indice de saisonnalité (1 = mois moyen)</t>
        </is>
      </c>
      <c r="C18" s="10" t="n">
        <v>0.85</v>
      </c>
      <c r="D18" s="10" t="n">
        <v>0.9</v>
      </c>
      <c r="E18" s="10" t="n">
        <v>1</v>
      </c>
      <c r="F18" s="10" t="n">
        <v>1.05</v>
      </c>
      <c r="G18" s="10" t="n">
        <v>1.05</v>
      </c>
      <c r="H18" s="10" t="n">
        <v>1.1</v>
      </c>
      <c r="I18" s="10" t="n">
        <v>1.05</v>
      </c>
      <c r="J18" s="10" t="n">
        <v>0.55</v>
      </c>
      <c r="K18" s="10" t="n">
        <v>1.05</v>
      </c>
      <c r="L18" s="10" t="n">
        <v>1.1</v>
      </c>
      <c r="M18" s="10" t="n">
        <v>1.05</v>
      </c>
      <c r="N18" s="10" t="n">
        <v>0.8</v>
      </c>
    </row>
    <row r="19">
      <c r="A19" s="3" t="inlineStr">
        <is>
          <t>Poids du mois dans l'année (%, normalisé)</t>
        </is>
      </c>
      <c r="C19" s="11">
        <f>C18/SUM($C$18:$N$18)</f>
        <v/>
      </c>
      <c r="D19" s="11">
        <f>D18/SUM($C$18:$N$18)</f>
        <v/>
      </c>
      <c r="E19" s="11">
        <f>E18/SUM($C$18:$N$18)</f>
        <v/>
      </c>
      <c r="F19" s="11">
        <f>F18/SUM($C$18:$N$18)</f>
        <v/>
      </c>
      <c r="G19" s="11">
        <f>G18/SUM($C$18:$N$18)</f>
        <v/>
      </c>
      <c r="H19" s="11">
        <f>H18/SUM($C$18:$N$18)</f>
        <v/>
      </c>
      <c r="I19" s="11">
        <f>I18/SUM($C$18:$N$18)</f>
        <v/>
      </c>
      <c r="J19" s="11">
        <f>J18/SUM($C$18:$N$18)</f>
        <v/>
      </c>
      <c r="K19" s="11">
        <f>K18/SUM($C$18:$N$18)</f>
        <v/>
      </c>
      <c r="L19" s="11">
        <f>L18/SUM($C$18:$N$18)</f>
        <v/>
      </c>
      <c r="M19" s="11">
        <f>M18/SUM($C$18:$N$18)</f>
        <v/>
      </c>
      <c r="N19" s="11">
        <f>N18/SUM($C$18:$N$18)</f>
        <v/>
      </c>
    </row>
    <row r="21" ht="28" customHeight="1">
      <c r="A21" s="6" t="inlineStr">
        <is>
          <t>Note saisonnalité : -45% en août (congés BTP traditionnels), -20% en janvier et -15% en décembre (intempéries, jours fériés, fin de chantiers). Motif répété chaque année.</t>
        </is>
      </c>
    </row>
    <row r="22" ht="28" customHeight="1">
      <c r="A22" s="6" t="inlineStr">
        <is>
          <t>Note délai de paiement : 45 jours en moyenne (entre 30 et 60j net) → modélisé par un encaissement réparti 50%/50% sur M-1 et M-2. C'est le principal facteur de tension de trésorerie du BTP.</t>
        </is>
      </c>
    </row>
    <row r="23" ht="28" customHeight="1">
      <c r="A23" s="6" t="inlineStr">
        <is>
          <t>Note évolution 3 ans : le CA croît de 2,5%/an mais les prix d'achat augmentent de 3,5%/an → compression progressive de la marge. Les lignes acier, carburants et électricité utilisent une simulation de fluctuation mensuelle réaliste (pas une inflation lissée).</t>
        </is>
      </c>
    </row>
    <row r="25">
      <c r="A25" s="12" t="inlineStr">
        <is>
          <t>Légende</t>
        </is>
      </c>
    </row>
    <row r="26">
      <c r="A26" s="13" t="inlineStr">
        <is>
          <t>■</t>
        </is>
      </c>
      <c r="B26" s="6" t="inlineStr">
        <is>
          <t>Saisie modifiable (hypothèse)</t>
        </is>
      </c>
    </row>
    <row r="27">
      <c r="A27" s="3" t="inlineStr">
        <is>
          <t>■</t>
        </is>
      </c>
      <c r="B27" s="6" t="inlineStr">
        <is>
          <t>Formule calculée automatiquement</t>
        </is>
      </c>
    </row>
    <row r="28">
      <c r="A28" s="14" t="inlineStr">
        <is>
          <t>■</t>
        </is>
      </c>
      <c r="B28" s="6" t="inlineStr">
        <is>
          <t>Lien vers un autre onglet</t>
        </is>
      </c>
    </row>
    <row r="29">
      <c r="A29" s="15" t="inlineStr">
        <is>
          <t>■</t>
        </is>
      </c>
      <c r="B29" s="6" t="inlineStr">
        <is>
          <t>Prix indicatif en attente de connexion à une API de prix de marché (voir onglet Benchmarks &amp; sources)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</cols>
  <sheetData>
    <row r="1" ht="22" customHeight="1">
      <c r="A1" s="1" t="inlineStr">
        <is>
          <t>BTP — Revenus mensuels (facturation travaux, 3 ans)</t>
        </is>
      </c>
    </row>
    <row r="2" ht="16" customHeight="1">
      <c r="A2" s="2" t="inlineStr">
        <is>
          <t>Répartition du CA par type de chantier × saisonnalité de l'activité × croissance annuelle</t>
        </is>
      </c>
    </row>
    <row r="3" ht="14" customHeight="1">
      <c r="C3" s="16" t="inlineStr">
        <is>
          <t>ANNÉE 1</t>
        </is>
      </c>
      <c r="O3" s="17" t="inlineStr">
        <is>
          <t>ANNÉE 2</t>
        </is>
      </c>
      <c r="AA3" s="18" t="inlineStr">
        <is>
          <t>ANNÉE 3</t>
        </is>
      </c>
    </row>
    <row r="4" ht="16" customHeight="1">
      <c r="A4" s="19" t="inlineStr">
        <is>
          <t>Source de revenus</t>
        </is>
      </c>
      <c r="B4" s="20" t="inlineStr">
        <is>
          <t>% du CA annuel</t>
        </is>
      </c>
      <c r="C4" s="21" t="inlineStr">
        <is>
          <t>Jan A1</t>
        </is>
      </c>
      <c r="D4" s="21" t="inlineStr">
        <is>
          <t>Fév A1</t>
        </is>
      </c>
      <c r="E4" s="21" t="inlineStr">
        <is>
          <t>Mar A1</t>
        </is>
      </c>
      <c r="F4" s="21" t="inlineStr">
        <is>
          <t>Avr A1</t>
        </is>
      </c>
      <c r="G4" s="21" t="inlineStr">
        <is>
          <t>Mai A1</t>
        </is>
      </c>
      <c r="H4" s="21" t="inlineStr">
        <is>
          <t>Jui A1</t>
        </is>
      </c>
      <c r="I4" s="21" t="inlineStr">
        <is>
          <t>Jui A1</t>
        </is>
      </c>
      <c r="J4" s="21" t="inlineStr">
        <is>
          <t>Aoû A1</t>
        </is>
      </c>
      <c r="K4" s="21" t="inlineStr">
        <is>
          <t>Sep A1</t>
        </is>
      </c>
      <c r="L4" s="21" t="inlineStr">
        <is>
          <t>Oct A1</t>
        </is>
      </c>
      <c r="M4" s="21" t="inlineStr">
        <is>
          <t>Nov A1</t>
        </is>
      </c>
      <c r="N4" s="21" t="inlineStr">
        <is>
          <t>Déc A1</t>
        </is>
      </c>
      <c r="O4" s="21" t="inlineStr">
        <is>
          <t>Jan A2</t>
        </is>
      </c>
      <c r="P4" s="21" t="inlineStr">
        <is>
          <t>Fév A2</t>
        </is>
      </c>
      <c r="Q4" s="21" t="inlineStr">
        <is>
          <t>Mar A2</t>
        </is>
      </c>
      <c r="R4" s="21" t="inlineStr">
        <is>
          <t>Avr A2</t>
        </is>
      </c>
      <c r="S4" s="21" t="inlineStr">
        <is>
          <t>Mai A2</t>
        </is>
      </c>
      <c r="T4" s="21" t="inlineStr">
        <is>
          <t>Jui A2</t>
        </is>
      </c>
      <c r="U4" s="21" t="inlineStr">
        <is>
          <t>Jui A2</t>
        </is>
      </c>
      <c r="V4" s="21" t="inlineStr">
        <is>
          <t>Aoû A2</t>
        </is>
      </c>
      <c r="W4" s="21" t="inlineStr">
        <is>
          <t>Sep A2</t>
        </is>
      </c>
      <c r="X4" s="21" t="inlineStr">
        <is>
          <t>Oct A2</t>
        </is>
      </c>
      <c r="Y4" s="21" t="inlineStr">
        <is>
          <t>Nov A2</t>
        </is>
      </c>
      <c r="Z4" s="21" t="inlineStr">
        <is>
          <t>Déc A2</t>
        </is>
      </c>
      <c r="AA4" s="21" t="inlineStr">
        <is>
          <t>Jan A3</t>
        </is>
      </c>
      <c r="AB4" s="21" t="inlineStr">
        <is>
          <t>Fév A3</t>
        </is>
      </c>
      <c r="AC4" s="21" t="inlineStr">
        <is>
          <t>Mar A3</t>
        </is>
      </c>
      <c r="AD4" s="21" t="inlineStr">
        <is>
          <t>Avr A3</t>
        </is>
      </c>
      <c r="AE4" s="21" t="inlineStr">
        <is>
          <t>Mai A3</t>
        </is>
      </c>
      <c r="AF4" s="21" t="inlineStr">
        <is>
          <t>Jui A3</t>
        </is>
      </c>
      <c r="AG4" s="21" t="inlineStr">
        <is>
          <t>Jui A3</t>
        </is>
      </c>
      <c r="AH4" s="21" t="inlineStr">
        <is>
          <t>Aoû A3</t>
        </is>
      </c>
      <c r="AI4" s="21" t="inlineStr">
        <is>
          <t>Sep A3</t>
        </is>
      </c>
      <c r="AJ4" s="21" t="inlineStr">
        <is>
          <t>Oct A3</t>
        </is>
      </c>
      <c r="AK4" s="21" t="inlineStr">
        <is>
          <t>Nov A3</t>
        </is>
      </c>
      <c r="AL4" s="21" t="inlineStr">
        <is>
          <t>Déc A3</t>
        </is>
      </c>
      <c r="AM4" s="22" t="inlineStr">
        <is>
          <t>Total A1</t>
        </is>
      </c>
      <c r="AN4" s="22" t="inlineStr">
        <is>
          <t>Total A2</t>
        </is>
      </c>
      <c r="AO4" s="22" t="inlineStr">
        <is>
          <t>Total A3</t>
        </is>
      </c>
      <c r="AP4" s="22" t="inlineStr">
        <is>
          <t>Total 3 ans</t>
        </is>
      </c>
    </row>
    <row r="5">
      <c r="A5" s="3" t="inlineStr">
        <is>
          <t>Gros œuvre — maisons individuelles (neuf)</t>
        </is>
      </c>
      <c r="B5" s="5" t="n">
        <v>0.45</v>
      </c>
      <c r="C5" s="23">
        <f>Hypothèses!$C$4*$B5*Hypothèses!C$19*(1+Hypothèses!$C$13)^0</f>
        <v/>
      </c>
      <c r="D5" s="23">
        <f>Hypothèses!$C$4*$B5*Hypothèses!D$19*(1+Hypothèses!$C$13)^0</f>
        <v/>
      </c>
      <c r="E5" s="23">
        <f>Hypothèses!$C$4*$B5*Hypothèses!E$19*(1+Hypothèses!$C$13)^0</f>
        <v/>
      </c>
      <c r="F5" s="23">
        <f>Hypothèses!$C$4*$B5*Hypothèses!F$19*(1+Hypothèses!$C$13)^0</f>
        <v/>
      </c>
      <c r="G5" s="23">
        <f>Hypothèses!$C$4*$B5*Hypothèses!G$19*(1+Hypothèses!$C$13)^0</f>
        <v/>
      </c>
      <c r="H5" s="23">
        <f>Hypothèses!$C$4*$B5*Hypothèses!H$19*(1+Hypothèses!$C$13)^0</f>
        <v/>
      </c>
      <c r="I5" s="23">
        <f>Hypothèses!$C$4*$B5*Hypothèses!I$19*(1+Hypothèses!$C$13)^0</f>
        <v/>
      </c>
      <c r="J5" s="23">
        <f>Hypothèses!$C$4*$B5*Hypothèses!J$19*(1+Hypothèses!$C$13)^0</f>
        <v/>
      </c>
      <c r="K5" s="23">
        <f>Hypothèses!$C$4*$B5*Hypothèses!K$19*(1+Hypothèses!$C$13)^0</f>
        <v/>
      </c>
      <c r="L5" s="23">
        <f>Hypothèses!$C$4*$B5*Hypothèses!L$19*(1+Hypothèses!$C$13)^0</f>
        <v/>
      </c>
      <c r="M5" s="23">
        <f>Hypothèses!$C$4*$B5*Hypothèses!M$19*(1+Hypothèses!$C$13)^0</f>
        <v/>
      </c>
      <c r="N5" s="23">
        <f>Hypothèses!$C$4*$B5*Hypothèses!N$19*(1+Hypothèses!$C$13)^0</f>
        <v/>
      </c>
      <c r="O5" s="23">
        <f>Hypothèses!$C$4*$B5*Hypothèses!C$19*(1+Hypothèses!$C$13)^1</f>
        <v/>
      </c>
      <c r="P5" s="23">
        <f>Hypothèses!$C$4*$B5*Hypothèses!D$19*(1+Hypothèses!$C$13)^1</f>
        <v/>
      </c>
      <c r="Q5" s="23">
        <f>Hypothèses!$C$4*$B5*Hypothèses!E$19*(1+Hypothèses!$C$13)^1</f>
        <v/>
      </c>
      <c r="R5" s="23">
        <f>Hypothèses!$C$4*$B5*Hypothèses!F$19*(1+Hypothèses!$C$13)^1</f>
        <v/>
      </c>
      <c r="S5" s="23">
        <f>Hypothèses!$C$4*$B5*Hypothèses!G$19*(1+Hypothèses!$C$13)^1</f>
        <v/>
      </c>
      <c r="T5" s="23">
        <f>Hypothèses!$C$4*$B5*Hypothèses!H$19*(1+Hypothèses!$C$13)^1</f>
        <v/>
      </c>
      <c r="U5" s="23">
        <f>Hypothèses!$C$4*$B5*Hypothèses!I$19*(1+Hypothèses!$C$13)^1</f>
        <v/>
      </c>
      <c r="V5" s="23">
        <f>Hypothèses!$C$4*$B5*Hypothèses!J$19*(1+Hypothèses!$C$13)^1</f>
        <v/>
      </c>
      <c r="W5" s="23">
        <f>Hypothèses!$C$4*$B5*Hypothèses!K$19*(1+Hypothèses!$C$13)^1</f>
        <v/>
      </c>
      <c r="X5" s="23">
        <f>Hypothèses!$C$4*$B5*Hypothèses!L$19*(1+Hypothèses!$C$13)^1</f>
        <v/>
      </c>
      <c r="Y5" s="23">
        <f>Hypothèses!$C$4*$B5*Hypothèses!M$19*(1+Hypothèses!$C$13)^1</f>
        <v/>
      </c>
      <c r="Z5" s="23">
        <f>Hypothèses!$C$4*$B5*Hypothèses!N$19*(1+Hypothèses!$C$13)^1</f>
        <v/>
      </c>
      <c r="AA5" s="23">
        <f>Hypothèses!$C$4*$B5*Hypothèses!C$19*(1+Hypothèses!$C$13)^2</f>
        <v/>
      </c>
      <c r="AB5" s="23">
        <f>Hypothèses!$C$4*$B5*Hypothèses!D$19*(1+Hypothèses!$C$13)^2</f>
        <v/>
      </c>
      <c r="AC5" s="23">
        <f>Hypothèses!$C$4*$B5*Hypothèses!E$19*(1+Hypothèses!$C$13)^2</f>
        <v/>
      </c>
      <c r="AD5" s="23">
        <f>Hypothèses!$C$4*$B5*Hypothèses!F$19*(1+Hypothèses!$C$13)^2</f>
        <v/>
      </c>
      <c r="AE5" s="23">
        <f>Hypothèses!$C$4*$B5*Hypothèses!G$19*(1+Hypothèses!$C$13)^2</f>
        <v/>
      </c>
      <c r="AF5" s="23">
        <f>Hypothèses!$C$4*$B5*Hypothèses!H$19*(1+Hypothèses!$C$13)^2</f>
        <v/>
      </c>
      <c r="AG5" s="23">
        <f>Hypothèses!$C$4*$B5*Hypothèses!I$19*(1+Hypothèses!$C$13)^2</f>
        <v/>
      </c>
      <c r="AH5" s="23">
        <f>Hypothèses!$C$4*$B5*Hypothèses!J$19*(1+Hypothèses!$C$13)^2</f>
        <v/>
      </c>
      <c r="AI5" s="23">
        <f>Hypothèses!$C$4*$B5*Hypothèses!K$19*(1+Hypothèses!$C$13)^2</f>
        <v/>
      </c>
      <c r="AJ5" s="23">
        <f>Hypothèses!$C$4*$B5*Hypothèses!L$19*(1+Hypothèses!$C$13)^2</f>
        <v/>
      </c>
      <c r="AK5" s="23">
        <f>Hypothèses!$C$4*$B5*Hypothèses!M$19*(1+Hypothèses!$C$13)^2</f>
        <v/>
      </c>
      <c r="AL5" s="23">
        <f>Hypothèses!$C$4*$B5*Hypothèses!N$19*(1+Hypothèses!$C$13)^2</f>
        <v/>
      </c>
      <c r="AM5" s="24">
        <f>SUM(C5:N5)</f>
        <v/>
      </c>
      <c r="AN5" s="24">
        <f>SUM(O5:Z5)</f>
        <v/>
      </c>
      <c r="AO5" s="24">
        <f>SUM(AA5:AL5)</f>
        <v/>
      </c>
      <c r="AP5" s="24">
        <f>SUM(AM5:AO5)</f>
        <v/>
      </c>
    </row>
    <row r="6">
      <c r="A6" s="3" t="inlineStr">
        <is>
          <t>Gros œuvre — logements collectifs / marchés</t>
        </is>
      </c>
      <c r="B6" s="5" t="n">
        <v>0.3</v>
      </c>
      <c r="C6" s="23">
        <f>Hypothèses!$C$4*$B6*Hypothèses!C$19*(1+Hypothèses!$C$13)^0</f>
        <v/>
      </c>
      <c r="D6" s="23">
        <f>Hypothèses!$C$4*$B6*Hypothèses!D$19*(1+Hypothèses!$C$13)^0</f>
        <v/>
      </c>
      <c r="E6" s="23">
        <f>Hypothèses!$C$4*$B6*Hypothèses!E$19*(1+Hypothèses!$C$13)^0</f>
        <v/>
      </c>
      <c r="F6" s="23">
        <f>Hypothèses!$C$4*$B6*Hypothèses!F$19*(1+Hypothèses!$C$13)^0</f>
        <v/>
      </c>
      <c r="G6" s="23">
        <f>Hypothèses!$C$4*$B6*Hypothèses!G$19*(1+Hypothèses!$C$13)^0</f>
        <v/>
      </c>
      <c r="H6" s="23">
        <f>Hypothèses!$C$4*$B6*Hypothèses!H$19*(1+Hypothèses!$C$13)^0</f>
        <v/>
      </c>
      <c r="I6" s="23">
        <f>Hypothèses!$C$4*$B6*Hypothèses!I$19*(1+Hypothèses!$C$13)^0</f>
        <v/>
      </c>
      <c r="J6" s="23">
        <f>Hypothèses!$C$4*$B6*Hypothèses!J$19*(1+Hypothèses!$C$13)^0</f>
        <v/>
      </c>
      <c r="K6" s="23">
        <f>Hypothèses!$C$4*$B6*Hypothèses!K$19*(1+Hypothèses!$C$13)^0</f>
        <v/>
      </c>
      <c r="L6" s="23">
        <f>Hypothèses!$C$4*$B6*Hypothèses!L$19*(1+Hypothèses!$C$13)^0</f>
        <v/>
      </c>
      <c r="M6" s="23">
        <f>Hypothèses!$C$4*$B6*Hypothèses!M$19*(1+Hypothèses!$C$13)^0</f>
        <v/>
      </c>
      <c r="N6" s="23">
        <f>Hypothèses!$C$4*$B6*Hypothèses!N$19*(1+Hypothèses!$C$13)^0</f>
        <v/>
      </c>
      <c r="O6" s="23">
        <f>Hypothèses!$C$4*$B6*Hypothèses!C$19*(1+Hypothèses!$C$13)^1</f>
        <v/>
      </c>
      <c r="P6" s="23">
        <f>Hypothèses!$C$4*$B6*Hypothèses!D$19*(1+Hypothèses!$C$13)^1</f>
        <v/>
      </c>
      <c r="Q6" s="23">
        <f>Hypothèses!$C$4*$B6*Hypothèses!E$19*(1+Hypothèses!$C$13)^1</f>
        <v/>
      </c>
      <c r="R6" s="23">
        <f>Hypothèses!$C$4*$B6*Hypothèses!F$19*(1+Hypothèses!$C$13)^1</f>
        <v/>
      </c>
      <c r="S6" s="23">
        <f>Hypothèses!$C$4*$B6*Hypothèses!G$19*(1+Hypothèses!$C$13)^1</f>
        <v/>
      </c>
      <c r="T6" s="23">
        <f>Hypothèses!$C$4*$B6*Hypothèses!H$19*(1+Hypothèses!$C$13)^1</f>
        <v/>
      </c>
      <c r="U6" s="23">
        <f>Hypothèses!$C$4*$B6*Hypothèses!I$19*(1+Hypothèses!$C$13)^1</f>
        <v/>
      </c>
      <c r="V6" s="23">
        <f>Hypothèses!$C$4*$B6*Hypothèses!J$19*(1+Hypothèses!$C$13)^1</f>
        <v/>
      </c>
      <c r="W6" s="23">
        <f>Hypothèses!$C$4*$B6*Hypothèses!K$19*(1+Hypothèses!$C$13)^1</f>
        <v/>
      </c>
      <c r="X6" s="23">
        <f>Hypothèses!$C$4*$B6*Hypothèses!L$19*(1+Hypothèses!$C$13)^1</f>
        <v/>
      </c>
      <c r="Y6" s="23">
        <f>Hypothèses!$C$4*$B6*Hypothèses!M$19*(1+Hypothèses!$C$13)^1</f>
        <v/>
      </c>
      <c r="Z6" s="23">
        <f>Hypothèses!$C$4*$B6*Hypothèses!N$19*(1+Hypothèses!$C$13)^1</f>
        <v/>
      </c>
      <c r="AA6" s="23">
        <f>Hypothèses!$C$4*$B6*Hypothèses!C$19*(1+Hypothèses!$C$13)^2</f>
        <v/>
      </c>
      <c r="AB6" s="23">
        <f>Hypothèses!$C$4*$B6*Hypothèses!D$19*(1+Hypothèses!$C$13)^2</f>
        <v/>
      </c>
      <c r="AC6" s="23">
        <f>Hypothèses!$C$4*$B6*Hypothèses!E$19*(1+Hypothèses!$C$13)^2</f>
        <v/>
      </c>
      <c r="AD6" s="23">
        <f>Hypothèses!$C$4*$B6*Hypothèses!F$19*(1+Hypothèses!$C$13)^2</f>
        <v/>
      </c>
      <c r="AE6" s="23">
        <f>Hypothèses!$C$4*$B6*Hypothèses!G$19*(1+Hypothèses!$C$13)^2</f>
        <v/>
      </c>
      <c r="AF6" s="23">
        <f>Hypothèses!$C$4*$B6*Hypothèses!H$19*(1+Hypothèses!$C$13)^2</f>
        <v/>
      </c>
      <c r="AG6" s="23">
        <f>Hypothèses!$C$4*$B6*Hypothèses!I$19*(1+Hypothèses!$C$13)^2</f>
        <v/>
      </c>
      <c r="AH6" s="23">
        <f>Hypothèses!$C$4*$B6*Hypothèses!J$19*(1+Hypothèses!$C$13)^2</f>
        <v/>
      </c>
      <c r="AI6" s="23">
        <f>Hypothèses!$C$4*$B6*Hypothèses!K$19*(1+Hypothèses!$C$13)^2</f>
        <v/>
      </c>
      <c r="AJ6" s="23">
        <f>Hypothèses!$C$4*$B6*Hypothèses!L$19*(1+Hypothèses!$C$13)^2</f>
        <v/>
      </c>
      <c r="AK6" s="23">
        <f>Hypothèses!$C$4*$B6*Hypothèses!M$19*(1+Hypothèses!$C$13)^2</f>
        <v/>
      </c>
      <c r="AL6" s="23">
        <f>Hypothèses!$C$4*$B6*Hypothèses!N$19*(1+Hypothèses!$C$13)^2</f>
        <v/>
      </c>
      <c r="AM6" s="24">
        <f>SUM(C6:N6)</f>
        <v/>
      </c>
      <c r="AN6" s="24">
        <f>SUM(O6:Z6)</f>
        <v/>
      </c>
      <c r="AO6" s="24">
        <f>SUM(AA6:AL6)</f>
        <v/>
      </c>
      <c r="AP6" s="24">
        <f>SUM(AM6:AO6)</f>
        <v/>
      </c>
    </row>
    <row r="7">
      <c r="A7" s="3" t="inlineStr">
        <is>
          <t>Rénovation / extension / réhabilitation</t>
        </is>
      </c>
      <c r="B7" s="5" t="n">
        <v>0.2</v>
      </c>
      <c r="C7" s="23">
        <f>Hypothèses!$C$4*$B7*Hypothèses!C$19*(1+Hypothèses!$C$13)^0</f>
        <v/>
      </c>
      <c r="D7" s="23">
        <f>Hypothèses!$C$4*$B7*Hypothèses!D$19*(1+Hypothèses!$C$13)^0</f>
        <v/>
      </c>
      <c r="E7" s="23">
        <f>Hypothèses!$C$4*$B7*Hypothèses!E$19*(1+Hypothèses!$C$13)^0</f>
        <v/>
      </c>
      <c r="F7" s="23">
        <f>Hypothèses!$C$4*$B7*Hypothèses!F$19*(1+Hypothèses!$C$13)^0</f>
        <v/>
      </c>
      <c r="G7" s="23">
        <f>Hypothèses!$C$4*$B7*Hypothèses!G$19*(1+Hypothèses!$C$13)^0</f>
        <v/>
      </c>
      <c r="H7" s="23">
        <f>Hypothèses!$C$4*$B7*Hypothèses!H$19*(1+Hypothèses!$C$13)^0</f>
        <v/>
      </c>
      <c r="I7" s="23">
        <f>Hypothèses!$C$4*$B7*Hypothèses!I$19*(1+Hypothèses!$C$13)^0</f>
        <v/>
      </c>
      <c r="J7" s="23">
        <f>Hypothèses!$C$4*$B7*Hypothèses!J$19*(1+Hypothèses!$C$13)^0</f>
        <v/>
      </c>
      <c r="K7" s="23">
        <f>Hypothèses!$C$4*$B7*Hypothèses!K$19*(1+Hypothèses!$C$13)^0</f>
        <v/>
      </c>
      <c r="L7" s="23">
        <f>Hypothèses!$C$4*$B7*Hypothèses!L$19*(1+Hypothèses!$C$13)^0</f>
        <v/>
      </c>
      <c r="M7" s="23">
        <f>Hypothèses!$C$4*$B7*Hypothèses!M$19*(1+Hypothèses!$C$13)^0</f>
        <v/>
      </c>
      <c r="N7" s="23">
        <f>Hypothèses!$C$4*$B7*Hypothèses!N$19*(1+Hypothèses!$C$13)^0</f>
        <v/>
      </c>
      <c r="O7" s="23">
        <f>Hypothèses!$C$4*$B7*Hypothèses!C$19*(1+Hypothèses!$C$13)^1</f>
        <v/>
      </c>
      <c r="P7" s="23">
        <f>Hypothèses!$C$4*$B7*Hypothèses!D$19*(1+Hypothèses!$C$13)^1</f>
        <v/>
      </c>
      <c r="Q7" s="23">
        <f>Hypothèses!$C$4*$B7*Hypothèses!E$19*(1+Hypothèses!$C$13)^1</f>
        <v/>
      </c>
      <c r="R7" s="23">
        <f>Hypothèses!$C$4*$B7*Hypothèses!F$19*(1+Hypothèses!$C$13)^1</f>
        <v/>
      </c>
      <c r="S7" s="23">
        <f>Hypothèses!$C$4*$B7*Hypothèses!G$19*(1+Hypothèses!$C$13)^1</f>
        <v/>
      </c>
      <c r="T7" s="23">
        <f>Hypothèses!$C$4*$B7*Hypothèses!H$19*(1+Hypothèses!$C$13)^1</f>
        <v/>
      </c>
      <c r="U7" s="23">
        <f>Hypothèses!$C$4*$B7*Hypothèses!I$19*(1+Hypothèses!$C$13)^1</f>
        <v/>
      </c>
      <c r="V7" s="23">
        <f>Hypothèses!$C$4*$B7*Hypothèses!J$19*(1+Hypothèses!$C$13)^1</f>
        <v/>
      </c>
      <c r="W7" s="23">
        <f>Hypothèses!$C$4*$B7*Hypothèses!K$19*(1+Hypothèses!$C$13)^1</f>
        <v/>
      </c>
      <c r="X7" s="23">
        <f>Hypothèses!$C$4*$B7*Hypothèses!L$19*(1+Hypothèses!$C$13)^1</f>
        <v/>
      </c>
      <c r="Y7" s="23">
        <f>Hypothèses!$C$4*$B7*Hypothèses!M$19*(1+Hypothèses!$C$13)^1</f>
        <v/>
      </c>
      <c r="Z7" s="23">
        <f>Hypothèses!$C$4*$B7*Hypothèses!N$19*(1+Hypothèses!$C$13)^1</f>
        <v/>
      </c>
      <c r="AA7" s="23">
        <f>Hypothèses!$C$4*$B7*Hypothèses!C$19*(1+Hypothèses!$C$13)^2</f>
        <v/>
      </c>
      <c r="AB7" s="23">
        <f>Hypothèses!$C$4*$B7*Hypothèses!D$19*(1+Hypothèses!$C$13)^2</f>
        <v/>
      </c>
      <c r="AC7" s="23">
        <f>Hypothèses!$C$4*$B7*Hypothèses!E$19*(1+Hypothèses!$C$13)^2</f>
        <v/>
      </c>
      <c r="AD7" s="23">
        <f>Hypothèses!$C$4*$B7*Hypothèses!F$19*(1+Hypothèses!$C$13)^2</f>
        <v/>
      </c>
      <c r="AE7" s="23">
        <f>Hypothèses!$C$4*$B7*Hypothèses!G$19*(1+Hypothèses!$C$13)^2</f>
        <v/>
      </c>
      <c r="AF7" s="23">
        <f>Hypothèses!$C$4*$B7*Hypothèses!H$19*(1+Hypothèses!$C$13)^2</f>
        <v/>
      </c>
      <c r="AG7" s="23">
        <f>Hypothèses!$C$4*$B7*Hypothèses!I$19*(1+Hypothèses!$C$13)^2</f>
        <v/>
      </c>
      <c r="AH7" s="23">
        <f>Hypothèses!$C$4*$B7*Hypothèses!J$19*(1+Hypothèses!$C$13)^2</f>
        <v/>
      </c>
      <c r="AI7" s="23">
        <f>Hypothèses!$C$4*$B7*Hypothèses!K$19*(1+Hypothèses!$C$13)^2</f>
        <v/>
      </c>
      <c r="AJ7" s="23">
        <f>Hypothèses!$C$4*$B7*Hypothèses!L$19*(1+Hypothèses!$C$13)^2</f>
        <v/>
      </c>
      <c r="AK7" s="23">
        <f>Hypothèses!$C$4*$B7*Hypothèses!M$19*(1+Hypothèses!$C$13)^2</f>
        <v/>
      </c>
      <c r="AL7" s="23">
        <f>Hypothèses!$C$4*$B7*Hypothèses!N$19*(1+Hypothèses!$C$13)^2</f>
        <v/>
      </c>
      <c r="AM7" s="24">
        <f>SUM(C7:N7)</f>
        <v/>
      </c>
      <c r="AN7" s="24">
        <f>SUM(O7:Z7)</f>
        <v/>
      </c>
      <c r="AO7" s="24">
        <f>SUM(AA7:AL7)</f>
        <v/>
      </c>
      <c r="AP7" s="24">
        <f>SUM(AM7:AO7)</f>
        <v/>
      </c>
    </row>
    <row r="8">
      <c r="A8" s="3" t="inlineStr">
        <is>
          <t>Travaux divers (VRD, dépannage)</t>
        </is>
      </c>
      <c r="B8" s="5" t="n">
        <v>0.05</v>
      </c>
      <c r="C8" s="23">
        <f>Hypothèses!$C$4*$B8*Hypothèses!C$19*(1+Hypothèses!$C$13)^0</f>
        <v/>
      </c>
      <c r="D8" s="23">
        <f>Hypothèses!$C$4*$B8*Hypothèses!D$19*(1+Hypothèses!$C$13)^0</f>
        <v/>
      </c>
      <c r="E8" s="23">
        <f>Hypothèses!$C$4*$B8*Hypothèses!E$19*(1+Hypothèses!$C$13)^0</f>
        <v/>
      </c>
      <c r="F8" s="23">
        <f>Hypothèses!$C$4*$B8*Hypothèses!F$19*(1+Hypothèses!$C$13)^0</f>
        <v/>
      </c>
      <c r="G8" s="23">
        <f>Hypothèses!$C$4*$B8*Hypothèses!G$19*(1+Hypothèses!$C$13)^0</f>
        <v/>
      </c>
      <c r="H8" s="23">
        <f>Hypothèses!$C$4*$B8*Hypothèses!H$19*(1+Hypothèses!$C$13)^0</f>
        <v/>
      </c>
      <c r="I8" s="23">
        <f>Hypothèses!$C$4*$B8*Hypothèses!I$19*(1+Hypothèses!$C$13)^0</f>
        <v/>
      </c>
      <c r="J8" s="23">
        <f>Hypothèses!$C$4*$B8*Hypothèses!J$19*(1+Hypothèses!$C$13)^0</f>
        <v/>
      </c>
      <c r="K8" s="23">
        <f>Hypothèses!$C$4*$B8*Hypothèses!K$19*(1+Hypothèses!$C$13)^0</f>
        <v/>
      </c>
      <c r="L8" s="23">
        <f>Hypothèses!$C$4*$B8*Hypothèses!L$19*(1+Hypothèses!$C$13)^0</f>
        <v/>
      </c>
      <c r="M8" s="23">
        <f>Hypothèses!$C$4*$B8*Hypothèses!M$19*(1+Hypothèses!$C$13)^0</f>
        <v/>
      </c>
      <c r="N8" s="23">
        <f>Hypothèses!$C$4*$B8*Hypothèses!N$19*(1+Hypothèses!$C$13)^0</f>
        <v/>
      </c>
      <c r="O8" s="23">
        <f>Hypothèses!$C$4*$B8*Hypothèses!C$19*(1+Hypothèses!$C$13)^1</f>
        <v/>
      </c>
      <c r="P8" s="23">
        <f>Hypothèses!$C$4*$B8*Hypothèses!D$19*(1+Hypothèses!$C$13)^1</f>
        <v/>
      </c>
      <c r="Q8" s="23">
        <f>Hypothèses!$C$4*$B8*Hypothèses!E$19*(1+Hypothèses!$C$13)^1</f>
        <v/>
      </c>
      <c r="R8" s="23">
        <f>Hypothèses!$C$4*$B8*Hypothèses!F$19*(1+Hypothèses!$C$13)^1</f>
        <v/>
      </c>
      <c r="S8" s="23">
        <f>Hypothèses!$C$4*$B8*Hypothèses!G$19*(1+Hypothèses!$C$13)^1</f>
        <v/>
      </c>
      <c r="T8" s="23">
        <f>Hypothèses!$C$4*$B8*Hypothèses!H$19*(1+Hypothèses!$C$13)^1</f>
        <v/>
      </c>
      <c r="U8" s="23">
        <f>Hypothèses!$C$4*$B8*Hypothèses!I$19*(1+Hypothèses!$C$13)^1</f>
        <v/>
      </c>
      <c r="V8" s="23">
        <f>Hypothèses!$C$4*$B8*Hypothèses!J$19*(1+Hypothèses!$C$13)^1</f>
        <v/>
      </c>
      <c r="W8" s="23">
        <f>Hypothèses!$C$4*$B8*Hypothèses!K$19*(1+Hypothèses!$C$13)^1</f>
        <v/>
      </c>
      <c r="X8" s="23">
        <f>Hypothèses!$C$4*$B8*Hypothèses!L$19*(1+Hypothèses!$C$13)^1</f>
        <v/>
      </c>
      <c r="Y8" s="23">
        <f>Hypothèses!$C$4*$B8*Hypothèses!M$19*(1+Hypothèses!$C$13)^1</f>
        <v/>
      </c>
      <c r="Z8" s="23">
        <f>Hypothèses!$C$4*$B8*Hypothèses!N$19*(1+Hypothèses!$C$13)^1</f>
        <v/>
      </c>
      <c r="AA8" s="23">
        <f>Hypothèses!$C$4*$B8*Hypothèses!C$19*(1+Hypothèses!$C$13)^2</f>
        <v/>
      </c>
      <c r="AB8" s="23">
        <f>Hypothèses!$C$4*$B8*Hypothèses!D$19*(1+Hypothèses!$C$13)^2</f>
        <v/>
      </c>
      <c r="AC8" s="23">
        <f>Hypothèses!$C$4*$B8*Hypothèses!E$19*(1+Hypothèses!$C$13)^2</f>
        <v/>
      </c>
      <c r="AD8" s="23">
        <f>Hypothèses!$C$4*$B8*Hypothèses!F$19*(1+Hypothèses!$C$13)^2</f>
        <v/>
      </c>
      <c r="AE8" s="23">
        <f>Hypothèses!$C$4*$B8*Hypothèses!G$19*(1+Hypothèses!$C$13)^2</f>
        <v/>
      </c>
      <c r="AF8" s="23">
        <f>Hypothèses!$C$4*$B8*Hypothèses!H$19*(1+Hypothèses!$C$13)^2</f>
        <v/>
      </c>
      <c r="AG8" s="23">
        <f>Hypothèses!$C$4*$B8*Hypothèses!I$19*(1+Hypothèses!$C$13)^2</f>
        <v/>
      </c>
      <c r="AH8" s="23">
        <f>Hypothèses!$C$4*$B8*Hypothèses!J$19*(1+Hypothèses!$C$13)^2</f>
        <v/>
      </c>
      <c r="AI8" s="23">
        <f>Hypothèses!$C$4*$B8*Hypothèses!K$19*(1+Hypothèses!$C$13)^2</f>
        <v/>
      </c>
      <c r="AJ8" s="23">
        <f>Hypothèses!$C$4*$B8*Hypothèses!L$19*(1+Hypothèses!$C$13)^2</f>
        <v/>
      </c>
      <c r="AK8" s="23">
        <f>Hypothèses!$C$4*$B8*Hypothèses!M$19*(1+Hypothèses!$C$13)^2</f>
        <v/>
      </c>
      <c r="AL8" s="23">
        <f>Hypothèses!$C$4*$B8*Hypothèses!N$19*(1+Hypothèses!$C$13)^2</f>
        <v/>
      </c>
      <c r="AM8" s="24">
        <f>SUM(C8:N8)</f>
        <v/>
      </c>
      <c r="AN8" s="24">
        <f>SUM(O8:Z8)</f>
        <v/>
      </c>
      <c r="AO8" s="24">
        <f>SUM(AA8:AL8)</f>
        <v/>
      </c>
      <c r="AP8" s="24">
        <f>SUM(AM8:AO8)</f>
        <v/>
      </c>
    </row>
    <row r="9">
      <c r="A9" s="25" t="inlineStr">
        <is>
          <t>TOTAL CA HT</t>
        </is>
      </c>
      <c r="C9" s="26">
        <f>SUM(C5:C8)</f>
        <v/>
      </c>
      <c r="D9" s="26">
        <f>SUM(D5:D8)</f>
        <v/>
      </c>
      <c r="E9" s="26">
        <f>SUM(E5:E8)</f>
        <v/>
      </c>
      <c r="F9" s="26">
        <f>SUM(F5:F8)</f>
        <v/>
      </c>
      <c r="G9" s="26">
        <f>SUM(G5:G8)</f>
        <v/>
      </c>
      <c r="H9" s="26">
        <f>SUM(H5:H8)</f>
        <v/>
      </c>
      <c r="I9" s="26">
        <f>SUM(I5:I8)</f>
        <v/>
      </c>
      <c r="J9" s="26">
        <f>SUM(J5:J8)</f>
        <v/>
      </c>
      <c r="K9" s="26">
        <f>SUM(K5:K8)</f>
        <v/>
      </c>
      <c r="L9" s="26">
        <f>SUM(L5:L8)</f>
        <v/>
      </c>
      <c r="M9" s="26">
        <f>SUM(M5:M8)</f>
        <v/>
      </c>
      <c r="N9" s="26">
        <f>SUM(N5:N8)</f>
        <v/>
      </c>
      <c r="O9" s="26">
        <f>SUM(O5:O8)</f>
        <v/>
      </c>
      <c r="P9" s="26">
        <f>SUM(P5:P8)</f>
        <v/>
      </c>
      <c r="Q9" s="26">
        <f>SUM(Q5:Q8)</f>
        <v/>
      </c>
      <c r="R9" s="26">
        <f>SUM(R5:R8)</f>
        <v/>
      </c>
      <c r="S9" s="26">
        <f>SUM(S5:S8)</f>
        <v/>
      </c>
      <c r="T9" s="26">
        <f>SUM(T5:T8)</f>
        <v/>
      </c>
      <c r="U9" s="26">
        <f>SUM(U5:U8)</f>
        <v/>
      </c>
      <c r="V9" s="26">
        <f>SUM(V5:V8)</f>
        <v/>
      </c>
      <c r="W9" s="26">
        <f>SUM(W5:W8)</f>
        <v/>
      </c>
      <c r="X9" s="26">
        <f>SUM(X5:X8)</f>
        <v/>
      </c>
      <c r="Y9" s="26">
        <f>SUM(Y5:Y8)</f>
        <v/>
      </c>
      <c r="Z9" s="26">
        <f>SUM(Z5:Z8)</f>
        <v/>
      </c>
      <c r="AA9" s="26">
        <f>SUM(AA5:AA8)</f>
        <v/>
      </c>
      <c r="AB9" s="26">
        <f>SUM(AB5:AB8)</f>
        <v/>
      </c>
      <c r="AC9" s="26">
        <f>SUM(AC5:AC8)</f>
        <v/>
      </c>
      <c r="AD9" s="26">
        <f>SUM(AD5:AD8)</f>
        <v/>
      </c>
      <c r="AE9" s="26">
        <f>SUM(AE5:AE8)</f>
        <v/>
      </c>
      <c r="AF9" s="26">
        <f>SUM(AF5:AF8)</f>
        <v/>
      </c>
      <c r="AG9" s="26">
        <f>SUM(AG5:AG8)</f>
        <v/>
      </c>
      <c r="AH9" s="26">
        <f>SUM(AH5:AH8)</f>
        <v/>
      </c>
      <c r="AI9" s="26">
        <f>SUM(AI5:AI8)</f>
        <v/>
      </c>
      <c r="AJ9" s="26">
        <f>SUM(AJ5:AJ8)</f>
        <v/>
      </c>
      <c r="AK9" s="26">
        <f>SUM(AK5:AK8)</f>
        <v/>
      </c>
      <c r="AL9" s="26">
        <f>SUM(AL5:AL8)</f>
        <v/>
      </c>
      <c r="AM9" s="26">
        <f>SUM(C9:N9)</f>
        <v/>
      </c>
      <c r="AN9" s="26">
        <f>SUM(O9:Z9)</f>
        <v/>
      </c>
      <c r="AO9" s="26">
        <f>SUM(AA9:AL9)</f>
        <v/>
      </c>
      <c r="AP9" s="26">
        <f>SUM(AM9:AO9)</f>
        <v/>
      </c>
    </row>
    <row r="10">
      <c r="A10" s="6" t="inlineStr">
        <is>
          <t>Contrôle Σ % répartition (doit = 100%)</t>
        </is>
      </c>
      <c r="B10" s="27">
        <f>SUM(B5:B8)</f>
        <v/>
      </c>
    </row>
    <row r="11">
      <c r="A11" s="3" t="inlineStr">
        <is>
          <t>TVA collectée sur les ventes</t>
        </is>
      </c>
      <c r="C11" s="23">
        <f>C9*Hypothèses!$C$5</f>
        <v/>
      </c>
      <c r="D11" s="23">
        <f>D9*Hypothèses!$C$5</f>
        <v/>
      </c>
      <c r="E11" s="23">
        <f>E9*Hypothèses!$C$5</f>
        <v/>
      </c>
      <c r="F11" s="23">
        <f>F9*Hypothèses!$C$5</f>
        <v/>
      </c>
      <c r="G11" s="23">
        <f>G9*Hypothèses!$C$5</f>
        <v/>
      </c>
      <c r="H11" s="23">
        <f>H9*Hypothèses!$C$5</f>
        <v/>
      </c>
      <c r="I11" s="23">
        <f>I9*Hypothèses!$C$5</f>
        <v/>
      </c>
      <c r="J11" s="23">
        <f>J9*Hypothèses!$C$5</f>
        <v/>
      </c>
      <c r="K11" s="23">
        <f>K9*Hypothèses!$C$5</f>
        <v/>
      </c>
      <c r="L11" s="23">
        <f>L9*Hypothèses!$C$5</f>
        <v/>
      </c>
      <c r="M11" s="23">
        <f>M9*Hypothèses!$C$5</f>
        <v/>
      </c>
      <c r="N11" s="23">
        <f>N9*Hypothèses!$C$5</f>
        <v/>
      </c>
      <c r="O11" s="23">
        <f>O9*Hypothèses!$C$5</f>
        <v/>
      </c>
      <c r="P11" s="23">
        <f>P9*Hypothèses!$C$5</f>
        <v/>
      </c>
      <c r="Q11" s="23">
        <f>Q9*Hypothèses!$C$5</f>
        <v/>
      </c>
      <c r="R11" s="23">
        <f>R9*Hypothèses!$C$5</f>
        <v/>
      </c>
      <c r="S11" s="23">
        <f>S9*Hypothèses!$C$5</f>
        <v/>
      </c>
      <c r="T11" s="23">
        <f>T9*Hypothèses!$C$5</f>
        <v/>
      </c>
      <c r="U11" s="23">
        <f>U9*Hypothèses!$C$5</f>
        <v/>
      </c>
      <c r="V11" s="23">
        <f>V9*Hypothèses!$C$5</f>
        <v/>
      </c>
      <c r="W11" s="23">
        <f>W9*Hypothèses!$C$5</f>
        <v/>
      </c>
      <c r="X11" s="23">
        <f>X9*Hypothèses!$C$5</f>
        <v/>
      </c>
      <c r="Y11" s="23">
        <f>Y9*Hypothèses!$C$5</f>
        <v/>
      </c>
      <c r="Z11" s="23">
        <f>Z9*Hypothèses!$C$5</f>
        <v/>
      </c>
      <c r="AA11" s="23">
        <f>AA9*Hypothèses!$C$5</f>
        <v/>
      </c>
      <c r="AB11" s="23">
        <f>AB9*Hypothèses!$C$5</f>
        <v/>
      </c>
      <c r="AC11" s="23">
        <f>AC9*Hypothèses!$C$5</f>
        <v/>
      </c>
      <c r="AD11" s="23">
        <f>AD9*Hypothèses!$C$5</f>
        <v/>
      </c>
      <c r="AE11" s="23">
        <f>AE9*Hypothèses!$C$5</f>
        <v/>
      </c>
      <c r="AF11" s="23">
        <f>AF9*Hypothèses!$C$5</f>
        <v/>
      </c>
      <c r="AG11" s="23">
        <f>AG9*Hypothèses!$C$5</f>
        <v/>
      </c>
      <c r="AH11" s="23">
        <f>AH9*Hypothèses!$C$5</f>
        <v/>
      </c>
      <c r="AI11" s="23">
        <f>AI9*Hypothèses!$C$5</f>
        <v/>
      </c>
      <c r="AJ11" s="23">
        <f>AJ9*Hypothèses!$C$5</f>
        <v/>
      </c>
      <c r="AK11" s="23">
        <f>AK9*Hypothèses!$C$5</f>
        <v/>
      </c>
      <c r="AL11" s="23">
        <f>AL9*Hypothèses!$C$5</f>
        <v/>
      </c>
      <c r="AM11" s="24">
        <f>SUM(C11:N11)</f>
        <v/>
      </c>
      <c r="AN11" s="24">
        <f>SUM(O11:Z11)</f>
        <v/>
      </c>
      <c r="AO11" s="24">
        <f>SUM(AA11:AL11)</f>
        <v/>
      </c>
      <c r="AP11" s="24">
        <f>SUM(AM11:AO11)</f>
        <v/>
      </c>
    </row>
    <row r="12">
      <c r="A12" s="25" t="inlineStr">
        <is>
          <t>CA TTC facturé (avant délai de paiement)</t>
        </is>
      </c>
      <c r="C12" s="26">
        <f>C9+C11</f>
        <v/>
      </c>
      <c r="D12" s="26">
        <f>D9+D11</f>
        <v/>
      </c>
      <c r="E12" s="26">
        <f>E9+E11</f>
        <v/>
      </c>
      <c r="F12" s="26">
        <f>F9+F11</f>
        <v/>
      </c>
      <c r="G12" s="26">
        <f>G9+G11</f>
        <v/>
      </c>
      <c r="H12" s="26">
        <f>H9+H11</f>
        <v/>
      </c>
      <c r="I12" s="26">
        <f>I9+I11</f>
        <v/>
      </c>
      <c r="J12" s="26">
        <f>J9+J11</f>
        <v/>
      </c>
      <c r="K12" s="26">
        <f>K9+K11</f>
        <v/>
      </c>
      <c r="L12" s="26">
        <f>L9+L11</f>
        <v/>
      </c>
      <c r="M12" s="26">
        <f>M9+M11</f>
        <v/>
      </c>
      <c r="N12" s="26">
        <f>N9+N11</f>
        <v/>
      </c>
      <c r="O12" s="26">
        <f>O9+O11</f>
        <v/>
      </c>
      <c r="P12" s="26">
        <f>P9+P11</f>
        <v/>
      </c>
      <c r="Q12" s="26">
        <f>Q9+Q11</f>
        <v/>
      </c>
      <c r="R12" s="26">
        <f>R9+R11</f>
        <v/>
      </c>
      <c r="S12" s="26">
        <f>S9+S11</f>
        <v/>
      </c>
      <c r="T12" s="26">
        <f>T9+T11</f>
        <v/>
      </c>
      <c r="U12" s="26">
        <f>U9+U11</f>
        <v/>
      </c>
      <c r="V12" s="26">
        <f>V9+V11</f>
        <v/>
      </c>
      <c r="W12" s="26">
        <f>W9+W11</f>
        <v/>
      </c>
      <c r="X12" s="26">
        <f>X9+X11</f>
        <v/>
      </c>
      <c r="Y12" s="26">
        <f>Y9+Y11</f>
        <v/>
      </c>
      <c r="Z12" s="26">
        <f>Z9+Z11</f>
        <v/>
      </c>
      <c r="AA12" s="26">
        <f>AA9+AA11</f>
        <v/>
      </c>
      <c r="AB12" s="26">
        <f>AB9+AB11</f>
        <v/>
      </c>
      <c r="AC12" s="26">
        <f>AC9+AC11</f>
        <v/>
      </c>
      <c r="AD12" s="26">
        <f>AD9+AD11</f>
        <v/>
      </c>
      <c r="AE12" s="26">
        <f>AE9+AE11</f>
        <v/>
      </c>
      <c r="AF12" s="26">
        <f>AF9+AF11</f>
        <v/>
      </c>
      <c r="AG12" s="26">
        <f>AG9+AG11</f>
        <v/>
      </c>
      <c r="AH12" s="26">
        <f>AH9+AH11</f>
        <v/>
      </c>
      <c r="AI12" s="26">
        <f>AI9+AI11</f>
        <v/>
      </c>
      <c r="AJ12" s="26">
        <f>AJ9+AJ11</f>
        <v/>
      </c>
      <c r="AK12" s="26">
        <f>AK9+AK11</f>
        <v/>
      </c>
      <c r="AL12" s="26">
        <f>AL9+AL11</f>
        <v/>
      </c>
      <c r="AM12" s="26">
        <f>SUM(C12:N12)</f>
        <v/>
      </c>
      <c r="AN12" s="26">
        <f>SUM(O12:Z12)</f>
        <v/>
      </c>
      <c r="AO12" s="26">
        <f>SUM(AA12:AL12)</f>
        <v/>
      </c>
      <c r="AP12" s="26">
        <f>SUM(AM12:AO12)</f>
        <v/>
      </c>
    </row>
  </sheetData>
  <mergeCells count="5">
    <mergeCell ref="AA3:AL3"/>
    <mergeCell ref="O3:Z3"/>
    <mergeCell ref="A2:O2"/>
    <mergeCell ref="A1:O1"/>
    <mergeCell ref="C3:N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45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0" customWidth="1" min="2" max="2"/>
    <col width="13" customWidth="1" min="3" max="3"/>
    <col width="14" customWidth="1" min="4" max="4"/>
    <col width="14" customWidth="1" min="5" max="5"/>
    <col width="3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</cols>
  <sheetData>
    <row r="1" ht="22" customHeight="1">
      <c r="A1" s="1" t="inlineStr">
        <is>
          <t>BTP — Dépenses détaillées (3 ans, mois par mois)</t>
        </is>
      </c>
    </row>
    <row r="2" ht="16" customHeight="1">
      <c r="A2" s="2" t="inlineStr">
        <is>
          <t>Quantité de base × indice de saisonnalité × Prix (de base inflaté, ou simulé mois par mois pour les commodités) = Coût du mois.</t>
        </is>
      </c>
    </row>
    <row r="3" ht="14" customHeight="1">
      <c r="G3" s="16" t="inlineStr">
        <is>
          <t>ANNÉE 1</t>
        </is>
      </c>
      <c r="S3" s="17" t="inlineStr">
        <is>
          <t>ANNÉE 2</t>
        </is>
      </c>
      <c r="AE3" s="18" t="inlineStr">
        <is>
          <t>ANNÉE 3</t>
        </is>
      </c>
    </row>
    <row r="4" ht="30" customHeight="1">
      <c r="A4" s="22" t="inlineStr">
        <is>
          <t>Catégorie</t>
        </is>
      </c>
      <c r="B4" s="22" t="inlineStr">
        <is>
          <t>Poste</t>
        </is>
      </c>
      <c r="C4" s="22" t="inlineStr">
        <is>
          <t>Qté base/mois (A1)</t>
        </is>
      </c>
      <c r="D4" s="22" t="inlineStr">
        <is>
          <t>Unité</t>
        </is>
      </c>
      <c r="E4" s="22" t="inlineStr">
        <is>
          <t>Prix unitaire base (A1, €)</t>
        </is>
      </c>
      <c r="F4" s="22" t="inlineStr">
        <is>
          <t>Source prix</t>
        </is>
      </c>
      <c r="G4" s="21" t="inlineStr">
        <is>
          <t>Jan A1</t>
        </is>
      </c>
      <c r="H4" s="21" t="inlineStr">
        <is>
          <t>Fév A1</t>
        </is>
      </c>
      <c r="I4" s="21" t="inlineStr">
        <is>
          <t>Mar A1</t>
        </is>
      </c>
      <c r="J4" s="21" t="inlineStr">
        <is>
          <t>Avr A1</t>
        </is>
      </c>
      <c r="K4" s="21" t="inlineStr">
        <is>
          <t>Mai A1</t>
        </is>
      </c>
      <c r="L4" s="21" t="inlineStr">
        <is>
          <t>Jui A1</t>
        </is>
      </c>
      <c r="M4" s="21" t="inlineStr">
        <is>
          <t>Jui A1</t>
        </is>
      </c>
      <c r="N4" s="21" t="inlineStr">
        <is>
          <t>Aoû A1</t>
        </is>
      </c>
      <c r="O4" s="21" t="inlineStr">
        <is>
          <t>Sep A1</t>
        </is>
      </c>
      <c r="P4" s="21" t="inlineStr">
        <is>
          <t>Oct A1</t>
        </is>
      </c>
      <c r="Q4" s="21" t="inlineStr">
        <is>
          <t>Nov A1</t>
        </is>
      </c>
      <c r="R4" s="21" t="inlineStr">
        <is>
          <t>Déc A1</t>
        </is>
      </c>
      <c r="S4" s="21" t="inlineStr">
        <is>
          <t>Jan A2</t>
        </is>
      </c>
      <c r="T4" s="21" t="inlineStr">
        <is>
          <t>Fév A2</t>
        </is>
      </c>
      <c r="U4" s="21" t="inlineStr">
        <is>
          <t>Mar A2</t>
        </is>
      </c>
      <c r="V4" s="21" t="inlineStr">
        <is>
          <t>Avr A2</t>
        </is>
      </c>
      <c r="W4" s="21" t="inlineStr">
        <is>
          <t>Mai A2</t>
        </is>
      </c>
      <c r="X4" s="21" t="inlineStr">
        <is>
          <t>Jui A2</t>
        </is>
      </c>
      <c r="Y4" s="21" t="inlineStr">
        <is>
          <t>Jui A2</t>
        </is>
      </c>
      <c r="Z4" s="21" t="inlineStr">
        <is>
          <t>Aoû A2</t>
        </is>
      </c>
      <c r="AA4" s="21" t="inlineStr">
        <is>
          <t>Sep A2</t>
        </is>
      </c>
      <c r="AB4" s="21" t="inlineStr">
        <is>
          <t>Oct A2</t>
        </is>
      </c>
      <c r="AC4" s="21" t="inlineStr">
        <is>
          <t>Nov A2</t>
        </is>
      </c>
      <c r="AD4" s="21" t="inlineStr">
        <is>
          <t>Déc A2</t>
        </is>
      </c>
      <c r="AE4" s="21" t="inlineStr">
        <is>
          <t>Jan A3</t>
        </is>
      </c>
      <c r="AF4" s="21" t="inlineStr">
        <is>
          <t>Fév A3</t>
        </is>
      </c>
      <c r="AG4" s="21" t="inlineStr">
        <is>
          <t>Mar A3</t>
        </is>
      </c>
      <c r="AH4" s="21" t="inlineStr">
        <is>
          <t>Avr A3</t>
        </is>
      </c>
      <c r="AI4" s="21" t="inlineStr">
        <is>
          <t>Mai A3</t>
        </is>
      </c>
      <c r="AJ4" s="21" t="inlineStr">
        <is>
          <t>Jui A3</t>
        </is>
      </c>
      <c r="AK4" s="21" t="inlineStr">
        <is>
          <t>Jui A3</t>
        </is>
      </c>
      <c r="AL4" s="21" t="inlineStr">
        <is>
          <t>Aoû A3</t>
        </is>
      </c>
      <c r="AM4" s="21" t="inlineStr">
        <is>
          <t>Sep A3</t>
        </is>
      </c>
      <c r="AN4" s="21" t="inlineStr">
        <is>
          <t>Oct A3</t>
        </is>
      </c>
      <c r="AO4" s="21" t="inlineStr">
        <is>
          <t>Nov A3</t>
        </is>
      </c>
      <c r="AP4" s="21" t="inlineStr">
        <is>
          <t>Déc A3</t>
        </is>
      </c>
      <c r="AQ4" s="22" t="inlineStr">
        <is>
          <t>Total A1</t>
        </is>
      </c>
      <c r="AR4" s="22" t="inlineStr">
        <is>
          <t>Total A2</t>
        </is>
      </c>
      <c r="AS4" s="22" t="inlineStr">
        <is>
          <t>Total A3</t>
        </is>
      </c>
      <c r="AT4" s="22" t="inlineStr">
        <is>
          <t>Total 3 ans</t>
        </is>
      </c>
    </row>
    <row r="5">
      <c r="A5" s="28" t="inlineStr">
        <is>
          <t>Matériaux</t>
        </is>
      </c>
      <c r="B5" s="28" t="inlineStr">
        <is>
          <t>Ciment (CEM I/II, sacs et vrac)</t>
        </is>
      </c>
      <c r="C5" s="29" t="n">
        <v>25</v>
      </c>
      <c r="D5" s="28" t="inlineStr">
        <is>
          <t>tonnes</t>
        </is>
      </c>
      <c r="E5" s="10" t="n">
        <v>115.5</v>
      </c>
      <c r="F5" s="30" t="inlineStr">
        <is>
          <t>Sourcé — prix négoce matériaux 2025 (~115€/t HT)</t>
        </is>
      </c>
      <c r="G5" s="24">
        <f>$C5*Hypothèses!C$18*$E5*(1+Hypothèses!$C$14)^0</f>
        <v/>
      </c>
      <c r="H5" s="24">
        <f>$C5*Hypothèses!D$18*$E5*(1+Hypothèses!$C$14)^0</f>
        <v/>
      </c>
      <c r="I5" s="24">
        <f>$C5*Hypothèses!E$18*$E5*(1+Hypothèses!$C$14)^0</f>
        <v/>
      </c>
      <c r="J5" s="24">
        <f>$C5*Hypothèses!F$18*$E5*(1+Hypothèses!$C$14)^0</f>
        <v/>
      </c>
      <c r="K5" s="24">
        <f>$C5*Hypothèses!G$18*$E5*(1+Hypothèses!$C$14)^0</f>
        <v/>
      </c>
      <c r="L5" s="24">
        <f>$C5*Hypothèses!H$18*$E5*(1+Hypothèses!$C$14)^0</f>
        <v/>
      </c>
      <c r="M5" s="24">
        <f>$C5*Hypothèses!I$18*$E5*(1+Hypothèses!$C$14)^0</f>
        <v/>
      </c>
      <c r="N5" s="24">
        <f>$C5*Hypothèses!J$18*$E5*(1+Hypothèses!$C$14)^0</f>
        <v/>
      </c>
      <c r="O5" s="24">
        <f>$C5*Hypothèses!K$18*$E5*(1+Hypothèses!$C$14)^0</f>
        <v/>
      </c>
      <c r="P5" s="24">
        <f>$C5*Hypothèses!L$18*$E5*(1+Hypothèses!$C$14)^0</f>
        <v/>
      </c>
      <c r="Q5" s="24">
        <f>$C5*Hypothèses!M$18*$E5*(1+Hypothèses!$C$14)^0</f>
        <v/>
      </c>
      <c r="R5" s="24">
        <f>$C5*Hypothèses!N$18*$E5*(1+Hypothèses!$C$14)^0</f>
        <v/>
      </c>
      <c r="S5" s="24">
        <f>$C5*Hypothèses!C$18*$E5*(1+Hypothèses!$C$14)^1</f>
        <v/>
      </c>
      <c r="T5" s="24">
        <f>$C5*Hypothèses!D$18*$E5*(1+Hypothèses!$C$14)^1</f>
        <v/>
      </c>
      <c r="U5" s="24">
        <f>$C5*Hypothèses!E$18*$E5*(1+Hypothèses!$C$14)^1</f>
        <v/>
      </c>
      <c r="V5" s="24">
        <f>$C5*Hypothèses!F$18*$E5*(1+Hypothèses!$C$14)^1</f>
        <v/>
      </c>
      <c r="W5" s="24">
        <f>$C5*Hypothèses!G$18*$E5*(1+Hypothèses!$C$14)^1</f>
        <v/>
      </c>
      <c r="X5" s="24">
        <f>$C5*Hypothèses!H$18*$E5*(1+Hypothèses!$C$14)^1</f>
        <v/>
      </c>
      <c r="Y5" s="24">
        <f>$C5*Hypothèses!I$18*$E5*(1+Hypothèses!$C$14)^1</f>
        <v/>
      </c>
      <c r="Z5" s="24">
        <f>$C5*Hypothèses!J$18*$E5*(1+Hypothèses!$C$14)^1</f>
        <v/>
      </c>
      <c r="AA5" s="24">
        <f>$C5*Hypothèses!K$18*$E5*(1+Hypothèses!$C$14)^1</f>
        <v/>
      </c>
      <c r="AB5" s="24">
        <f>$C5*Hypothèses!L$18*$E5*(1+Hypothèses!$C$14)^1</f>
        <v/>
      </c>
      <c r="AC5" s="24">
        <f>$C5*Hypothèses!M$18*$E5*(1+Hypothèses!$C$14)^1</f>
        <v/>
      </c>
      <c r="AD5" s="24">
        <f>$C5*Hypothèses!N$18*$E5*(1+Hypothèses!$C$14)^1</f>
        <v/>
      </c>
      <c r="AE5" s="24">
        <f>$C5*Hypothèses!C$18*$E5*(1+Hypothèses!$C$14)^2</f>
        <v/>
      </c>
      <c r="AF5" s="24">
        <f>$C5*Hypothèses!D$18*$E5*(1+Hypothèses!$C$14)^2</f>
        <v/>
      </c>
      <c r="AG5" s="24">
        <f>$C5*Hypothèses!E$18*$E5*(1+Hypothèses!$C$14)^2</f>
        <v/>
      </c>
      <c r="AH5" s="24">
        <f>$C5*Hypothèses!F$18*$E5*(1+Hypothèses!$C$14)^2</f>
        <v/>
      </c>
      <c r="AI5" s="24">
        <f>$C5*Hypothèses!G$18*$E5*(1+Hypothèses!$C$14)^2</f>
        <v/>
      </c>
      <c r="AJ5" s="24">
        <f>$C5*Hypothèses!H$18*$E5*(1+Hypothèses!$C$14)^2</f>
        <v/>
      </c>
      <c r="AK5" s="24">
        <f>$C5*Hypothèses!I$18*$E5*(1+Hypothèses!$C$14)^2</f>
        <v/>
      </c>
      <c r="AL5" s="24">
        <f>$C5*Hypothèses!J$18*$E5*(1+Hypothèses!$C$14)^2</f>
        <v/>
      </c>
      <c r="AM5" s="24">
        <f>$C5*Hypothèses!K$18*$E5*(1+Hypothèses!$C$14)^2</f>
        <v/>
      </c>
      <c r="AN5" s="24">
        <f>$C5*Hypothèses!L$18*$E5*(1+Hypothèses!$C$14)^2</f>
        <v/>
      </c>
      <c r="AO5" s="24">
        <f>$C5*Hypothèses!M$18*$E5*(1+Hypothèses!$C$14)^2</f>
        <v/>
      </c>
      <c r="AP5" s="24">
        <f>$C5*Hypothèses!N$18*$E5*(1+Hypothèses!$C$14)^2</f>
        <v/>
      </c>
      <c r="AQ5" s="24">
        <f>SUM(G5:R5)</f>
        <v/>
      </c>
      <c r="AR5" s="24">
        <f>SUM(S5:AD5)</f>
        <v/>
      </c>
      <c r="AS5" s="24">
        <f>SUM(AE5:AP5)</f>
        <v/>
      </c>
      <c r="AT5" s="24">
        <f>SUM(AQ5:AS5)</f>
        <v/>
      </c>
    </row>
    <row r="6">
      <c r="A6" s="28" t="inlineStr">
        <is>
          <t>Matériaux</t>
        </is>
      </c>
      <c r="B6" s="28" t="inlineStr">
        <is>
          <t>Sable &amp; granulats</t>
        </is>
      </c>
      <c r="C6" s="29" t="n">
        <v>70</v>
      </c>
      <c r="D6" s="28" t="inlineStr">
        <is>
          <t>tonnes</t>
        </is>
      </c>
      <c r="E6" s="10" t="n">
        <v>25</v>
      </c>
      <c r="F6" s="30" t="inlineStr">
        <is>
          <t>Estimé — carrière/négoce régional</t>
        </is>
      </c>
      <c r="G6" s="24">
        <f>$C6*Hypothèses!C$18*$E6*(1+Hypothèses!$C$14)^0</f>
        <v/>
      </c>
      <c r="H6" s="24">
        <f>$C6*Hypothèses!D$18*$E6*(1+Hypothèses!$C$14)^0</f>
        <v/>
      </c>
      <c r="I6" s="24">
        <f>$C6*Hypothèses!E$18*$E6*(1+Hypothèses!$C$14)^0</f>
        <v/>
      </c>
      <c r="J6" s="24">
        <f>$C6*Hypothèses!F$18*$E6*(1+Hypothèses!$C$14)^0</f>
        <v/>
      </c>
      <c r="K6" s="24">
        <f>$C6*Hypothèses!G$18*$E6*(1+Hypothèses!$C$14)^0</f>
        <v/>
      </c>
      <c r="L6" s="24">
        <f>$C6*Hypothèses!H$18*$E6*(1+Hypothèses!$C$14)^0</f>
        <v/>
      </c>
      <c r="M6" s="24">
        <f>$C6*Hypothèses!I$18*$E6*(1+Hypothèses!$C$14)^0</f>
        <v/>
      </c>
      <c r="N6" s="24">
        <f>$C6*Hypothèses!J$18*$E6*(1+Hypothèses!$C$14)^0</f>
        <v/>
      </c>
      <c r="O6" s="24">
        <f>$C6*Hypothèses!K$18*$E6*(1+Hypothèses!$C$14)^0</f>
        <v/>
      </c>
      <c r="P6" s="24">
        <f>$C6*Hypothèses!L$18*$E6*(1+Hypothèses!$C$14)^0</f>
        <v/>
      </c>
      <c r="Q6" s="24">
        <f>$C6*Hypothèses!M$18*$E6*(1+Hypothèses!$C$14)^0</f>
        <v/>
      </c>
      <c r="R6" s="24">
        <f>$C6*Hypothèses!N$18*$E6*(1+Hypothèses!$C$14)^0</f>
        <v/>
      </c>
      <c r="S6" s="24">
        <f>$C6*Hypothèses!C$18*$E6*(1+Hypothèses!$C$14)^1</f>
        <v/>
      </c>
      <c r="T6" s="24">
        <f>$C6*Hypothèses!D$18*$E6*(1+Hypothèses!$C$14)^1</f>
        <v/>
      </c>
      <c r="U6" s="24">
        <f>$C6*Hypothèses!E$18*$E6*(1+Hypothèses!$C$14)^1</f>
        <v/>
      </c>
      <c r="V6" s="24">
        <f>$C6*Hypothèses!F$18*$E6*(1+Hypothèses!$C$14)^1</f>
        <v/>
      </c>
      <c r="W6" s="24">
        <f>$C6*Hypothèses!G$18*$E6*(1+Hypothèses!$C$14)^1</f>
        <v/>
      </c>
      <c r="X6" s="24">
        <f>$C6*Hypothèses!H$18*$E6*(1+Hypothèses!$C$14)^1</f>
        <v/>
      </c>
      <c r="Y6" s="24">
        <f>$C6*Hypothèses!I$18*$E6*(1+Hypothèses!$C$14)^1</f>
        <v/>
      </c>
      <c r="Z6" s="24">
        <f>$C6*Hypothèses!J$18*$E6*(1+Hypothèses!$C$14)^1</f>
        <v/>
      </c>
      <c r="AA6" s="24">
        <f>$C6*Hypothèses!K$18*$E6*(1+Hypothèses!$C$14)^1</f>
        <v/>
      </c>
      <c r="AB6" s="24">
        <f>$C6*Hypothèses!L$18*$E6*(1+Hypothèses!$C$14)^1</f>
        <v/>
      </c>
      <c r="AC6" s="24">
        <f>$C6*Hypothèses!M$18*$E6*(1+Hypothèses!$C$14)^1</f>
        <v/>
      </c>
      <c r="AD6" s="24">
        <f>$C6*Hypothèses!N$18*$E6*(1+Hypothèses!$C$14)^1</f>
        <v/>
      </c>
      <c r="AE6" s="24">
        <f>$C6*Hypothèses!C$18*$E6*(1+Hypothèses!$C$14)^2</f>
        <v/>
      </c>
      <c r="AF6" s="24">
        <f>$C6*Hypothèses!D$18*$E6*(1+Hypothèses!$C$14)^2</f>
        <v/>
      </c>
      <c r="AG6" s="24">
        <f>$C6*Hypothèses!E$18*$E6*(1+Hypothèses!$C$14)^2</f>
        <v/>
      </c>
      <c r="AH6" s="24">
        <f>$C6*Hypothèses!F$18*$E6*(1+Hypothèses!$C$14)^2</f>
        <v/>
      </c>
      <c r="AI6" s="24">
        <f>$C6*Hypothèses!G$18*$E6*(1+Hypothèses!$C$14)^2</f>
        <v/>
      </c>
      <c r="AJ6" s="24">
        <f>$C6*Hypothèses!H$18*$E6*(1+Hypothèses!$C$14)^2</f>
        <v/>
      </c>
      <c r="AK6" s="24">
        <f>$C6*Hypothèses!I$18*$E6*(1+Hypothèses!$C$14)^2</f>
        <v/>
      </c>
      <c r="AL6" s="24">
        <f>$C6*Hypothèses!J$18*$E6*(1+Hypothèses!$C$14)^2</f>
        <v/>
      </c>
      <c r="AM6" s="24">
        <f>$C6*Hypothèses!K$18*$E6*(1+Hypothèses!$C$14)^2</f>
        <v/>
      </c>
      <c r="AN6" s="24">
        <f>$C6*Hypothèses!L$18*$E6*(1+Hypothèses!$C$14)^2</f>
        <v/>
      </c>
      <c r="AO6" s="24">
        <f>$C6*Hypothèses!M$18*$E6*(1+Hypothèses!$C$14)^2</f>
        <v/>
      </c>
      <c r="AP6" s="24">
        <f>$C6*Hypothèses!N$18*$E6*(1+Hypothèses!$C$14)^2</f>
        <v/>
      </c>
      <c r="AQ6" s="24">
        <f>SUM(G6:R6)</f>
        <v/>
      </c>
      <c r="AR6" s="24">
        <f>SUM(S6:AD6)</f>
        <v/>
      </c>
      <c r="AS6" s="24">
        <f>SUM(AE6:AP6)</f>
        <v/>
      </c>
      <c r="AT6" s="24">
        <f>SUM(AQ6:AS6)</f>
        <v/>
      </c>
    </row>
    <row r="7">
      <c r="A7" s="28" t="inlineStr">
        <is>
          <t>Matériaux</t>
        </is>
      </c>
      <c r="B7" s="28" t="inlineStr">
        <is>
          <t>Béton prêt à l'emploi (BPE)</t>
        </is>
      </c>
      <c r="C7" s="29" t="n">
        <v>120</v>
      </c>
      <c r="D7" s="28" t="inlineStr">
        <is>
          <t>m³</t>
        </is>
      </c>
      <c r="E7" s="10" t="n">
        <v>140</v>
      </c>
      <c r="F7" s="30" t="inlineStr">
        <is>
          <t>Sourcé — fourchette 120-180€/m³ livré 2025</t>
        </is>
      </c>
      <c r="G7" s="24">
        <f>$C7*Hypothèses!C$18*$E7*(1+Hypothèses!$C$14)^0</f>
        <v/>
      </c>
      <c r="H7" s="24">
        <f>$C7*Hypothèses!D$18*$E7*(1+Hypothèses!$C$14)^0</f>
        <v/>
      </c>
      <c r="I7" s="24">
        <f>$C7*Hypothèses!E$18*$E7*(1+Hypothèses!$C$14)^0</f>
        <v/>
      </c>
      <c r="J7" s="24">
        <f>$C7*Hypothèses!F$18*$E7*(1+Hypothèses!$C$14)^0</f>
        <v/>
      </c>
      <c r="K7" s="24">
        <f>$C7*Hypothèses!G$18*$E7*(1+Hypothèses!$C$14)^0</f>
        <v/>
      </c>
      <c r="L7" s="24">
        <f>$C7*Hypothèses!H$18*$E7*(1+Hypothèses!$C$14)^0</f>
        <v/>
      </c>
      <c r="M7" s="24">
        <f>$C7*Hypothèses!I$18*$E7*(1+Hypothèses!$C$14)^0</f>
        <v/>
      </c>
      <c r="N7" s="24">
        <f>$C7*Hypothèses!J$18*$E7*(1+Hypothèses!$C$14)^0</f>
        <v/>
      </c>
      <c r="O7" s="24">
        <f>$C7*Hypothèses!K$18*$E7*(1+Hypothèses!$C$14)^0</f>
        <v/>
      </c>
      <c r="P7" s="24">
        <f>$C7*Hypothèses!L$18*$E7*(1+Hypothèses!$C$14)^0</f>
        <v/>
      </c>
      <c r="Q7" s="24">
        <f>$C7*Hypothèses!M$18*$E7*(1+Hypothèses!$C$14)^0</f>
        <v/>
      </c>
      <c r="R7" s="24">
        <f>$C7*Hypothèses!N$18*$E7*(1+Hypothèses!$C$14)^0</f>
        <v/>
      </c>
      <c r="S7" s="24">
        <f>$C7*Hypothèses!C$18*$E7*(1+Hypothèses!$C$14)^1</f>
        <v/>
      </c>
      <c r="T7" s="24">
        <f>$C7*Hypothèses!D$18*$E7*(1+Hypothèses!$C$14)^1</f>
        <v/>
      </c>
      <c r="U7" s="24">
        <f>$C7*Hypothèses!E$18*$E7*(1+Hypothèses!$C$14)^1</f>
        <v/>
      </c>
      <c r="V7" s="24">
        <f>$C7*Hypothèses!F$18*$E7*(1+Hypothèses!$C$14)^1</f>
        <v/>
      </c>
      <c r="W7" s="24">
        <f>$C7*Hypothèses!G$18*$E7*(1+Hypothèses!$C$14)^1</f>
        <v/>
      </c>
      <c r="X7" s="24">
        <f>$C7*Hypothèses!H$18*$E7*(1+Hypothèses!$C$14)^1</f>
        <v/>
      </c>
      <c r="Y7" s="24">
        <f>$C7*Hypothèses!I$18*$E7*(1+Hypothèses!$C$14)^1</f>
        <v/>
      </c>
      <c r="Z7" s="24">
        <f>$C7*Hypothèses!J$18*$E7*(1+Hypothèses!$C$14)^1</f>
        <v/>
      </c>
      <c r="AA7" s="24">
        <f>$C7*Hypothèses!K$18*$E7*(1+Hypothèses!$C$14)^1</f>
        <v/>
      </c>
      <c r="AB7" s="24">
        <f>$C7*Hypothèses!L$18*$E7*(1+Hypothèses!$C$14)^1</f>
        <v/>
      </c>
      <c r="AC7" s="24">
        <f>$C7*Hypothèses!M$18*$E7*(1+Hypothèses!$C$14)^1</f>
        <v/>
      </c>
      <c r="AD7" s="24">
        <f>$C7*Hypothèses!N$18*$E7*(1+Hypothèses!$C$14)^1</f>
        <v/>
      </c>
      <c r="AE7" s="24">
        <f>$C7*Hypothèses!C$18*$E7*(1+Hypothèses!$C$14)^2</f>
        <v/>
      </c>
      <c r="AF7" s="24">
        <f>$C7*Hypothèses!D$18*$E7*(1+Hypothèses!$C$14)^2</f>
        <v/>
      </c>
      <c r="AG7" s="24">
        <f>$C7*Hypothèses!E$18*$E7*(1+Hypothèses!$C$14)^2</f>
        <v/>
      </c>
      <c r="AH7" s="24">
        <f>$C7*Hypothèses!F$18*$E7*(1+Hypothèses!$C$14)^2</f>
        <v/>
      </c>
      <c r="AI7" s="24">
        <f>$C7*Hypothèses!G$18*$E7*(1+Hypothèses!$C$14)^2</f>
        <v/>
      </c>
      <c r="AJ7" s="24">
        <f>$C7*Hypothèses!H$18*$E7*(1+Hypothèses!$C$14)^2</f>
        <v/>
      </c>
      <c r="AK7" s="24">
        <f>$C7*Hypothèses!I$18*$E7*(1+Hypothèses!$C$14)^2</f>
        <v/>
      </c>
      <c r="AL7" s="24">
        <f>$C7*Hypothèses!J$18*$E7*(1+Hypothèses!$C$14)^2</f>
        <v/>
      </c>
      <c r="AM7" s="24">
        <f>$C7*Hypothèses!K$18*$E7*(1+Hypothèses!$C$14)^2</f>
        <v/>
      </c>
      <c r="AN7" s="24">
        <f>$C7*Hypothèses!L$18*$E7*(1+Hypothèses!$C$14)^2</f>
        <v/>
      </c>
      <c r="AO7" s="24">
        <f>$C7*Hypothèses!M$18*$E7*(1+Hypothèses!$C$14)^2</f>
        <v/>
      </c>
      <c r="AP7" s="24">
        <f>$C7*Hypothèses!N$18*$E7*(1+Hypothèses!$C$14)^2</f>
        <v/>
      </c>
      <c r="AQ7" s="24">
        <f>SUM(G7:R7)</f>
        <v/>
      </c>
      <c r="AR7" s="24">
        <f>SUM(S7:AD7)</f>
        <v/>
      </c>
      <c r="AS7" s="24">
        <f>SUM(AE7:AP7)</f>
        <v/>
      </c>
      <c r="AT7" s="24">
        <f>SUM(AQ7:AS7)</f>
        <v/>
      </c>
    </row>
    <row r="8">
      <c r="A8" s="28" t="inlineStr">
        <is>
          <t>Matériaux</t>
        </is>
      </c>
      <c r="B8" s="31" t="inlineStr">
        <is>
          <t>Acier / ferraillage (armatures) — prix de marché simulé (€/unité)</t>
        </is>
      </c>
      <c r="C8" s="32" t="n"/>
      <c r="D8" s="31" t="inlineStr">
        <is>
          <t>tonnes</t>
        </is>
      </c>
      <c r="E8" s="33">
        <f>AVERAGE(G8:AP8)</f>
        <v/>
      </c>
      <c r="F8" s="30" t="inlineStr">
        <is>
          <t>API marché (proxy LME/Eurofer, non couvert par Alpha Vantage gratuit) — simulation calibrée</t>
        </is>
      </c>
      <c r="G8" s="34" t="n">
        <v>778.8337</v>
      </c>
      <c r="H8" s="34" t="n">
        <v>793.1221</v>
      </c>
      <c r="I8" s="34" t="n">
        <v>823.8009</v>
      </c>
      <c r="J8" s="34" t="n">
        <v>826.1464</v>
      </c>
      <c r="K8" s="34" t="n">
        <v>828.7667</v>
      </c>
      <c r="L8" s="34" t="n">
        <v>773.0482</v>
      </c>
      <c r="M8" s="34" t="n">
        <v>717.4002</v>
      </c>
      <c r="N8" s="34" t="n">
        <v>729.0042999999999</v>
      </c>
      <c r="O8" s="34" t="n">
        <v>667.9340999999999</v>
      </c>
      <c r="P8" s="34" t="n">
        <v>687.4787</v>
      </c>
      <c r="Q8" s="34" t="n">
        <v>675.7819</v>
      </c>
      <c r="R8" s="34" t="n">
        <v>666.5007000000001</v>
      </c>
      <c r="S8" s="34" t="n">
        <v>636.6521</v>
      </c>
      <c r="T8" s="34" t="n">
        <v>624.6523</v>
      </c>
      <c r="U8" s="34" t="n">
        <v>606.8311</v>
      </c>
      <c r="V8" s="34" t="n">
        <v>603.8098</v>
      </c>
      <c r="W8" s="34" t="n">
        <v>599.0931</v>
      </c>
      <c r="X8" s="34" t="n">
        <v>583.8696</v>
      </c>
      <c r="Y8" s="34" t="n">
        <v>579.0847</v>
      </c>
      <c r="Z8" s="34" t="n">
        <v>598.6054</v>
      </c>
      <c r="AA8" s="34" t="n">
        <v>598.0031</v>
      </c>
      <c r="AB8" s="34" t="n">
        <v>616.0962</v>
      </c>
      <c r="AC8" s="34" t="n">
        <v>618.1391</v>
      </c>
      <c r="AD8" s="34" t="n">
        <v>578.2141</v>
      </c>
      <c r="AE8" s="34" t="n">
        <v>612.8115</v>
      </c>
      <c r="AF8" s="34" t="n">
        <v>620.8955999999999</v>
      </c>
      <c r="AG8" s="34" t="n">
        <v>657.5317</v>
      </c>
      <c r="AH8" s="34" t="n">
        <v>678.877</v>
      </c>
      <c r="AI8" s="34" t="n">
        <v>648.4947</v>
      </c>
      <c r="AJ8" s="34" t="n">
        <v>669.7428</v>
      </c>
      <c r="AK8" s="34" t="n">
        <v>674.9055</v>
      </c>
      <c r="AL8" s="34" t="n">
        <v>623.6398</v>
      </c>
      <c r="AM8" s="34" t="n">
        <v>615.299</v>
      </c>
      <c r="AN8" s="34" t="n">
        <v>595.479</v>
      </c>
      <c r="AO8" s="34" t="n">
        <v>626.0723</v>
      </c>
      <c r="AP8" s="34" t="n">
        <v>648.1921</v>
      </c>
    </row>
    <row r="9">
      <c r="A9" s="28" t="inlineStr">
        <is>
          <t>Matériaux</t>
        </is>
      </c>
      <c r="B9" s="28" t="inlineStr">
        <is>
          <t>↳ Coût (Acier / ferraillage (armatures))</t>
        </is>
      </c>
      <c r="C9" s="29" t="n">
        <v>18</v>
      </c>
      <c r="D9" s="28" t="inlineStr">
        <is>
          <t>tonnes</t>
        </is>
      </c>
      <c r="E9" s="32" t="n"/>
      <c r="F9" s="31" t="inlineStr">
        <is>
          <t>Coût = Qté de base × saisonnalité × prix simulé ci-dessus</t>
        </is>
      </c>
      <c r="G9" s="24">
        <f>$C9*Hypothèses!C$18*G8</f>
        <v/>
      </c>
      <c r="H9" s="24">
        <f>$C9*Hypothèses!D$18*H8</f>
        <v/>
      </c>
      <c r="I9" s="24">
        <f>$C9*Hypothèses!E$18*I8</f>
        <v/>
      </c>
      <c r="J9" s="24">
        <f>$C9*Hypothèses!F$18*J8</f>
        <v/>
      </c>
      <c r="K9" s="24">
        <f>$C9*Hypothèses!G$18*K8</f>
        <v/>
      </c>
      <c r="L9" s="24">
        <f>$C9*Hypothèses!H$18*L8</f>
        <v/>
      </c>
      <c r="M9" s="24">
        <f>$C9*Hypothèses!I$18*M8</f>
        <v/>
      </c>
      <c r="N9" s="24">
        <f>$C9*Hypothèses!J$18*N8</f>
        <v/>
      </c>
      <c r="O9" s="24">
        <f>$C9*Hypothèses!K$18*O8</f>
        <v/>
      </c>
      <c r="P9" s="24">
        <f>$C9*Hypothèses!L$18*P8</f>
        <v/>
      </c>
      <c r="Q9" s="24">
        <f>$C9*Hypothèses!M$18*Q8</f>
        <v/>
      </c>
      <c r="R9" s="24">
        <f>$C9*Hypothèses!N$18*R8</f>
        <v/>
      </c>
      <c r="S9" s="24">
        <f>$C9*Hypothèses!C$18*S8</f>
        <v/>
      </c>
      <c r="T9" s="24">
        <f>$C9*Hypothèses!D$18*T8</f>
        <v/>
      </c>
      <c r="U9" s="24">
        <f>$C9*Hypothèses!E$18*U8</f>
        <v/>
      </c>
      <c r="V9" s="24">
        <f>$C9*Hypothèses!F$18*V8</f>
        <v/>
      </c>
      <c r="W9" s="24">
        <f>$C9*Hypothèses!G$18*W8</f>
        <v/>
      </c>
      <c r="X9" s="24">
        <f>$C9*Hypothèses!H$18*X8</f>
        <v/>
      </c>
      <c r="Y9" s="24">
        <f>$C9*Hypothèses!I$18*Y8</f>
        <v/>
      </c>
      <c r="Z9" s="24">
        <f>$C9*Hypothèses!J$18*Z8</f>
        <v/>
      </c>
      <c r="AA9" s="24">
        <f>$C9*Hypothèses!K$18*AA8</f>
        <v/>
      </c>
      <c r="AB9" s="24">
        <f>$C9*Hypothèses!L$18*AB8</f>
        <v/>
      </c>
      <c r="AC9" s="24">
        <f>$C9*Hypothèses!M$18*AC8</f>
        <v/>
      </c>
      <c r="AD9" s="24">
        <f>$C9*Hypothèses!N$18*AD8</f>
        <v/>
      </c>
      <c r="AE9" s="24">
        <f>$C9*Hypothèses!C$18*AE8</f>
        <v/>
      </c>
      <c r="AF9" s="24">
        <f>$C9*Hypothèses!D$18*AF8</f>
        <v/>
      </c>
      <c r="AG9" s="24">
        <f>$C9*Hypothèses!E$18*AG8</f>
        <v/>
      </c>
      <c r="AH9" s="24">
        <f>$C9*Hypothèses!F$18*AH8</f>
        <v/>
      </c>
      <c r="AI9" s="24">
        <f>$C9*Hypothèses!G$18*AI8</f>
        <v/>
      </c>
      <c r="AJ9" s="24">
        <f>$C9*Hypothèses!H$18*AJ8</f>
        <v/>
      </c>
      <c r="AK9" s="24">
        <f>$C9*Hypothèses!I$18*AK8</f>
        <v/>
      </c>
      <c r="AL9" s="24">
        <f>$C9*Hypothèses!J$18*AL8</f>
        <v/>
      </c>
      <c r="AM9" s="24">
        <f>$C9*Hypothèses!K$18*AM8</f>
        <v/>
      </c>
      <c r="AN9" s="24">
        <f>$C9*Hypothèses!L$18*AN8</f>
        <v/>
      </c>
      <c r="AO9" s="24">
        <f>$C9*Hypothèses!M$18*AO8</f>
        <v/>
      </c>
      <c r="AP9" s="24">
        <f>$C9*Hypothèses!N$18*AP8</f>
        <v/>
      </c>
      <c r="AQ9" s="24">
        <f>SUM(G9:R9)</f>
        <v/>
      </c>
      <c r="AR9" s="24">
        <f>SUM(S9:AD9)</f>
        <v/>
      </c>
      <c r="AS9" s="24">
        <f>SUM(AE9:AP9)</f>
        <v/>
      </c>
      <c r="AT9" s="24">
        <f>SUM(AQ9:AS9)</f>
        <v/>
      </c>
    </row>
    <row r="10">
      <c r="A10" s="28" t="inlineStr">
        <is>
          <t>Matériaux</t>
        </is>
      </c>
      <c r="B10" s="28" t="inlineStr">
        <is>
          <t>Parpaings / briques</t>
        </is>
      </c>
      <c r="C10" s="29" t="n">
        <v>6000</v>
      </c>
      <c r="D10" s="28" t="inlineStr">
        <is>
          <t>unités</t>
        </is>
      </c>
      <c r="E10" s="10" t="n">
        <v>0.95</v>
      </c>
      <c r="F10" s="30" t="inlineStr">
        <is>
          <t>Estimé — négoce matériaux</t>
        </is>
      </c>
      <c r="G10" s="24">
        <f>$C10*Hypothèses!C$18*$E10*(1+Hypothèses!$C$14)^0</f>
        <v/>
      </c>
      <c r="H10" s="24">
        <f>$C10*Hypothèses!D$18*$E10*(1+Hypothèses!$C$14)^0</f>
        <v/>
      </c>
      <c r="I10" s="24">
        <f>$C10*Hypothèses!E$18*$E10*(1+Hypothèses!$C$14)^0</f>
        <v/>
      </c>
      <c r="J10" s="24">
        <f>$C10*Hypothèses!F$18*$E10*(1+Hypothèses!$C$14)^0</f>
        <v/>
      </c>
      <c r="K10" s="24">
        <f>$C10*Hypothèses!G$18*$E10*(1+Hypothèses!$C$14)^0</f>
        <v/>
      </c>
      <c r="L10" s="24">
        <f>$C10*Hypothèses!H$18*$E10*(1+Hypothèses!$C$14)^0</f>
        <v/>
      </c>
      <c r="M10" s="24">
        <f>$C10*Hypothèses!I$18*$E10*(1+Hypothèses!$C$14)^0</f>
        <v/>
      </c>
      <c r="N10" s="24">
        <f>$C10*Hypothèses!J$18*$E10*(1+Hypothèses!$C$14)^0</f>
        <v/>
      </c>
      <c r="O10" s="24">
        <f>$C10*Hypothèses!K$18*$E10*(1+Hypothèses!$C$14)^0</f>
        <v/>
      </c>
      <c r="P10" s="24">
        <f>$C10*Hypothèses!L$18*$E10*(1+Hypothèses!$C$14)^0</f>
        <v/>
      </c>
      <c r="Q10" s="24">
        <f>$C10*Hypothèses!M$18*$E10*(1+Hypothèses!$C$14)^0</f>
        <v/>
      </c>
      <c r="R10" s="24">
        <f>$C10*Hypothèses!N$18*$E10*(1+Hypothèses!$C$14)^0</f>
        <v/>
      </c>
      <c r="S10" s="24">
        <f>$C10*Hypothèses!C$18*$E10*(1+Hypothèses!$C$14)^1</f>
        <v/>
      </c>
      <c r="T10" s="24">
        <f>$C10*Hypothèses!D$18*$E10*(1+Hypothèses!$C$14)^1</f>
        <v/>
      </c>
      <c r="U10" s="24">
        <f>$C10*Hypothèses!E$18*$E10*(1+Hypothèses!$C$14)^1</f>
        <v/>
      </c>
      <c r="V10" s="24">
        <f>$C10*Hypothèses!F$18*$E10*(1+Hypothèses!$C$14)^1</f>
        <v/>
      </c>
      <c r="W10" s="24">
        <f>$C10*Hypothèses!G$18*$E10*(1+Hypothèses!$C$14)^1</f>
        <v/>
      </c>
      <c r="X10" s="24">
        <f>$C10*Hypothèses!H$18*$E10*(1+Hypothèses!$C$14)^1</f>
        <v/>
      </c>
      <c r="Y10" s="24">
        <f>$C10*Hypothèses!I$18*$E10*(1+Hypothèses!$C$14)^1</f>
        <v/>
      </c>
      <c r="Z10" s="24">
        <f>$C10*Hypothèses!J$18*$E10*(1+Hypothèses!$C$14)^1</f>
        <v/>
      </c>
      <c r="AA10" s="24">
        <f>$C10*Hypothèses!K$18*$E10*(1+Hypothèses!$C$14)^1</f>
        <v/>
      </c>
      <c r="AB10" s="24">
        <f>$C10*Hypothèses!L$18*$E10*(1+Hypothèses!$C$14)^1</f>
        <v/>
      </c>
      <c r="AC10" s="24">
        <f>$C10*Hypothèses!M$18*$E10*(1+Hypothèses!$C$14)^1</f>
        <v/>
      </c>
      <c r="AD10" s="24">
        <f>$C10*Hypothèses!N$18*$E10*(1+Hypothèses!$C$14)^1</f>
        <v/>
      </c>
      <c r="AE10" s="24">
        <f>$C10*Hypothèses!C$18*$E10*(1+Hypothèses!$C$14)^2</f>
        <v/>
      </c>
      <c r="AF10" s="24">
        <f>$C10*Hypothèses!D$18*$E10*(1+Hypothèses!$C$14)^2</f>
        <v/>
      </c>
      <c r="AG10" s="24">
        <f>$C10*Hypothèses!E$18*$E10*(1+Hypothèses!$C$14)^2</f>
        <v/>
      </c>
      <c r="AH10" s="24">
        <f>$C10*Hypothèses!F$18*$E10*(1+Hypothèses!$C$14)^2</f>
        <v/>
      </c>
      <c r="AI10" s="24">
        <f>$C10*Hypothèses!G$18*$E10*(1+Hypothèses!$C$14)^2</f>
        <v/>
      </c>
      <c r="AJ10" s="24">
        <f>$C10*Hypothèses!H$18*$E10*(1+Hypothèses!$C$14)^2</f>
        <v/>
      </c>
      <c r="AK10" s="24">
        <f>$C10*Hypothèses!I$18*$E10*(1+Hypothèses!$C$14)^2</f>
        <v/>
      </c>
      <c r="AL10" s="24">
        <f>$C10*Hypothèses!J$18*$E10*(1+Hypothèses!$C$14)^2</f>
        <v/>
      </c>
      <c r="AM10" s="24">
        <f>$C10*Hypothèses!K$18*$E10*(1+Hypothèses!$C$14)^2</f>
        <v/>
      </c>
      <c r="AN10" s="24">
        <f>$C10*Hypothèses!L$18*$E10*(1+Hypothèses!$C$14)^2</f>
        <v/>
      </c>
      <c r="AO10" s="24">
        <f>$C10*Hypothèses!M$18*$E10*(1+Hypothèses!$C$14)^2</f>
        <v/>
      </c>
      <c r="AP10" s="24">
        <f>$C10*Hypothèses!N$18*$E10*(1+Hypothèses!$C$14)^2</f>
        <v/>
      </c>
      <c r="AQ10" s="24">
        <f>SUM(G10:R10)</f>
        <v/>
      </c>
      <c r="AR10" s="24">
        <f>SUM(S10:AD10)</f>
        <v/>
      </c>
      <c r="AS10" s="24">
        <f>SUM(AE10:AP10)</f>
        <v/>
      </c>
      <c r="AT10" s="24">
        <f>SUM(AQ10:AS10)</f>
        <v/>
      </c>
    </row>
    <row r="11">
      <c r="A11" s="28" t="inlineStr">
        <is>
          <t>Matériaux</t>
        </is>
      </c>
      <c r="B11" s="28" t="inlineStr">
        <is>
          <t>Bois de coffrage</t>
        </is>
      </c>
      <c r="C11" s="29" t="n">
        <v>12</v>
      </c>
      <c r="D11" s="28" t="inlineStr">
        <is>
          <t>m³</t>
        </is>
      </c>
      <c r="E11" s="10" t="n">
        <v>420</v>
      </c>
      <c r="F11" s="30" t="inlineStr">
        <is>
          <t>Estimé — négoce bois</t>
        </is>
      </c>
      <c r="G11" s="24">
        <f>$C11*Hypothèses!C$18*$E11*(1+Hypothèses!$C$14)^0</f>
        <v/>
      </c>
      <c r="H11" s="24">
        <f>$C11*Hypothèses!D$18*$E11*(1+Hypothèses!$C$14)^0</f>
        <v/>
      </c>
      <c r="I11" s="24">
        <f>$C11*Hypothèses!E$18*$E11*(1+Hypothèses!$C$14)^0</f>
        <v/>
      </c>
      <c r="J11" s="24">
        <f>$C11*Hypothèses!F$18*$E11*(1+Hypothèses!$C$14)^0</f>
        <v/>
      </c>
      <c r="K11" s="24">
        <f>$C11*Hypothèses!G$18*$E11*(1+Hypothèses!$C$14)^0</f>
        <v/>
      </c>
      <c r="L11" s="24">
        <f>$C11*Hypothèses!H$18*$E11*(1+Hypothèses!$C$14)^0</f>
        <v/>
      </c>
      <c r="M11" s="24">
        <f>$C11*Hypothèses!I$18*$E11*(1+Hypothèses!$C$14)^0</f>
        <v/>
      </c>
      <c r="N11" s="24">
        <f>$C11*Hypothèses!J$18*$E11*(1+Hypothèses!$C$14)^0</f>
        <v/>
      </c>
      <c r="O11" s="24">
        <f>$C11*Hypothèses!K$18*$E11*(1+Hypothèses!$C$14)^0</f>
        <v/>
      </c>
      <c r="P11" s="24">
        <f>$C11*Hypothèses!L$18*$E11*(1+Hypothèses!$C$14)^0</f>
        <v/>
      </c>
      <c r="Q11" s="24">
        <f>$C11*Hypothèses!M$18*$E11*(1+Hypothèses!$C$14)^0</f>
        <v/>
      </c>
      <c r="R11" s="24">
        <f>$C11*Hypothèses!N$18*$E11*(1+Hypothèses!$C$14)^0</f>
        <v/>
      </c>
      <c r="S11" s="24">
        <f>$C11*Hypothèses!C$18*$E11*(1+Hypothèses!$C$14)^1</f>
        <v/>
      </c>
      <c r="T11" s="24">
        <f>$C11*Hypothèses!D$18*$E11*(1+Hypothèses!$C$14)^1</f>
        <v/>
      </c>
      <c r="U11" s="24">
        <f>$C11*Hypothèses!E$18*$E11*(1+Hypothèses!$C$14)^1</f>
        <v/>
      </c>
      <c r="V11" s="24">
        <f>$C11*Hypothèses!F$18*$E11*(1+Hypothèses!$C$14)^1</f>
        <v/>
      </c>
      <c r="W11" s="24">
        <f>$C11*Hypothèses!G$18*$E11*(1+Hypothèses!$C$14)^1</f>
        <v/>
      </c>
      <c r="X11" s="24">
        <f>$C11*Hypothèses!H$18*$E11*(1+Hypothèses!$C$14)^1</f>
        <v/>
      </c>
      <c r="Y11" s="24">
        <f>$C11*Hypothèses!I$18*$E11*(1+Hypothèses!$C$14)^1</f>
        <v/>
      </c>
      <c r="Z11" s="24">
        <f>$C11*Hypothèses!J$18*$E11*(1+Hypothèses!$C$14)^1</f>
        <v/>
      </c>
      <c r="AA11" s="24">
        <f>$C11*Hypothèses!K$18*$E11*(1+Hypothèses!$C$14)^1</f>
        <v/>
      </c>
      <c r="AB11" s="24">
        <f>$C11*Hypothèses!L$18*$E11*(1+Hypothèses!$C$14)^1</f>
        <v/>
      </c>
      <c r="AC11" s="24">
        <f>$C11*Hypothèses!M$18*$E11*(1+Hypothèses!$C$14)^1</f>
        <v/>
      </c>
      <c r="AD11" s="24">
        <f>$C11*Hypothèses!N$18*$E11*(1+Hypothèses!$C$14)^1</f>
        <v/>
      </c>
      <c r="AE11" s="24">
        <f>$C11*Hypothèses!C$18*$E11*(1+Hypothèses!$C$14)^2</f>
        <v/>
      </c>
      <c r="AF11" s="24">
        <f>$C11*Hypothèses!D$18*$E11*(1+Hypothèses!$C$14)^2</f>
        <v/>
      </c>
      <c r="AG11" s="24">
        <f>$C11*Hypothèses!E$18*$E11*(1+Hypothèses!$C$14)^2</f>
        <v/>
      </c>
      <c r="AH11" s="24">
        <f>$C11*Hypothèses!F$18*$E11*(1+Hypothèses!$C$14)^2</f>
        <v/>
      </c>
      <c r="AI11" s="24">
        <f>$C11*Hypothèses!G$18*$E11*(1+Hypothèses!$C$14)^2</f>
        <v/>
      </c>
      <c r="AJ11" s="24">
        <f>$C11*Hypothèses!H$18*$E11*(1+Hypothèses!$C$14)^2</f>
        <v/>
      </c>
      <c r="AK11" s="24">
        <f>$C11*Hypothèses!I$18*$E11*(1+Hypothèses!$C$14)^2</f>
        <v/>
      </c>
      <c r="AL11" s="24">
        <f>$C11*Hypothèses!J$18*$E11*(1+Hypothèses!$C$14)^2</f>
        <v/>
      </c>
      <c r="AM11" s="24">
        <f>$C11*Hypothèses!K$18*$E11*(1+Hypothèses!$C$14)^2</f>
        <v/>
      </c>
      <c r="AN11" s="24">
        <f>$C11*Hypothèses!L$18*$E11*(1+Hypothèses!$C$14)^2</f>
        <v/>
      </c>
      <c r="AO11" s="24">
        <f>$C11*Hypothèses!M$18*$E11*(1+Hypothèses!$C$14)^2</f>
        <v/>
      </c>
      <c r="AP11" s="24">
        <f>$C11*Hypothèses!N$18*$E11*(1+Hypothèses!$C$14)^2</f>
        <v/>
      </c>
      <c r="AQ11" s="24">
        <f>SUM(G11:R11)</f>
        <v/>
      </c>
      <c r="AR11" s="24">
        <f>SUM(S11:AD11)</f>
        <v/>
      </c>
      <c r="AS11" s="24">
        <f>SUM(AE11:AP11)</f>
        <v/>
      </c>
      <c r="AT11" s="24">
        <f>SUM(AQ11:AS11)</f>
        <v/>
      </c>
    </row>
    <row r="12">
      <c r="A12" s="28" t="inlineStr">
        <is>
          <t>Matériaux</t>
        </is>
      </c>
      <c r="B12" s="28" t="inlineStr">
        <is>
          <t>Isolants (laine, PSE...)</t>
        </is>
      </c>
      <c r="C12" s="29" t="n">
        <v>200</v>
      </c>
      <c r="D12" s="28" t="inlineStr">
        <is>
          <t>m²</t>
        </is>
      </c>
      <c r="E12" s="10" t="n">
        <v>9</v>
      </c>
      <c r="F12" s="30" t="inlineStr">
        <is>
          <t>Estimé — négoce matériaux</t>
        </is>
      </c>
      <c r="G12" s="24">
        <f>$C12*Hypothèses!C$18*$E12*(1+Hypothèses!$C$14)^0</f>
        <v/>
      </c>
      <c r="H12" s="24">
        <f>$C12*Hypothèses!D$18*$E12*(1+Hypothèses!$C$14)^0</f>
        <v/>
      </c>
      <c r="I12" s="24">
        <f>$C12*Hypothèses!E$18*$E12*(1+Hypothèses!$C$14)^0</f>
        <v/>
      </c>
      <c r="J12" s="24">
        <f>$C12*Hypothèses!F$18*$E12*(1+Hypothèses!$C$14)^0</f>
        <v/>
      </c>
      <c r="K12" s="24">
        <f>$C12*Hypothèses!G$18*$E12*(1+Hypothèses!$C$14)^0</f>
        <v/>
      </c>
      <c r="L12" s="24">
        <f>$C12*Hypothèses!H$18*$E12*(1+Hypothèses!$C$14)^0</f>
        <v/>
      </c>
      <c r="M12" s="24">
        <f>$C12*Hypothèses!I$18*$E12*(1+Hypothèses!$C$14)^0</f>
        <v/>
      </c>
      <c r="N12" s="24">
        <f>$C12*Hypothèses!J$18*$E12*(1+Hypothèses!$C$14)^0</f>
        <v/>
      </c>
      <c r="O12" s="24">
        <f>$C12*Hypothèses!K$18*$E12*(1+Hypothèses!$C$14)^0</f>
        <v/>
      </c>
      <c r="P12" s="24">
        <f>$C12*Hypothèses!L$18*$E12*(1+Hypothèses!$C$14)^0</f>
        <v/>
      </c>
      <c r="Q12" s="24">
        <f>$C12*Hypothèses!M$18*$E12*(1+Hypothèses!$C$14)^0</f>
        <v/>
      </c>
      <c r="R12" s="24">
        <f>$C12*Hypothèses!N$18*$E12*(1+Hypothèses!$C$14)^0</f>
        <v/>
      </c>
      <c r="S12" s="24">
        <f>$C12*Hypothèses!C$18*$E12*(1+Hypothèses!$C$14)^1</f>
        <v/>
      </c>
      <c r="T12" s="24">
        <f>$C12*Hypothèses!D$18*$E12*(1+Hypothèses!$C$14)^1</f>
        <v/>
      </c>
      <c r="U12" s="24">
        <f>$C12*Hypothèses!E$18*$E12*(1+Hypothèses!$C$14)^1</f>
        <v/>
      </c>
      <c r="V12" s="24">
        <f>$C12*Hypothèses!F$18*$E12*(1+Hypothèses!$C$14)^1</f>
        <v/>
      </c>
      <c r="W12" s="24">
        <f>$C12*Hypothèses!G$18*$E12*(1+Hypothèses!$C$14)^1</f>
        <v/>
      </c>
      <c r="X12" s="24">
        <f>$C12*Hypothèses!H$18*$E12*(1+Hypothèses!$C$14)^1</f>
        <v/>
      </c>
      <c r="Y12" s="24">
        <f>$C12*Hypothèses!I$18*$E12*(1+Hypothèses!$C$14)^1</f>
        <v/>
      </c>
      <c r="Z12" s="24">
        <f>$C12*Hypothèses!J$18*$E12*(1+Hypothèses!$C$14)^1</f>
        <v/>
      </c>
      <c r="AA12" s="24">
        <f>$C12*Hypothèses!K$18*$E12*(1+Hypothèses!$C$14)^1</f>
        <v/>
      </c>
      <c r="AB12" s="24">
        <f>$C12*Hypothèses!L$18*$E12*(1+Hypothèses!$C$14)^1</f>
        <v/>
      </c>
      <c r="AC12" s="24">
        <f>$C12*Hypothèses!M$18*$E12*(1+Hypothèses!$C$14)^1</f>
        <v/>
      </c>
      <c r="AD12" s="24">
        <f>$C12*Hypothèses!N$18*$E12*(1+Hypothèses!$C$14)^1</f>
        <v/>
      </c>
      <c r="AE12" s="24">
        <f>$C12*Hypothèses!C$18*$E12*(1+Hypothèses!$C$14)^2</f>
        <v/>
      </c>
      <c r="AF12" s="24">
        <f>$C12*Hypothèses!D$18*$E12*(1+Hypothèses!$C$14)^2</f>
        <v/>
      </c>
      <c r="AG12" s="24">
        <f>$C12*Hypothèses!E$18*$E12*(1+Hypothèses!$C$14)^2</f>
        <v/>
      </c>
      <c r="AH12" s="24">
        <f>$C12*Hypothèses!F$18*$E12*(1+Hypothèses!$C$14)^2</f>
        <v/>
      </c>
      <c r="AI12" s="24">
        <f>$C12*Hypothèses!G$18*$E12*(1+Hypothèses!$C$14)^2</f>
        <v/>
      </c>
      <c r="AJ12" s="24">
        <f>$C12*Hypothèses!H$18*$E12*(1+Hypothèses!$C$14)^2</f>
        <v/>
      </c>
      <c r="AK12" s="24">
        <f>$C12*Hypothèses!I$18*$E12*(1+Hypothèses!$C$14)^2</f>
        <v/>
      </c>
      <c r="AL12" s="24">
        <f>$C12*Hypothèses!J$18*$E12*(1+Hypothèses!$C$14)^2</f>
        <v/>
      </c>
      <c r="AM12" s="24">
        <f>$C12*Hypothèses!K$18*$E12*(1+Hypothèses!$C$14)^2</f>
        <v/>
      </c>
      <c r="AN12" s="24">
        <f>$C12*Hypothèses!L$18*$E12*(1+Hypothèses!$C$14)^2</f>
        <v/>
      </c>
      <c r="AO12" s="24">
        <f>$C12*Hypothèses!M$18*$E12*(1+Hypothèses!$C$14)^2</f>
        <v/>
      </c>
      <c r="AP12" s="24">
        <f>$C12*Hypothèses!N$18*$E12*(1+Hypothèses!$C$14)^2</f>
        <v/>
      </c>
      <c r="AQ12" s="24">
        <f>SUM(G12:R12)</f>
        <v/>
      </c>
      <c r="AR12" s="24">
        <f>SUM(S12:AD12)</f>
        <v/>
      </c>
      <c r="AS12" s="24">
        <f>SUM(AE12:AP12)</f>
        <v/>
      </c>
      <c r="AT12" s="24">
        <f>SUM(AQ12:AS12)</f>
        <v/>
      </c>
    </row>
    <row r="13">
      <c r="A13" s="25" t="inlineStr">
        <is>
          <t>SOUS-TOTAL Matériaux</t>
        </is>
      </c>
      <c r="C13" s="35" t="n"/>
      <c r="D13" s="35" t="n"/>
      <c r="E13" s="35" t="n"/>
      <c r="F13" s="35" t="n"/>
      <c r="G13" s="26">
        <f>G5+G6+G7+G9+G10+G11+G12</f>
        <v/>
      </c>
      <c r="H13" s="26">
        <f>H5+H6+H7+H9+H10+H11+H12</f>
        <v/>
      </c>
      <c r="I13" s="26">
        <f>I5+I6+I7+I9+I10+I11+I12</f>
        <v/>
      </c>
      <c r="J13" s="26">
        <f>J5+J6+J7+J9+J10+J11+J12</f>
        <v/>
      </c>
      <c r="K13" s="26">
        <f>K5+K6+K7+K9+K10+K11+K12</f>
        <v/>
      </c>
      <c r="L13" s="26">
        <f>L5+L6+L7+L9+L10+L11+L12</f>
        <v/>
      </c>
      <c r="M13" s="26">
        <f>M5+M6+M7+M9+M10+M11+M12</f>
        <v/>
      </c>
      <c r="N13" s="26">
        <f>N5+N6+N7+N9+N10+N11+N12</f>
        <v/>
      </c>
      <c r="O13" s="26">
        <f>O5+O6+O7+O9+O10+O11+O12</f>
        <v/>
      </c>
      <c r="P13" s="26">
        <f>P5+P6+P7+P9+P10+P11+P12</f>
        <v/>
      </c>
      <c r="Q13" s="26">
        <f>Q5+Q6+Q7+Q9+Q10+Q11+Q12</f>
        <v/>
      </c>
      <c r="R13" s="26">
        <f>R5+R6+R7+R9+R10+R11+R12</f>
        <v/>
      </c>
      <c r="S13" s="26">
        <f>S5+S6+S7+S9+S10+S11+S12</f>
        <v/>
      </c>
      <c r="T13" s="26">
        <f>T5+T6+T7+T9+T10+T11+T12</f>
        <v/>
      </c>
      <c r="U13" s="26">
        <f>U5+U6+U7+U9+U10+U11+U12</f>
        <v/>
      </c>
      <c r="V13" s="26">
        <f>V5+V6+V7+V9+V10+V11+V12</f>
        <v/>
      </c>
      <c r="W13" s="26">
        <f>W5+W6+W7+W9+W10+W11+W12</f>
        <v/>
      </c>
      <c r="X13" s="26">
        <f>X5+X6+X7+X9+X10+X11+X12</f>
        <v/>
      </c>
      <c r="Y13" s="26">
        <f>Y5+Y6+Y7+Y9+Y10+Y11+Y12</f>
        <v/>
      </c>
      <c r="Z13" s="26">
        <f>Z5+Z6+Z7+Z9+Z10+Z11+Z12</f>
        <v/>
      </c>
      <c r="AA13" s="26">
        <f>AA5+AA6+AA7+AA9+AA10+AA11+AA12</f>
        <v/>
      </c>
      <c r="AB13" s="26">
        <f>AB5+AB6+AB7+AB9+AB10+AB11+AB12</f>
        <v/>
      </c>
      <c r="AC13" s="26">
        <f>AC5+AC6+AC7+AC9+AC10+AC11+AC12</f>
        <v/>
      </c>
      <c r="AD13" s="26">
        <f>AD5+AD6+AD7+AD9+AD10+AD11+AD12</f>
        <v/>
      </c>
      <c r="AE13" s="26">
        <f>AE5+AE6+AE7+AE9+AE10+AE11+AE12</f>
        <v/>
      </c>
      <c r="AF13" s="26">
        <f>AF5+AF6+AF7+AF9+AF10+AF11+AF12</f>
        <v/>
      </c>
      <c r="AG13" s="26">
        <f>AG5+AG6+AG7+AG9+AG10+AG11+AG12</f>
        <v/>
      </c>
      <c r="AH13" s="26">
        <f>AH5+AH6+AH7+AH9+AH10+AH11+AH12</f>
        <v/>
      </c>
      <c r="AI13" s="26">
        <f>AI5+AI6+AI7+AI9+AI10+AI11+AI12</f>
        <v/>
      </c>
      <c r="AJ13" s="26">
        <f>AJ5+AJ6+AJ7+AJ9+AJ10+AJ11+AJ12</f>
        <v/>
      </c>
      <c r="AK13" s="26">
        <f>AK5+AK6+AK7+AK9+AK10+AK11+AK12</f>
        <v/>
      </c>
      <c r="AL13" s="26">
        <f>AL5+AL6+AL7+AL9+AL10+AL11+AL12</f>
        <v/>
      </c>
      <c r="AM13" s="26">
        <f>AM5+AM6+AM7+AM9+AM10+AM11+AM12</f>
        <v/>
      </c>
      <c r="AN13" s="26">
        <f>AN5+AN6+AN7+AN9+AN10+AN11+AN12</f>
        <v/>
      </c>
      <c r="AO13" s="26">
        <f>AO5+AO6+AO7+AO9+AO10+AO11+AO12</f>
        <v/>
      </c>
      <c r="AP13" s="26">
        <f>AP5+AP6+AP7+AP9+AP10+AP11+AP12</f>
        <v/>
      </c>
      <c r="AQ13" s="26">
        <f>SUM(G13:R13)</f>
        <v/>
      </c>
      <c r="AR13" s="26">
        <f>SUM(S13:AD13)</f>
        <v/>
      </c>
      <c r="AS13" s="26">
        <f>SUM(AE13:AP13)</f>
        <v/>
      </c>
      <c r="AT13" s="26">
        <f>SUM(AQ13:AS13)</f>
        <v/>
      </c>
    </row>
    <row r="14">
      <c r="A14" s="28" t="inlineStr">
        <is>
          <t>Sous-traitance</t>
        </is>
      </c>
      <c r="B14" s="28" t="inlineStr">
        <is>
          <t>Sous-traitance gros œuvre spécialisé (charpente, étanchéité, terrassement)</t>
        </is>
      </c>
      <c r="C14" s="29" t="n">
        <v>1</v>
      </c>
      <c r="D14" s="28" t="inlineStr">
        <is>
          <t>forfait/mois</t>
        </is>
      </c>
      <c r="E14" s="10" t="n">
        <v>15000</v>
      </c>
      <c r="F14" s="30" t="inlineStr">
        <is>
          <t>Estimé — devis sous-traitants habituels</t>
        </is>
      </c>
      <c r="G14" s="24">
        <f>$C14*Hypothèses!C$18*$E14*(1+Hypothèses!$C$14)^0</f>
        <v/>
      </c>
      <c r="H14" s="24">
        <f>$C14*Hypothèses!D$18*$E14*(1+Hypothèses!$C$14)^0</f>
        <v/>
      </c>
      <c r="I14" s="24">
        <f>$C14*Hypothèses!E$18*$E14*(1+Hypothèses!$C$14)^0</f>
        <v/>
      </c>
      <c r="J14" s="24">
        <f>$C14*Hypothèses!F$18*$E14*(1+Hypothèses!$C$14)^0</f>
        <v/>
      </c>
      <c r="K14" s="24">
        <f>$C14*Hypothèses!G$18*$E14*(1+Hypothèses!$C$14)^0</f>
        <v/>
      </c>
      <c r="L14" s="24">
        <f>$C14*Hypothèses!H$18*$E14*(1+Hypothèses!$C$14)^0</f>
        <v/>
      </c>
      <c r="M14" s="24">
        <f>$C14*Hypothèses!I$18*$E14*(1+Hypothèses!$C$14)^0</f>
        <v/>
      </c>
      <c r="N14" s="24">
        <f>$C14*Hypothèses!J$18*$E14*(1+Hypothèses!$C$14)^0</f>
        <v/>
      </c>
      <c r="O14" s="24">
        <f>$C14*Hypothèses!K$18*$E14*(1+Hypothèses!$C$14)^0</f>
        <v/>
      </c>
      <c r="P14" s="24">
        <f>$C14*Hypothèses!L$18*$E14*(1+Hypothèses!$C$14)^0</f>
        <v/>
      </c>
      <c r="Q14" s="24">
        <f>$C14*Hypothèses!M$18*$E14*(1+Hypothèses!$C$14)^0</f>
        <v/>
      </c>
      <c r="R14" s="24">
        <f>$C14*Hypothèses!N$18*$E14*(1+Hypothèses!$C$14)^0</f>
        <v/>
      </c>
      <c r="S14" s="24">
        <f>$C14*Hypothèses!C$18*$E14*(1+Hypothèses!$C$14)^1</f>
        <v/>
      </c>
      <c r="T14" s="24">
        <f>$C14*Hypothèses!D$18*$E14*(1+Hypothèses!$C$14)^1</f>
        <v/>
      </c>
      <c r="U14" s="24">
        <f>$C14*Hypothèses!E$18*$E14*(1+Hypothèses!$C$14)^1</f>
        <v/>
      </c>
      <c r="V14" s="24">
        <f>$C14*Hypothèses!F$18*$E14*(1+Hypothèses!$C$14)^1</f>
        <v/>
      </c>
      <c r="W14" s="24">
        <f>$C14*Hypothèses!G$18*$E14*(1+Hypothèses!$C$14)^1</f>
        <v/>
      </c>
      <c r="X14" s="24">
        <f>$C14*Hypothèses!H$18*$E14*(1+Hypothèses!$C$14)^1</f>
        <v/>
      </c>
      <c r="Y14" s="24">
        <f>$C14*Hypothèses!I$18*$E14*(1+Hypothèses!$C$14)^1</f>
        <v/>
      </c>
      <c r="Z14" s="24">
        <f>$C14*Hypothèses!J$18*$E14*(1+Hypothèses!$C$14)^1</f>
        <v/>
      </c>
      <c r="AA14" s="24">
        <f>$C14*Hypothèses!K$18*$E14*(1+Hypothèses!$C$14)^1</f>
        <v/>
      </c>
      <c r="AB14" s="24">
        <f>$C14*Hypothèses!L$18*$E14*(1+Hypothèses!$C$14)^1</f>
        <v/>
      </c>
      <c r="AC14" s="24">
        <f>$C14*Hypothèses!M$18*$E14*(1+Hypothèses!$C$14)^1</f>
        <v/>
      </c>
      <c r="AD14" s="24">
        <f>$C14*Hypothèses!N$18*$E14*(1+Hypothèses!$C$14)^1</f>
        <v/>
      </c>
      <c r="AE14" s="24">
        <f>$C14*Hypothèses!C$18*$E14*(1+Hypothèses!$C$14)^2</f>
        <v/>
      </c>
      <c r="AF14" s="24">
        <f>$C14*Hypothèses!D$18*$E14*(1+Hypothèses!$C$14)^2</f>
        <v/>
      </c>
      <c r="AG14" s="24">
        <f>$C14*Hypothèses!E$18*$E14*(1+Hypothèses!$C$14)^2</f>
        <v/>
      </c>
      <c r="AH14" s="24">
        <f>$C14*Hypothèses!F$18*$E14*(1+Hypothèses!$C$14)^2</f>
        <v/>
      </c>
      <c r="AI14" s="24">
        <f>$C14*Hypothèses!G$18*$E14*(1+Hypothèses!$C$14)^2</f>
        <v/>
      </c>
      <c r="AJ14" s="24">
        <f>$C14*Hypothèses!H$18*$E14*(1+Hypothèses!$C$14)^2</f>
        <v/>
      </c>
      <c r="AK14" s="24">
        <f>$C14*Hypothèses!I$18*$E14*(1+Hypothèses!$C$14)^2</f>
        <v/>
      </c>
      <c r="AL14" s="24">
        <f>$C14*Hypothèses!J$18*$E14*(1+Hypothèses!$C$14)^2</f>
        <v/>
      </c>
      <c r="AM14" s="24">
        <f>$C14*Hypothèses!K$18*$E14*(1+Hypothèses!$C$14)^2</f>
        <v/>
      </c>
      <c r="AN14" s="24">
        <f>$C14*Hypothèses!L$18*$E14*(1+Hypothèses!$C$14)^2</f>
        <v/>
      </c>
      <c r="AO14" s="24">
        <f>$C14*Hypothèses!M$18*$E14*(1+Hypothèses!$C$14)^2</f>
        <v/>
      </c>
      <c r="AP14" s="24">
        <f>$C14*Hypothèses!N$18*$E14*(1+Hypothèses!$C$14)^2</f>
        <v/>
      </c>
      <c r="AQ14" s="24">
        <f>SUM(G14:R14)</f>
        <v/>
      </c>
      <c r="AR14" s="24">
        <f>SUM(S14:AD14)</f>
        <v/>
      </c>
      <c r="AS14" s="24">
        <f>SUM(AE14:AP14)</f>
        <v/>
      </c>
      <c r="AT14" s="24">
        <f>SUM(AQ14:AS14)</f>
        <v/>
      </c>
    </row>
    <row r="15">
      <c r="A15" s="28" t="inlineStr">
        <is>
          <t>Sous-traitance</t>
        </is>
      </c>
      <c r="B15" s="28" t="inlineStr">
        <is>
          <t>Sous-traitance second œuvre / ponctuelle</t>
        </is>
      </c>
      <c r="C15" s="29" t="n">
        <v>1</v>
      </c>
      <c r="D15" s="28" t="inlineStr">
        <is>
          <t>forfait/mois</t>
        </is>
      </c>
      <c r="E15" s="10" t="n">
        <v>4000</v>
      </c>
      <c r="F15" s="30" t="inlineStr">
        <is>
          <t>Estimé</t>
        </is>
      </c>
      <c r="G15" s="24">
        <f>$C15*Hypothèses!C$18*$E15*(1+Hypothèses!$C$14)^0</f>
        <v/>
      </c>
      <c r="H15" s="24">
        <f>$C15*Hypothèses!D$18*$E15*(1+Hypothèses!$C$14)^0</f>
        <v/>
      </c>
      <c r="I15" s="24">
        <f>$C15*Hypothèses!E$18*$E15*(1+Hypothèses!$C$14)^0</f>
        <v/>
      </c>
      <c r="J15" s="24">
        <f>$C15*Hypothèses!F$18*$E15*(1+Hypothèses!$C$14)^0</f>
        <v/>
      </c>
      <c r="K15" s="24">
        <f>$C15*Hypothèses!G$18*$E15*(1+Hypothèses!$C$14)^0</f>
        <v/>
      </c>
      <c r="L15" s="24">
        <f>$C15*Hypothèses!H$18*$E15*(1+Hypothèses!$C$14)^0</f>
        <v/>
      </c>
      <c r="M15" s="24">
        <f>$C15*Hypothèses!I$18*$E15*(1+Hypothèses!$C$14)^0</f>
        <v/>
      </c>
      <c r="N15" s="24">
        <f>$C15*Hypothèses!J$18*$E15*(1+Hypothèses!$C$14)^0</f>
        <v/>
      </c>
      <c r="O15" s="24">
        <f>$C15*Hypothèses!K$18*$E15*(1+Hypothèses!$C$14)^0</f>
        <v/>
      </c>
      <c r="P15" s="24">
        <f>$C15*Hypothèses!L$18*$E15*(1+Hypothèses!$C$14)^0</f>
        <v/>
      </c>
      <c r="Q15" s="24">
        <f>$C15*Hypothèses!M$18*$E15*(1+Hypothèses!$C$14)^0</f>
        <v/>
      </c>
      <c r="R15" s="24">
        <f>$C15*Hypothèses!N$18*$E15*(1+Hypothèses!$C$14)^0</f>
        <v/>
      </c>
      <c r="S15" s="24">
        <f>$C15*Hypothèses!C$18*$E15*(1+Hypothèses!$C$14)^1</f>
        <v/>
      </c>
      <c r="T15" s="24">
        <f>$C15*Hypothèses!D$18*$E15*(1+Hypothèses!$C$14)^1</f>
        <v/>
      </c>
      <c r="U15" s="24">
        <f>$C15*Hypothèses!E$18*$E15*(1+Hypothèses!$C$14)^1</f>
        <v/>
      </c>
      <c r="V15" s="24">
        <f>$C15*Hypothèses!F$18*$E15*(1+Hypothèses!$C$14)^1</f>
        <v/>
      </c>
      <c r="W15" s="24">
        <f>$C15*Hypothèses!G$18*$E15*(1+Hypothèses!$C$14)^1</f>
        <v/>
      </c>
      <c r="X15" s="24">
        <f>$C15*Hypothèses!H$18*$E15*(1+Hypothèses!$C$14)^1</f>
        <v/>
      </c>
      <c r="Y15" s="24">
        <f>$C15*Hypothèses!I$18*$E15*(1+Hypothèses!$C$14)^1</f>
        <v/>
      </c>
      <c r="Z15" s="24">
        <f>$C15*Hypothèses!J$18*$E15*(1+Hypothèses!$C$14)^1</f>
        <v/>
      </c>
      <c r="AA15" s="24">
        <f>$C15*Hypothèses!K$18*$E15*(1+Hypothèses!$C$14)^1</f>
        <v/>
      </c>
      <c r="AB15" s="24">
        <f>$C15*Hypothèses!L$18*$E15*(1+Hypothèses!$C$14)^1</f>
        <v/>
      </c>
      <c r="AC15" s="24">
        <f>$C15*Hypothèses!M$18*$E15*(1+Hypothèses!$C$14)^1</f>
        <v/>
      </c>
      <c r="AD15" s="24">
        <f>$C15*Hypothèses!N$18*$E15*(1+Hypothèses!$C$14)^1</f>
        <v/>
      </c>
      <c r="AE15" s="24">
        <f>$C15*Hypothèses!C$18*$E15*(1+Hypothèses!$C$14)^2</f>
        <v/>
      </c>
      <c r="AF15" s="24">
        <f>$C15*Hypothèses!D$18*$E15*(1+Hypothèses!$C$14)^2</f>
        <v/>
      </c>
      <c r="AG15" s="24">
        <f>$C15*Hypothèses!E$18*$E15*(1+Hypothèses!$C$14)^2</f>
        <v/>
      </c>
      <c r="AH15" s="24">
        <f>$C15*Hypothèses!F$18*$E15*(1+Hypothèses!$C$14)^2</f>
        <v/>
      </c>
      <c r="AI15" s="24">
        <f>$C15*Hypothèses!G$18*$E15*(1+Hypothèses!$C$14)^2</f>
        <v/>
      </c>
      <c r="AJ15" s="24">
        <f>$C15*Hypothèses!H$18*$E15*(1+Hypothèses!$C$14)^2</f>
        <v/>
      </c>
      <c r="AK15" s="24">
        <f>$C15*Hypothèses!I$18*$E15*(1+Hypothèses!$C$14)^2</f>
        <v/>
      </c>
      <c r="AL15" s="24">
        <f>$C15*Hypothèses!J$18*$E15*(1+Hypothèses!$C$14)^2</f>
        <v/>
      </c>
      <c r="AM15" s="24">
        <f>$C15*Hypothèses!K$18*$E15*(1+Hypothèses!$C$14)^2</f>
        <v/>
      </c>
      <c r="AN15" s="24">
        <f>$C15*Hypothèses!L$18*$E15*(1+Hypothèses!$C$14)^2</f>
        <v/>
      </c>
      <c r="AO15" s="24">
        <f>$C15*Hypothèses!M$18*$E15*(1+Hypothèses!$C$14)^2</f>
        <v/>
      </c>
      <c r="AP15" s="24">
        <f>$C15*Hypothèses!N$18*$E15*(1+Hypothèses!$C$14)^2</f>
        <v/>
      </c>
      <c r="AQ15" s="24">
        <f>SUM(G15:R15)</f>
        <v/>
      </c>
      <c r="AR15" s="24">
        <f>SUM(S15:AD15)</f>
        <v/>
      </c>
      <c r="AS15" s="24">
        <f>SUM(AE15:AP15)</f>
        <v/>
      </c>
      <c r="AT15" s="24">
        <f>SUM(AQ15:AS15)</f>
        <v/>
      </c>
    </row>
    <row r="16">
      <c r="A16" s="25" t="inlineStr">
        <is>
          <t>SOUS-TOTAL Sous-traitance</t>
        </is>
      </c>
      <c r="C16" s="35" t="n"/>
      <c r="D16" s="35" t="n"/>
      <c r="E16" s="35" t="n"/>
      <c r="F16" s="35" t="n"/>
      <c r="G16" s="26">
        <f>G14+G15</f>
        <v/>
      </c>
      <c r="H16" s="26">
        <f>H14+H15</f>
        <v/>
      </c>
      <c r="I16" s="26">
        <f>I14+I15</f>
        <v/>
      </c>
      <c r="J16" s="26">
        <f>J14+J15</f>
        <v/>
      </c>
      <c r="K16" s="26">
        <f>K14+K15</f>
        <v/>
      </c>
      <c r="L16" s="26">
        <f>L14+L15</f>
        <v/>
      </c>
      <c r="M16" s="26">
        <f>M14+M15</f>
        <v/>
      </c>
      <c r="N16" s="26">
        <f>N14+N15</f>
        <v/>
      </c>
      <c r="O16" s="26">
        <f>O14+O15</f>
        <v/>
      </c>
      <c r="P16" s="26">
        <f>P14+P15</f>
        <v/>
      </c>
      <c r="Q16" s="26">
        <f>Q14+Q15</f>
        <v/>
      </c>
      <c r="R16" s="26">
        <f>R14+R15</f>
        <v/>
      </c>
      <c r="S16" s="26">
        <f>S14+S15</f>
        <v/>
      </c>
      <c r="T16" s="26">
        <f>T14+T15</f>
        <v/>
      </c>
      <c r="U16" s="26">
        <f>U14+U15</f>
        <v/>
      </c>
      <c r="V16" s="26">
        <f>V14+V15</f>
        <v/>
      </c>
      <c r="W16" s="26">
        <f>W14+W15</f>
        <v/>
      </c>
      <c r="X16" s="26">
        <f>X14+X15</f>
        <v/>
      </c>
      <c r="Y16" s="26">
        <f>Y14+Y15</f>
        <v/>
      </c>
      <c r="Z16" s="26">
        <f>Z14+Z15</f>
        <v/>
      </c>
      <c r="AA16" s="26">
        <f>AA14+AA15</f>
        <v/>
      </c>
      <c r="AB16" s="26">
        <f>AB14+AB15</f>
        <v/>
      </c>
      <c r="AC16" s="26">
        <f>AC14+AC15</f>
        <v/>
      </c>
      <c r="AD16" s="26">
        <f>AD14+AD15</f>
        <v/>
      </c>
      <c r="AE16" s="26">
        <f>AE14+AE15</f>
        <v/>
      </c>
      <c r="AF16" s="26">
        <f>AF14+AF15</f>
        <v/>
      </c>
      <c r="AG16" s="26">
        <f>AG14+AG15</f>
        <v/>
      </c>
      <c r="AH16" s="26">
        <f>AH14+AH15</f>
        <v/>
      </c>
      <c r="AI16" s="26">
        <f>AI14+AI15</f>
        <v/>
      </c>
      <c r="AJ16" s="26">
        <f>AJ14+AJ15</f>
        <v/>
      </c>
      <c r="AK16" s="26">
        <f>AK14+AK15</f>
        <v/>
      </c>
      <c r="AL16" s="26">
        <f>AL14+AL15</f>
        <v/>
      </c>
      <c r="AM16" s="26">
        <f>AM14+AM15</f>
        <v/>
      </c>
      <c r="AN16" s="26">
        <f>AN14+AN15</f>
        <v/>
      </c>
      <c r="AO16" s="26">
        <f>AO14+AO15</f>
        <v/>
      </c>
      <c r="AP16" s="26">
        <f>AP14+AP15</f>
        <v/>
      </c>
      <c r="AQ16" s="26">
        <f>SUM(G16:R16)</f>
        <v/>
      </c>
      <c r="AR16" s="26">
        <f>SUM(S16:AD16)</f>
        <v/>
      </c>
      <c r="AS16" s="26">
        <f>SUM(AE16:AP16)</f>
        <v/>
      </c>
      <c r="AT16" s="26">
        <f>SUM(AQ16:AS16)</f>
        <v/>
      </c>
    </row>
    <row r="17">
      <c r="A17" s="28" t="inlineStr">
        <is>
          <t>Carburant &amp; engins</t>
        </is>
      </c>
      <c r="B17" s="31" t="inlineStr">
        <is>
          <t>Gazole non routier (GNR) — engins de chantier — prix de marché simulé (€/unité)</t>
        </is>
      </c>
      <c r="C17" s="32" t="n"/>
      <c r="D17" s="31" t="inlineStr">
        <is>
          <t>litres</t>
        </is>
      </c>
      <c r="E17" s="33">
        <f>AVERAGE(G17:AP17)</f>
        <v/>
      </c>
      <c r="F17" s="30" t="inlineStr">
        <is>
          <t>API marché (proxy WTI/BRENT, Alpha Vantage) — simulation calibrée</t>
        </is>
      </c>
      <c r="G17" s="34" t="n">
        <v>1.0608</v>
      </c>
      <c r="H17" s="34" t="n">
        <v>0.9559</v>
      </c>
      <c r="I17" s="34" t="n">
        <v>0.9199000000000001</v>
      </c>
      <c r="J17" s="34" t="n">
        <v>0.9444</v>
      </c>
      <c r="K17" s="34" t="n">
        <v>0.8682</v>
      </c>
      <c r="L17" s="34" t="n">
        <v>0.7258</v>
      </c>
      <c r="M17" s="34" t="n">
        <v>0.6378</v>
      </c>
      <c r="N17" s="34" t="n">
        <v>0.677</v>
      </c>
      <c r="O17" s="34" t="n">
        <v>0.7346</v>
      </c>
      <c r="P17" s="34" t="n">
        <v>0.7498</v>
      </c>
      <c r="Q17" s="34" t="n">
        <v>0.7693</v>
      </c>
      <c r="R17" s="34" t="n">
        <v>0.8305</v>
      </c>
      <c r="S17" s="34" t="n">
        <v>0.7441</v>
      </c>
      <c r="T17" s="34" t="n">
        <v>0.6793</v>
      </c>
      <c r="U17" s="34" t="n">
        <v>0.5855</v>
      </c>
      <c r="V17" s="34" t="n">
        <v>0.5775</v>
      </c>
      <c r="W17" s="34" t="n">
        <v>0.5775</v>
      </c>
      <c r="X17" s="34" t="n">
        <v>0.5971</v>
      </c>
      <c r="Y17" s="34" t="n">
        <v>0.5775</v>
      </c>
      <c r="Z17" s="34" t="n">
        <v>0.5924</v>
      </c>
      <c r="AA17" s="34" t="n">
        <v>0.5903</v>
      </c>
      <c r="AB17" s="34" t="n">
        <v>0.5803</v>
      </c>
      <c r="AC17" s="34" t="n">
        <v>0.5814</v>
      </c>
      <c r="AD17" s="34" t="n">
        <v>0.6135</v>
      </c>
      <c r="AE17" s="34" t="n">
        <v>0.5775</v>
      </c>
      <c r="AF17" s="34" t="n">
        <v>0.5926</v>
      </c>
      <c r="AG17" s="34" t="n">
        <v>0.5919</v>
      </c>
      <c r="AH17" s="34" t="n">
        <v>0.6052999999999999</v>
      </c>
      <c r="AI17" s="34" t="n">
        <v>0.6748</v>
      </c>
      <c r="AJ17" s="34" t="n">
        <v>0.6189</v>
      </c>
      <c r="AK17" s="34" t="n">
        <v>0.6214</v>
      </c>
      <c r="AL17" s="34" t="n">
        <v>0.6102</v>
      </c>
      <c r="AM17" s="34" t="n">
        <v>0.6093</v>
      </c>
      <c r="AN17" s="34" t="n">
        <v>0.6368</v>
      </c>
      <c r="AO17" s="34" t="n">
        <v>0.6575</v>
      </c>
      <c r="AP17" s="34" t="n">
        <v>0.6464</v>
      </c>
    </row>
    <row r="18">
      <c r="A18" s="28" t="inlineStr">
        <is>
          <t>Carburant &amp; engins</t>
        </is>
      </c>
      <c r="B18" s="28" t="inlineStr">
        <is>
          <t>↳ Coût (Gazole non routier (GNR) — engins de chantier)</t>
        </is>
      </c>
      <c r="C18" s="29" t="n">
        <v>4500</v>
      </c>
      <c r="D18" s="28" t="inlineStr">
        <is>
          <t>litres</t>
        </is>
      </c>
      <c r="E18" s="32" t="n"/>
      <c r="F18" s="31" t="inlineStr">
        <is>
          <t>Coût = Qté de base × saisonnalité × prix simulé ci-dessus</t>
        </is>
      </c>
      <c r="G18" s="24">
        <f>$C18*Hypothèses!C$18*G17</f>
        <v/>
      </c>
      <c r="H18" s="24">
        <f>$C18*Hypothèses!D$18*H17</f>
        <v/>
      </c>
      <c r="I18" s="24">
        <f>$C18*Hypothèses!E$18*I17</f>
        <v/>
      </c>
      <c r="J18" s="24">
        <f>$C18*Hypothèses!F$18*J17</f>
        <v/>
      </c>
      <c r="K18" s="24">
        <f>$C18*Hypothèses!G$18*K17</f>
        <v/>
      </c>
      <c r="L18" s="24">
        <f>$C18*Hypothèses!H$18*L17</f>
        <v/>
      </c>
      <c r="M18" s="24">
        <f>$C18*Hypothèses!I$18*M17</f>
        <v/>
      </c>
      <c r="N18" s="24">
        <f>$C18*Hypothèses!J$18*N17</f>
        <v/>
      </c>
      <c r="O18" s="24">
        <f>$C18*Hypothèses!K$18*O17</f>
        <v/>
      </c>
      <c r="P18" s="24">
        <f>$C18*Hypothèses!L$18*P17</f>
        <v/>
      </c>
      <c r="Q18" s="24">
        <f>$C18*Hypothèses!M$18*Q17</f>
        <v/>
      </c>
      <c r="R18" s="24">
        <f>$C18*Hypothèses!N$18*R17</f>
        <v/>
      </c>
      <c r="S18" s="24">
        <f>$C18*Hypothèses!C$18*S17</f>
        <v/>
      </c>
      <c r="T18" s="24">
        <f>$C18*Hypothèses!D$18*T17</f>
        <v/>
      </c>
      <c r="U18" s="24">
        <f>$C18*Hypothèses!E$18*U17</f>
        <v/>
      </c>
      <c r="V18" s="24">
        <f>$C18*Hypothèses!F$18*V17</f>
        <v/>
      </c>
      <c r="W18" s="24">
        <f>$C18*Hypothèses!G$18*W17</f>
        <v/>
      </c>
      <c r="X18" s="24">
        <f>$C18*Hypothèses!H$18*X17</f>
        <v/>
      </c>
      <c r="Y18" s="24">
        <f>$C18*Hypothèses!I$18*Y17</f>
        <v/>
      </c>
      <c r="Z18" s="24">
        <f>$C18*Hypothèses!J$18*Z17</f>
        <v/>
      </c>
      <c r="AA18" s="24">
        <f>$C18*Hypothèses!K$18*AA17</f>
        <v/>
      </c>
      <c r="AB18" s="24">
        <f>$C18*Hypothèses!L$18*AB17</f>
        <v/>
      </c>
      <c r="AC18" s="24">
        <f>$C18*Hypothèses!M$18*AC17</f>
        <v/>
      </c>
      <c r="AD18" s="24">
        <f>$C18*Hypothèses!N$18*AD17</f>
        <v/>
      </c>
      <c r="AE18" s="24">
        <f>$C18*Hypothèses!C$18*AE17</f>
        <v/>
      </c>
      <c r="AF18" s="24">
        <f>$C18*Hypothèses!D$18*AF17</f>
        <v/>
      </c>
      <c r="AG18" s="24">
        <f>$C18*Hypothèses!E$18*AG17</f>
        <v/>
      </c>
      <c r="AH18" s="24">
        <f>$C18*Hypothèses!F$18*AH17</f>
        <v/>
      </c>
      <c r="AI18" s="24">
        <f>$C18*Hypothèses!G$18*AI17</f>
        <v/>
      </c>
      <c r="AJ18" s="24">
        <f>$C18*Hypothèses!H$18*AJ17</f>
        <v/>
      </c>
      <c r="AK18" s="24">
        <f>$C18*Hypothèses!I$18*AK17</f>
        <v/>
      </c>
      <c r="AL18" s="24">
        <f>$C18*Hypothèses!J$18*AL17</f>
        <v/>
      </c>
      <c r="AM18" s="24">
        <f>$C18*Hypothèses!K$18*AM17</f>
        <v/>
      </c>
      <c r="AN18" s="24">
        <f>$C18*Hypothèses!L$18*AN17</f>
        <v/>
      </c>
      <c r="AO18" s="24">
        <f>$C18*Hypothèses!M$18*AO17</f>
        <v/>
      </c>
      <c r="AP18" s="24">
        <f>$C18*Hypothèses!N$18*AP17</f>
        <v/>
      </c>
      <c r="AQ18" s="24">
        <f>SUM(G18:R18)</f>
        <v/>
      </c>
      <c r="AR18" s="24">
        <f>SUM(S18:AD18)</f>
        <v/>
      </c>
      <c r="AS18" s="24">
        <f>SUM(AE18:AP18)</f>
        <v/>
      </c>
      <c r="AT18" s="24">
        <f>SUM(AQ18:AS18)</f>
        <v/>
      </c>
    </row>
    <row r="19">
      <c r="A19" s="28" t="inlineStr">
        <is>
          <t>Carburant &amp; engins</t>
        </is>
      </c>
      <c r="B19" s="31" t="inlineStr">
        <is>
          <t>Carburant véhicules utilitaires (camions, fourgons) — prix de marché simulé (€/unité)</t>
        </is>
      </c>
      <c r="C19" s="32" t="n"/>
      <c r="D19" s="31" t="inlineStr">
        <is>
          <t>litres</t>
        </is>
      </c>
      <c r="E19" s="33">
        <f>AVERAGE(G19:AP19)</f>
        <v/>
      </c>
      <c r="F19" s="30" t="inlineStr">
        <is>
          <t>API marché (proxy WTI/BRENT, Alpha Vantage) — simulation calibrée</t>
        </is>
      </c>
      <c r="G19" s="34" t="n">
        <v>1.9224</v>
      </c>
      <c r="H19" s="34" t="n">
        <v>2.045</v>
      </c>
      <c r="I19" s="34" t="n">
        <v>1.9795</v>
      </c>
      <c r="J19" s="34" t="n">
        <v>1.9341</v>
      </c>
      <c r="K19" s="34" t="n">
        <v>1.9659</v>
      </c>
      <c r="L19" s="34" t="n">
        <v>1.8131</v>
      </c>
      <c r="M19" s="34" t="n">
        <v>1.8863</v>
      </c>
      <c r="N19" s="34" t="n">
        <v>1.7518</v>
      </c>
      <c r="O19" s="34" t="n">
        <v>1.724</v>
      </c>
      <c r="P19" s="34" t="n">
        <v>1.5504</v>
      </c>
      <c r="Q19" s="34" t="n">
        <v>1.5295</v>
      </c>
      <c r="R19" s="34" t="n">
        <v>1.566</v>
      </c>
      <c r="S19" s="34" t="n">
        <v>1.6059</v>
      </c>
      <c r="T19" s="34" t="n">
        <v>1.5795</v>
      </c>
      <c r="U19" s="34" t="n">
        <v>1.3083</v>
      </c>
      <c r="V19" s="34" t="n">
        <v>1.2258</v>
      </c>
      <c r="W19" s="34" t="n">
        <v>1.1938</v>
      </c>
      <c r="X19" s="34" t="n">
        <v>1.2406</v>
      </c>
      <c r="Y19" s="34" t="n">
        <v>1.2055</v>
      </c>
      <c r="Z19" s="34" t="n">
        <v>1.24</v>
      </c>
      <c r="AA19" s="34" t="n">
        <v>1.2418</v>
      </c>
      <c r="AB19" s="34" t="n">
        <v>1.181</v>
      </c>
      <c r="AC19" s="34" t="n">
        <v>1.2682</v>
      </c>
      <c r="AD19" s="34" t="n">
        <v>1.3156</v>
      </c>
      <c r="AE19" s="34" t="n">
        <v>1.3147</v>
      </c>
      <c r="AF19" s="34" t="n">
        <v>1.3661</v>
      </c>
      <c r="AG19" s="34" t="n">
        <v>1.5239</v>
      </c>
      <c r="AH19" s="34" t="n">
        <v>1.5446</v>
      </c>
      <c r="AI19" s="34" t="n">
        <v>1.4567</v>
      </c>
      <c r="AJ19" s="34" t="n">
        <v>1.5411</v>
      </c>
      <c r="AK19" s="34" t="n">
        <v>1.3582</v>
      </c>
      <c r="AL19" s="34" t="n">
        <v>1.3802</v>
      </c>
      <c r="AM19" s="34" t="n">
        <v>1.4893</v>
      </c>
      <c r="AN19" s="34" t="n">
        <v>1.5435</v>
      </c>
      <c r="AO19" s="34" t="n">
        <v>1.582</v>
      </c>
      <c r="AP19" s="34" t="n">
        <v>1.5166</v>
      </c>
    </row>
    <row r="20">
      <c r="A20" s="28" t="inlineStr">
        <is>
          <t>Carburant &amp; engins</t>
        </is>
      </c>
      <c r="B20" s="28" t="inlineStr">
        <is>
          <t>↳ Coût (Carburant véhicules utilitaires (camions, fourgons))</t>
        </is>
      </c>
      <c r="C20" s="29" t="n">
        <v>1800</v>
      </c>
      <c r="D20" s="28" t="inlineStr">
        <is>
          <t>litres</t>
        </is>
      </c>
      <c r="E20" s="32" t="n"/>
      <c r="F20" s="31" t="inlineStr">
        <is>
          <t>Coût = Qté de base × saisonnalité × prix simulé ci-dessus</t>
        </is>
      </c>
      <c r="G20" s="24">
        <f>$C20*Hypothèses!C$18*G19</f>
        <v/>
      </c>
      <c r="H20" s="24">
        <f>$C20*Hypothèses!D$18*H19</f>
        <v/>
      </c>
      <c r="I20" s="24">
        <f>$C20*Hypothèses!E$18*I19</f>
        <v/>
      </c>
      <c r="J20" s="24">
        <f>$C20*Hypothèses!F$18*J19</f>
        <v/>
      </c>
      <c r="K20" s="24">
        <f>$C20*Hypothèses!G$18*K19</f>
        <v/>
      </c>
      <c r="L20" s="24">
        <f>$C20*Hypothèses!H$18*L19</f>
        <v/>
      </c>
      <c r="M20" s="24">
        <f>$C20*Hypothèses!I$18*M19</f>
        <v/>
      </c>
      <c r="N20" s="24">
        <f>$C20*Hypothèses!J$18*N19</f>
        <v/>
      </c>
      <c r="O20" s="24">
        <f>$C20*Hypothèses!K$18*O19</f>
        <v/>
      </c>
      <c r="P20" s="24">
        <f>$C20*Hypothèses!L$18*P19</f>
        <v/>
      </c>
      <c r="Q20" s="24">
        <f>$C20*Hypothèses!M$18*Q19</f>
        <v/>
      </c>
      <c r="R20" s="24">
        <f>$C20*Hypothèses!N$18*R19</f>
        <v/>
      </c>
      <c r="S20" s="24">
        <f>$C20*Hypothèses!C$18*S19</f>
        <v/>
      </c>
      <c r="T20" s="24">
        <f>$C20*Hypothèses!D$18*T19</f>
        <v/>
      </c>
      <c r="U20" s="24">
        <f>$C20*Hypothèses!E$18*U19</f>
        <v/>
      </c>
      <c r="V20" s="24">
        <f>$C20*Hypothèses!F$18*V19</f>
        <v/>
      </c>
      <c r="W20" s="24">
        <f>$C20*Hypothèses!G$18*W19</f>
        <v/>
      </c>
      <c r="X20" s="24">
        <f>$C20*Hypothèses!H$18*X19</f>
        <v/>
      </c>
      <c r="Y20" s="24">
        <f>$C20*Hypothèses!I$18*Y19</f>
        <v/>
      </c>
      <c r="Z20" s="24">
        <f>$C20*Hypothèses!J$18*Z19</f>
        <v/>
      </c>
      <c r="AA20" s="24">
        <f>$C20*Hypothèses!K$18*AA19</f>
        <v/>
      </c>
      <c r="AB20" s="24">
        <f>$C20*Hypothèses!L$18*AB19</f>
        <v/>
      </c>
      <c r="AC20" s="24">
        <f>$C20*Hypothèses!M$18*AC19</f>
        <v/>
      </c>
      <c r="AD20" s="24">
        <f>$C20*Hypothèses!N$18*AD19</f>
        <v/>
      </c>
      <c r="AE20" s="24">
        <f>$C20*Hypothèses!C$18*AE19</f>
        <v/>
      </c>
      <c r="AF20" s="24">
        <f>$C20*Hypothèses!D$18*AF19</f>
        <v/>
      </c>
      <c r="AG20" s="24">
        <f>$C20*Hypothèses!E$18*AG19</f>
        <v/>
      </c>
      <c r="AH20" s="24">
        <f>$C20*Hypothèses!F$18*AH19</f>
        <v/>
      </c>
      <c r="AI20" s="24">
        <f>$C20*Hypothèses!G$18*AI19</f>
        <v/>
      </c>
      <c r="AJ20" s="24">
        <f>$C20*Hypothèses!H$18*AJ19</f>
        <v/>
      </c>
      <c r="AK20" s="24">
        <f>$C20*Hypothèses!I$18*AK19</f>
        <v/>
      </c>
      <c r="AL20" s="24">
        <f>$C20*Hypothèses!J$18*AL19</f>
        <v/>
      </c>
      <c r="AM20" s="24">
        <f>$C20*Hypothèses!K$18*AM19</f>
        <v/>
      </c>
      <c r="AN20" s="24">
        <f>$C20*Hypothèses!L$18*AN19</f>
        <v/>
      </c>
      <c r="AO20" s="24">
        <f>$C20*Hypothèses!M$18*AO19</f>
        <v/>
      </c>
      <c r="AP20" s="24">
        <f>$C20*Hypothèses!N$18*AP19</f>
        <v/>
      </c>
      <c r="AQ20" s="24">
        <f>SUM(G20:R20)</f>
        <v/>
      </c>
      <c r="AR20" s="24">
        <f>SUM(S20:AD20)</f>
        <v/>
      </c>
      <c r="AS20" s="24">
        <f>SUM(AE20:AP20)</f>
        <v/>
      </c>
      <c r="AT20" s="24">
        <f>SUM(AQ20:AS20)</f>
        <v/>
      </c>
    </row>
    <row r="21">
      <c r="A21" s="25" t="inlineStr">
        <is>
          <t>SOUS-TOTAL Carburant &amp; engins</t>
        </is>
      </c>
      <c r="C21" s="35" t="n"/>
      <c r="D21" s="35" t="n"/>
      <c r="E21" s="35" t="n"/>
      <c r="F21" s="35" t="n"/>
      <c r="G21" s="26">
        <f>G18+G20</f>
        <v/>
      </c>
      <c r="H21" s="26">
        <f>H18+H20</f>
        <v/>
      </c>
      <c r="I21" s="26">
        <f>I18+I20</f>
        <v/>
      </c>
      <c r="J21" s="26">
        <f>J18+J20</f>
        <v/>
      </c>
      <c r="K21" s="26">
        <f>K18+K20</f>
        <v/>
      </c>
      <c r="L21" s="26">
        <f>L18+L20</f>
        <v/>
      </c>
      <c r="M21" s="26">
        <f>M18+M20</f>
        <v/>
      </c>
      <c r="N21" s="26">
        <f>N18+N20</f>
        <v/>
      </c>
      <c r="O21" s="26">
        <f>O18+O20</f>
        <v/>
      </c>
      <c r="P21" s="26">
        <f>P18+P20</f>
        <v/>
      </c>
      <c r="Q21" s="26">
        <f>Q18+Q20</f>
        <v/>
      </c>
      <c r="R21" s="26">
        <f>R18+R20</f>
        <v/>
      </c>
      <c r="S21" s="26">
        <f>S18+S20</f>
        <v/>
      </c>
      <c r="T21" s="26">
        <f>T18+T20</f>
        <v/>
      </c>
      <c r="U21" s="26">
        <f>U18+U20</f>
        <v/>
      </c>
      <c r="V21" s="26">
        <f>V18+V20</f>
        <v/>
      </c>
      <c r="W21" s="26">
        <f>W18+W20</f>
        <v/>
      </c>
      <c r="X21" s="26">
        <f>X18+X20</f>
        <v/>
      </c>
      <c r="Y21" s="26">
        <f>Y18+Y20</f>
        <v/>
      </c>
      <c r="Z21" s="26">
        <f>Z18+Z20</f>
        <v/>
      </c>
      <c r="AA21" s="26">
        <f>AA18+AA20</f>
        <v/>
      </c>
      <c r="AB21" s="26">
        <f>AB18+AB20</f>
        <v/>
      </c>
      <c r="AC21" s="26">
        <f>AC18+AC20</f>
        <v/>
      </c>
      <c r="AD21" s="26">
        <f>AD18+AD20</f>
        <v/>
      </c>
      <c r="AE21" s="26">
        <f>AE18+AE20</f>
        <v/>
      </c>
      <c r="AF21" s="26">
        <f>AF18+AF20</f>
        <v/>
      </c>
      <c r="AG21" s="26">
        <f>AG18+AG20</f>
        <v/>
      </c>
      <c r="AH21" s="26">
        <f>AH18+AH20</f>
        <v/>
      </c>
      <c r="AI21" s="26">
        <f>AI18+AI20</f>
        <v/>
      </c>
      <c r="AJ21" s="26">
        <f>AJ18+AJ20</f>
        <v/>
      </c>
      <c r="AK21" s="26">
        <f>AK18+AK20</f>
        <v/>
      </c>
      <c r="AL21" s="26">
        <f>AL18+AL20</f>
        <v/>
      </c>
      <c r="AM21" s="26">
        <f>AM18+AM20</f>
        <v/>
      </c>
      <c r="AN21" s="26">
        <f>AN18+AN20</f>
        <v/>
      </c>
      <c r="AO21" s="26">
        <f>AO18+AO20</f>
        <v/>
      </c>
      <c r="AP21" s="26">
        <f>AP18+AP20</f>
        <v/>
      </c>
      <c r="AQ21" s="26">
        <f>SUM(G21:R21)</f>
        <v/>
      </c>
      <c r="AR21" s="26">
        <f>SUM(S21:AD21)</f>
        <v/>
      </c>
      <c r="AS21" s="26">
        <f>SUM(AE21:AP21)</f>
        <v/>
      </c>
      <c r="AT21" s="26">
        <f>SUM(AQ21:AS21)</f>
        <v/>
      </c>
    </row>
    <row r="22">
      <c r="A22" s="28" t="inlineStr">
        <is>
          <t>Location matériel</t>
        </is>
      </c>
      <c r="B22" s="28" t="inlineStr">
        <is>
          <t>Location engins (pelleteuse, nacelle, compacteur)</t>
        </is>
      </c>
      <c r="C22" s="29" t="n">
        <v>1</v>
      </c>
      <c r="D22" s="28" t="inlineStr">
        <is>
          <t>forfait/mois</t>
        </is>
      </c>
      <c r="E22" s="10" t="n">
        <v>3500</v>
      </c>
      <c r="F22" s="30" t="inlineStr">
        <is>
          <t>Estimé — tarif loueur régional</t>
        </is>
      </c>
      <c r="G22" s="24">
        <f>$C22*Hypothèses!C$18*$E22*(1+Hypothèses!$C$14)^0</f>
        <v/>
      </c>
      <c r="H22" s="24">
        <f>$C22*Hypothèses!D$18*$E22*(1+Hypothèses!$C$14)^0</f>
        <v/>
      </c>
      <c r="I22" s="24">
        <f>$C22*Hypothèses!E$18*$E22*(1+Hypothèses!$C$14)^0</f>
        <v/>
      </c>
      <c r="J22" s="24">
        <f>$C22*Hypothèses!F$18*$E22*(1+Hypothèses!$C$14)^0</f>
        <v/>
      </c>
      <c r="K22" s="24">
        <f>$C22*Hypothèses!G$18*$E22*(1+Hypothèses!$C$14)^0</f>
        <v/>
      </c>
      <c r="L22" s="24">
        <f>$C22*Hypothèses!H$18*$E22*(1+Hypothèses!$C$14)^0</f>
        <v/>
      </c>
      <c r="M22" s="24">
        <f>$C22*Hypothèses!I$18*$E22*(1+Hypothèses!$C$14)^0</f>
        <v/>
      </c>
      <c r="N22" s="24">
        <f>$C22*Hypothèses!J$18*$E22*(1+Hypothèses!$C$14)^0</f>
        <v/>
      </c>
      <c r="O22" s="24">
        <f>$C22*Hypothèses!K$18*$E22*(1+Hypothèses!$C$14)^0</f>
        <v/>
      </c>
      <c r="P22" s="24">
        <f>$C22*Hypothèses!L$18*$E22*(1+Hypothèses!$C$14)^0</f>
        <v/>
      </c>
      <c r="Q22" s="24">
        <f>$C22*Hypothèses!M$18*$E22*(1+Hypothèses!$C$14)^0</f>
        <v/>
      </c>
      <c r="R22" s="24">
        <f>$C22*Hypothèses!N$18*$E22*(1+Hypothèses!$C$14)^0</f>
        <v/>
      </c>
      <c r="S22" s="24">
        <f>$C22*Hypothèses!C$18*$E22*(1+Hypothèses!$C$14)^1</f>
        <v/>
      </c>
      <c r="T22" s="24">
        <f>$C22*Hypothèses!D$18*$E22*(1+Hypothèses!$C$14)^1</f>
        <v/>
      </c>
      <c r="U22" s="24">
        <f>$C22*Hypothèses!E$18*$E22*(1+Hypothèses!$C$14)^1</f>
        <v/>
      </c>
      <c r="V22" s="24">
        <f>$C22*Hypothèses!F$18*$E22*(1+Hypothèses!$C$14)^1</f>
        <v/>
      </c>
      <c r="W22" s="24">
        <f>$C22*Hypothèses!G$18*$E22*(1+Hypothèses!$C$14)^1</f>
        <v/>
      </c>
      <c r="X22" s="24">
        <f>$C22*Hypothèses!H$18*$E22*(1+Hypothèses!$C$14)^1</f>
        <v/>
      </c>
      <c r="Y22" s="24">
        <f>$C22*Hypothèses!I$18*$E22*(1+Hypothèses!$C$14)^1</f>
        <v/>
      </c>
      <c r="Z22" s="24">
        <f>$C22*Hypothèses!J$18*$E22*(1+Hypothèses!$C$14)^1</f>
        <v/>
      </c>
      <c r="AA22" s="24">
        <f>$C22*Hypothèses!K$18*$E22*(1+Hypothèses!$C$14)^1</f>
        <v/>
      </c>
      <c r="AB22" s="24">
        <f>$C22*Hypothèses!L$18*$E22*(1+Hypothèses!$C$14)^1</f>
        <v/>
      </c>
      <c r="AC22" s="24">
        <f>$C22*Hypothèses!M$18*$E22*(1+Hypothèses!$C$14)^1</f>
        <v/>
      </c>
      <c r="AD22" s="24">
        <f>$C22*Hypothèses!N$18*$E22*(1+Hypothèses!$C$14)^1</f>
        <v/>
      </c>
      <c r="AE22" s="24">
        <f>$C22*Hypothèses!C$18*$E22*(1+Hypothèses!$C$14)^2</f>
        <v/>
      </c>
      <c r="AF22" s="24">
        <f>$C22*Hypothèses!D$18*$E22*(1+Hypothèses!$C$14)^2</f>
        <v/>
      </c>
      <c r="AG22" s="24">
        <f>$C22*Hypothèses!E$18*$E22*(1+Hypothèses!$C$14)^2</f>
        <v/>
      </c>
      <c r="AH22" s="24">
        <f>$C22*Hypothèses!F$18*$E22*(1+Hypothèses!$C$14)^2</f>
        <v/>
      </c>
      <c r="AI22" s="24">
        <f>$C22*Hypothèses!G$18*$E22*(1+Hypothèses!$C$14)^2</f>
        <v/>
      </c>
      <c r="AJ22" s="24">
        <f>$C22*Hypothèses!H$18*$E22*(1+Hypothèses!$C$14)^2</f>
        <v/>
      </c>
      <c r="AK22" s="24">
        <f>$C22*Hypothèses!I$18*$E22*(1+Hypothèses!$C$14)^2</f>
        <v/>
      </c>
      <c r="AL22" s="24">
        <f>$C22*Hypothèses!J$18*$E22*(1+Hypothèses!$C$14)^2</f>
        <v/>
      </c>
      <c r="AM22" s="24">
        <f>$C22*Hypothèses!K$18*$E22*(1+Hypothèses!$C$14)^2</f>
        <v/>
      </c>
      <c r="AN22" s="24">
        <f>$C22*Hypothèses!L$18*$E22*(1+Hypothèses!$C$14)^2</f>
        <v/>
      </c>
      <c r="AO22" s="24">
        <f>$C22*Hypothèses!M$18*$E22*(1+Hypothèses!$C$14)^2</f>
        <v/>
      </c>
      <c r="AP22" s="24">
        <f>$C22*Hypothèses!N$18*$E22*(1+Hypothèses!$C$14)^2</f>
        <v/>
      </c>
      <c r="AQ22" s="24">
        <f>SUM(G22:R22)</f>
        <v/>
      </c>
      <c r="AR22" s="24">
        <f>SUM(S22:AD22)</f>
        <v/>
      </c>
      <c r="AS22" s="24">
        <f>SUM(AE22:AP22)</f>
        <v/>
      </c>
      <c r="AT22" s="24">
        <f>SUM(AQ22:AS22)</f>
        <v/>
      </c>
    </row>
    <row r="23">
      <c r="A23" s="28" t="inlineStr">
        <is>
          <t>Location matériel</t>
        </is>
      </c>
      <c r="B23" s="28" t="inlineStr">
        <is>
          <t>Location matériel divers (étais, bennes, échafaudages)</t>
        </is>
      </c>
      <c r="C23" s="29" t="n">
        <v>1</v>
      </c>
      <c r="D23" s="28" t="inlineStr">
        <is>
          <t>forfait/mois</t>
        </is>
      </c>
      <c r="E23" s="10" t="n">
        <v>1800</v>
      </c>
      <c r="F23" s="30" t="inlineStr">
        <is>
          <t>Estimé</t>
        </is>
      </c>
      <c r="G23" s="24">
        <f>$C23*Hypothèses!C$18*$E23*(1+Hypothèses!$C$14)^0</f>
        <v/>
      </c>
      <c r="H23" s="24">
        <f>$C23*Hypothèses!D$18*$E23*(1+Hypothèses!$C$14)^0</f>
        <v/>
      </c>
      <c r="I23" s="24">
        <f>$C23*Hypothèses!E$18*$E23*(1+Hypothèses!$C$14)^0</f>
        <v/>
      </c>
      <c r="J23" s="24">
        <f>$C23*Hypothèses!F$18*$E23*(1+Hypothèses!$C$14)^0</f>
        <v/>
      </c>
      <c r="K23" s="24">
        <f>$C23*Hypothèses!G$18*$E23*(1+Hypothèses!$C$14)^0</f>
        <v/>
      </c>
      <c r="L23" s="24">
        <f>$C23*Hypothèses!H$18*$E23*(1+Hypothèses!$C$14)^0</f>
        <v/>
      </c>
      <c r="M23" s="24">
        <f>$C23*Hypothèses!I$18*$E23*(1+Hypothèses!$C$14)^0</f>
        <v/>
      </c>
      <c r="N23" s="24">
        <f>$C23*Hypothèses!J$18*$E23*(1+Hypothèses!$C$14)^0</f>
        <v/>
      </c>
      <c r="O23" s="24">
        <f>$C23*Hypothèses!K$18*$E23*(1+Hypothèses!$C$14)^0</f>
        <v/>
      </c>
      <c r="P23" s="24">
        <f>$C23*Hypothèses!L$18*$E23*(1+Hypothèses!$C$14)^0</f>
        <v/>
      </c>
      <c r="Q23" s="24">
        <f>$C23*Hypothèses!M$18*$E23*(1+Hypothèses!$C$14)^0</f>
        <v/>
      </c>
      <c r="R23" s="24">
        <f>$C23*Hypothèses!N$18*$E23*(1+Hypothèses!$C$14)^0</f>
        <v/>
      </c>
      <c r="S23" s="24">
        <f>$C23*Hypothèses!C$18*$E23*(1+Hypothèses!$C$14)^1</f>
        <v/>
      </c>
      <c r="T23" s="24">
        <f>$C23*Hypothèses!D$18*$E23*(1+Hypothèses!$C$14)^1</f>
        <v/>
      </c>
      <c r="U23" s="24">
        <f>$C23*Hypothèses!E$18*$E23*(1+Hypothèses!$C$14)^1</f>
        <v/>
      </c>
      <c r="V23" s="24">
        <f>$C23*Hypothèses!F$18*$E23*(1+Hypothèses!$C$14)^1</f>
        <v/>
      </c>
      <c r="W23" s="24">
        <f>$C23*Hypothèses!G$18*$E23*(1+Hypothèses!$C$14)^1</f>
        <v/>
      </c>
      <c r="X23" s="24">
        <f>$C23*Hypothèses!H$18*$E23*(1+Hypothèses!$C$14)^1</f>
        <v/>
      </c>
      <c r="Y23" s="24">
        <f>$C23*Hypothèses!I$18*$E23*(1+Hypothèses!$C$14)^1</f>
        <v/>
      </c>
      <c r="Z23" s="24">
        <f>$C23*Hypothèses!J$18*$E23*(1+Hypothèses!$C$14)^1</f>
        <v/>
      </c>
      <c r="AA23" s="24">
        <f>$C23*Hypothèses!K$18*$E23*(1+Hypothèses!$C$14)^1</f>
        <v/>
      </c>
      <c r="AB23" s="24">
        <f>$C23*Hypothèses!L$18*$E23*(1+Hypothèses!$C$14)^1</f>
        <v/>
      </c>
      <c r="AC23" s="24">
        <f>$C23*Hypothèses!M$18*$E23*(1+Hypothèses!$C$14)^1</f>
        <v/>
      </c>
      <c r="AD23" s="24">
        <f>$C23*Hypothèses!N$18*$E23*(1+Hypothèses!$C$14)^1</f>
        <v/>
      </c>
      <c r="AE23" s="24">
        <f>$C23*Hypothèses!C$18*$E23*(1+Hypothèses!$C$14)^2</f>
        <v/>
      </c>
      <c r="AF23" s="24">
        <f>$C23*Hypothèses!D$18*$E23*(1+Hypothèses!$C$14)^2</f>
        <v/>
      </c>
      <c r="AG23" s="24">
        <f>$C23*Hypothèses!E$18*$E23*(1+Hypothèses!$C$14)^2</f>
        <v/>
      </c>
      <c r="AH23" s="24">
        <f>$C23*Hypothèses!F$18*$E23*(1+Hypothèses!$C$14)^2</f>
        <v/>
      </c>
      <c r="AI23" s="24">
        <f>$C23*Hypothèses!G$18*$E23*(1+Hypothèses!$C$14)^2</f>
        <v/>
      </c>
      <c r="AJ23" s="24">
        <f>$C23*Hypothèses!H$18*$E23*(1+Hypothèses!$C$14)^2</f>
        <v/>
      </c>
      <c r="AK23" s="24">
        <f>$C23*Hypothèses!I$18*$E23*(1+Hypothèses!$C$14)^2</f>
        <v/>
      </c>
      <c r="AL23" s="24">
        <f>$C23*Hypothèses!J$18*$E23*(1+Hypothèses!$C$14)^2</f>
        <v/>
      </c>
      <c r="AM23" s="24">
        <f>$C23*Hypothèses!K$18*$E23*(1+Hypothèses!$C$14)^2</f>
        <v/>
      </c>
      <c r="AN23" s="24">
        <f>$C23*Hypothèses!L$18*$E23*(1+Hypothèses!$C$14)^2</f>
        <v/>
      </c>
      <c r="AO23" s="24">
        <f>$C23*Hypothèses!M$18*$E23*(1+Hypothèses!$C$14)^2</f>
        <v/>
      </c>
      <c r="AP23" s="24">
        <f>$C23*Hypothèses!N$18*$E23*(1+Hypothèses!$C$14)^2</f>
        <v/>
      </c>
      <c r="AQ23" s="24">
        <f>SUM(G23:R23)</f>
        <v/>
      </c>
      <c r="AR23" s="24">
        <f>SUM(S23:AD23)</f>
        <v/>
      </c>
      <c r="AS23" s="24">
        <f>SUM(AE23:AP23)</f>
        <v/>
      </c>
      <c r="AT23" s="24">
        <f>SUM(AQ23:AS23)</f>
        <v/>
      </c>
    </row>
    <row r="24">
      <c r="A24" s="25" t="inlineStr">
        <is>
          <t>SOUS-TOTAL Location matériel</t>
        </is>
      </c>
      <c r="C24" s="35" t="n"/>
      <c r="D24" s="35" t="n"/>
      <c r="E24" s="35" t="n"/>
      <c r="F24" s="35" t="n"/>
      <c r="G24" s="26">
        <f>G22+G23</f>
        <v/>
      </c>
      <c r="H24" s="26">
        <f>H22+H23</f>
        <v/>
      </c>
      <c r="I24" s="26">
        <f>I22+I23</f>
        <v/>
      </c>
      <c r="J24" s="26">
        <f>J22+J23</f>
        <v/>
      </c>
      <c r="K24" s="26">
        <f>K22+K23</f>
        <v/>
      </c>
      <c r="L24" s="26">
        <f>L22+L23</f>
        <v/>
      </c>
      <c r="M24" s="26">
        <f>M22+M23</f>
        <v/>
      </c>
      <c r="N24" s="26">
        <f>N22+N23</f>
        <v/>
      </c>
      <c r="O24" s="26">
        <f>O22+O23</f>
        <v/>
      </c>
      <c r="P24" s="26">
        <f>P22+P23</f>
        <v/>
      </c>
      <c r="Q24" s="26">
        <f>Q22+Q23</f>
        <v/>
      </c>
      <c r="R24" s="26">
        <f>R22+R23</f>
        <v/>
      </c>
      <c r="S24" s="26">
        <f>S22+S23</f>
        <v/>
      </c>
      <c r="T24" s="26">
        <f>T22+T23</f>
        <v/>
      </c>
      <c r="U24" s="26">
        <f>U22+U23</f>
        <v/>
      </c>
      <c r="V24" s="26">
        <f>V22+V23</f>
        <v/>
      </c>
      <c r="W24" s="26">
        <f>W22+W23</f>
        <v/>
      </c>
      <c r="X24" s="26">
        <f>X22+X23</f>
        <v/>
      </c>
      <c r="Y24" s="26">
        <f>Y22+Y23</f>
        <v/>
      </c>
      <c r="Z24" s="26">
        <f>Z22+Z23</f>
        <v/>
      </c>
      <c r="AA24" s="26">
        <f>AA22+AA23</f>
        <v/>
      </c>
      <c r="AB24" s="26">
        <f>AB22+AB23</f>
        <v/>
      </c>
      <c r="AC24" s="26">
        <f>AC22+AC23</f>
        <v/>
      </c>
      <c r="AD24" s="26">
        <f>AD22+AD23</f>
        <v/>
      </c>
      <c r="AE24" s="26">
        <f>AE22+AE23</f>
        <v/>
      </c>
      <c r="AF24" s="26">
        <f>AF22+AF23</f>
        <v/>
      </c>
      <c r="AG24" s="26">
        <f>AG22+AG23</f>
        <v/>
      </c>
      <c r="AH24" s="26">
        <f>AH22+AH23</f>
        <v/>
      </c>
      <c r="AI24" s="26">
        <f>AI22+AI23</f>
        <v/>
      </c>
      <c r="AJ24" s="26">
        <f>AJ22+AJ23</f>
        <v/>
      </c>
      <c r="AK24" s="26">
        <f>AK22+AK23</f>
        <v/>
      </c>
      <c r="AL24" s="26">
        <f>AL22+AL23</f>
        <v/>
      </c>
      <c r="AM24" s="26">
        <f>AM22+AM23</f>
        <v/>
      </c>
      <c r="AN24" s="26">
        <f>AN22+AN23</f>
        <v/>
      </c>
      <c r="AO24" s="26">
        <f>AO22+AO23</f>
        <v/>
      </c>
      <c r="AP24" s="26">
        <f>AP22+AP23</f>
        <v/>
      </c>
      <c r="AQ24" s="26">
        <f>SUM(G24:R24)</f>
        <v/>
      </c>
      <c r="AR24" s="26">
        <f>SUM(S24:AD24)</f>
        <v/>
      </c>
      <c r="AS24" s="26">
        <f>SUM(AE24:AP24)</f>
        <v/>
      </c>
      <c r="AT24" s="26">
        <f>SUM(AQ24:AS24)</f>
        <v/>
      </c>
    </row>
    <row r="25">
      <c r="A25" s="28" t="inlineStr">
        <is>
          <t>Personnel</t>
        </is>
      </c>
      <c r="B25" s="28" t="inlineStr">
        <is>
          <t>Rémunération nette du dirigeant (gérant, TNS)</t>
        </is>
      </c>
      <c r="C25" s="29" t="n">
        <v>1</v>
      </c>
      <c r="D25" s="28" t="inlineStr">
        <is>
          <t>forfait/mois</t>
        </is>
      </c>
      <c r="E25" s="10" t="n">
        <v>4500</v>
      </c>
      <c r="F25" s="30" t="inlineStr">
        <is>
          <t>Estimé</t>
        </is>
      </c>
      <c r="G25" s="24">
        <f>$C25*$E25*(1+Hypothèses!$C$14)^0</f>
        <v/>
      </c>
      <c r="H25" s="24">
        <f>$C25*$E25*(1+Hypothèses!$C$14)^0</f>
        <v/>
      </c>
      <c r="I25" s="24">
        <f>$C25*$E25*(1+Hypothèses!$C$14)^0</f>
        <v/>
      </c>
      <c r="J25" s="24">
        <f>$C25*$E25*(1+Hypothèses!$C$14)^0</f>
        <v/>
      </c>
      <c r="K25" s="24">
        <f>$C25*$E25*(1+Hypothèses!$C$14)^0</f>
        <v/>
      </c>
      <c r="L25" s="24">
        <f>$C25*$E25*(1+Hypothèses!$C$14)^0</f>
        <v/>
      </c>
      <c r="M25" s="24">
        <f>$C25*$E25*(1+Hypothèses!$C$14)^0</f>
        <v/>
      </c>
      <c r="N25" s="24">
        <f>$C25*$E25*(1+Hypothèses!$C$14)^0</f>
        <v/>
      </c>
      <c r="O25" s="24">
        <f>$C25*$E25*(1+Hypothèses!$C$14)^0</f>
        <v/>
      </c>
      <c r="P25" s="24">
        <f>$C25*$E25*(1+Hypothèses!$C$14)^0</f>
        <v/>
      </c>
      <c r="Q25" s="24">
        <f>$C25*$E25*(1+Hypothèses!$C$14)^0</f>
        <v/>
      </c>
      <c r="R25" s="24">
        <f>$C25*$E25*(1+Hypothèses!$C$14)^0</f>
        <v/>
      </c>
      <c r="S25" s="24">
        <f>$C25*$E25*(1+Hypothèses!$C$14)^1</f>
        <v/>
      </c>
      <c r="T25" s="24">
        <f>$C25*$E25*(1+Hypothèses!$C$14)^1</f>
        <v/>
      </c>
      <c r="U25" s="24">
        <f>$C25*$E25*(1+Hypothèses!$C$14)^1</f>
        <v/>
      </c>
      <c r="V25" s="24">
        <f>$C25*$E25*(1+Hypothèses!$C$14)^1</f>
        <v/>
      </c>
      <c r="W25" s="24">
        <f>$C25*$E25*(1+Hypothèses!$C$14)^1</f>
        <v/>
      </c>
      <c r="X25" s="24">
        <f>$C25*$E25*(1+Hypothèses!$C$14)^1</f>
        <v/>
      </c>
      <c r="Y25" s="24">
        <f>$C25*$E25*(1+Hypothèses!$C$14)^1</f>
        <v/>
      </c>
      <c r="Z25" s="24">
        <f>$C25*$E25*(1+Hypothèses!$C$14)^1</f>
        <v/>
      </c>
      <c r="AA25" s="24">
        <f>$C25*$E25*(1+Hypothèses!$C$14)^1</f>
        <v/>
      </c>
      <c r="AB25" s="24">
        <f>$C25*$E25*(1+Hypothèses!$C$14)^1</f>
        <v/>
      </c>
      <c r="AC25" s="24">
        <f>$C25*$E25*(1+Hypothèses!$C$14)^1</f>
        <v/>
      </c>
      <c r="AD25" s="24">
        <f>$C25*$E25*(1+Hypothèses!$C$14)^1</f>
        <v/>
      </c>
      <c r="AE25" s="24">
        <f>$C25*$E25*(1+Hypothèses!$C$14)^2</f>
        <v/>
      </c>
      <c r="AF25" s="24">
        <f>$C25*$E25*(1+Hypothèses!$C$14)^2</f>
        <v/>
      </c>
      <c r="AG25" s="24">
        <f>$C25*$E25*(1+Hypothèses!$C$14)^2</f>
        <v/>
      </c>
      <c r="AH25" s="24">
        <f>$C25*$E25*(1+Hypothèses!$C$14)^2</f>
        <v/>
      </c>
      <c r="AI25" s="24">
        <f>$C25*$E25*(1+Hypothèses!$C$14)^2</f>
        <v/>
      </c>
      <c r="AJ25" s="24">
        <f>$C25*$E25*(1+Hypothèses!$C$14)^2</f>
        <v/>
      </c>
      <c r="AK25" s="24">
        <f>$C25*$E25*(1+Hypothèses!$C$14)^2</f>
        <v/>
      </c>
      <c r="AL25" s="24">
        <f>$C25*$E25*(1+Hypothèses!$C$14)^2</f>
        <v/>
      </c>
      <c r="AM25" s="24">
        <f>$C25*$E25*(1+Hypothèses!$C$14)^2</f>
        <v/>
      </c>
      <c r="AN25" s="24">
        <f>$C25*$E25*(1+Hypothèses!$C$14)^2</f>
        <v/>
      </c>
      <c r="AO25" s="24">
        <f>$C25*$E25*(1+Hypothèses!$C$14)^2</f>
        <v/>
      </c>
      <c r="AP25" s="24">
        <f>$C25*$E25*(1+Hypothèses!$C$14)^2</f>
        <v/>
      </c>
      <c r="AQ25" s="24">
        <f>SUM(G25:R25)</f>
        <v/>
      </c>
      <c r="AR25" s="24">
        <f>SUM(S25:AD25)</f>
        <v/>
      </c>
      <c r="AS25" s="24">
        <f>SUM(AE25:AP25)</f>
        <v/>
      </c>
      <c r="AT25" s="24">
        <f>SUM(AQ25:AS25)</f>
        <v/>
      </c>
    </row>
    <row r="26">
      <c r="A26" s="28" t="inlineStr">
        <is>
          <t>Personnel</t>
        </is>
      </c>
      <c r="B26" s="28" t="inlineStr">
        <is>
          <t>Salaires &amp; charges — chef de chantier</t>
        </is>
      </c>
      <c r="C26" s="29" t="n">
        <v>1</v>
      </c>
      <c r="D26" s="28" t="inlineStr">
        <is>
          <t>forfait/mois</t>
        </is>
      </c>
      <c r="E26" s="10" t="n">
        <v>5300</v>
      </c>
      <c r="F26" s="30" t="inlineStr">
        <is>
          <t>Estimé — grille BTP</t>
        </is>
      </c>
      <c r="G26" s="24">
        <f>$C26*$E26*(1+Hypothèses!$C$14)^0</f>
        <v/>
      </c>
      <c r="H26" s="24">
        <f>$C26*$E26*(1+Hypothèses!$C$14)^0</f>
        <v/>
      </c>
      <c r="I26" s="24">
        <f>$C26*$E26*(1+Hypothèses!$C$14)^0</f>
        <v/>
      </c>
      <c r="J26" s="24">
        <f>$C26*$E26*(1+Hypothèses!$C$14)^0</f>
        <v/>
      </c>
      <c r="K26" s="24">
        <f>$C26*$E26*(1+Hypothèses!$C$14)^0</f>
        <v/>
      </c>
      <c r="L26" s="24">
        <f>$C26*$E26*(1+Hypothèses!$C$14)^0</f>
        <v/>
      </c>
      <c r="M26" s="24">
        <f>$C26*$E26*(1+Hypothèses!$C$14)^0</f>
        <v/>
      </c>
      <c r="N26" s="24">
        <f>$C26*$E26*(1+Hypothèses!$C$14)^0</f>
        <v/>
      </c>
      <c r="O26" s="24">
        <f>$C26*$E26*(1+Hypothèses!$C$14)^0</f>
        <v/>
      </c>
      <c r="P26" s="24">
        <f>$C26*$E26*(1+Hypothèses!$C$14)^0</f>
        <v/>
      </c>
      <c r="Q26" s="24">
        <f>$C26*$E26*(1+Hypothèses!$C$14)^0</f>
        <v/>
      </c>
      <c r="R26" s="24">
        <f>$C26*$E26*(1+Hypothèses!$C$14)^0</f>
        <v/>
      </c>
      <c r="S26" s="24">
        <f>$C26*$E26*(1+Hypothèses!$C$14)^1</f>
        <v/>
      </c>
      <c r="T26" s="24">
        <f>$C26*$E26*(1+Hypothèses!$C$14)^1</f>
        <v/>
      </c>
      <c r="U26" s="24">
        <f>$C26*$E26*(1+Hypothèses!$C$14)^1</f>
        <v/>
      </c>
      <c r="V26" s="24">
        <f>$C26*$E26*(1+Hypothèses!$C$14)^1</f>
        <v/>
      </c>
      <c r="W26" s="24">
        <f>$C26*$E26*(1+Hypothèses!$C$14)^1</f>
        <v/>
      </c>
      <c r="X26" s="24">
        <f>$C26*$E26*(1+Hypothèses!$C$14)^1</f>
        <v/>
      </c>
      <c r="Y26" s="24">
        <f>$C26*$E26*(1+Hypothèses!$C$14)^1</f>
        <v/>
      </c>
      <c r="Z26" s="24">
        <f>$C26*$E26*(1+Hypothèses!$C$14)^1</f>
        <v/>
      </c>
      <c r="AA26" s="24">
        <f>$C26*$E26*(1+Hypothèses!$C$14)^1</f>
        <v/>
      </c>
      <c r="AB26" s="24">
        <f>$C26*$E26*(1+Hypothèses!$C$14)^1</f>
        <v/>
      </c>
      <c r="AC26" s="24">
        <f>$C26*$E26*(1+Hypothèses!$C$14)^1</f>
        <v/>
      </c>
      <c r="AD26" s="24">
        <f>$C26*$E26*(1+Hypothèses!$C$14)^1</f>
        <v/>
      </c>
      <c r="AE26" s="24">
        <f>$C26*$E26*(1+Hypothèses!$C$14)^2</f>
        <v/>
      </c>
      <c r="AF26" s="24">
        <f>$C26*$E26*(1+Hypothèses!$C$14)^2</f>
        <v/>
      </c>
      <c r="AG26" s="24">
        <f>$C26*$E26*(1+Hypothèses!$C$14)^2</f>
        <v/>
      </c>
      <c r="AH26" s="24">
        <f>$C26*$E26*(1+Hypothèses!$C$14)^2</f>
        <v/>
      </c>
      <c r="AI26" s="24">
        <f>$C26*$E26*(1+Hypothèses!$C$14)^2</f>
        <v/>
      </c>
      <c r="AJ26" s="24">
        <f>$C26*$E26*(1+Hypothèses!$C$14)^2</f>
        <v/>
      </c>
      <c r="AK26" s="24">
        <f>$C26*$E26*(1+Hypothèses!$C$14)^2</f>
        <v/>
      </c>
      <c r="AL26" s="24">
        <f>$C26*$E26*(1+Hypothèses!$C$14)^2</f>
        <v/>
      </c>
      <c r="AM26" s="24">
        <f>$C26*$E26*(1+Hypothèses!$C$14)^2</f>
        <v/>
      </c>
      <c r="AN26" s="24">
        <f>$C26*$E26*(1+Hypothèses!$C$14)^2</f>
        <v/>
      </c>
      <c r="AO26" s="24">
        <f>$C26*$E26*(1+Hypothèses!$C$14)^2</f>
        <v/>
      </c>
      <c r="AP26" s="24">
        <f>$C26*$E26*(1+Hypothèses!$C$14)^2</f>
        <v/>
      </c>
      <c r="AQ26" s="24">
        <f>SUM(G26:R26)</f>
        <v/>
      </c>
      <c r="AR26" s="24">
        <f>SUM(S26:AD26)</f>
        <v/>
      </c>
      <c r="AS26" s="24">
        <f>SUM(AE26:AP26)</f>
        <v/>
      </c>
      <c r="AT26" s="24">
        <f>SUM(AQ26:AS26)</f>
        <v/>
      </c>
    </row>
    <row r="27">
      <c r="A27" s="28" t="inlineStr">
        <is>
          <t>Personnel</t>
        </is>
      </c>
      <c r="B27" s="28" t="inlineStr">
        <is>
          <t>Salaires &amp; charges — équipe maçons/ouvriers qualifiés (x4)</t>
        </is>
      </c>
      <c r="C27" s="29" t="n">
        <v>1</v>
      </c>
      <c r="D27" s="28" t="inlineStr">
        <is>
          <t>forfait/mois</t>
        </is>
      </c>
      <c r="E27" s="10" t="n">
        <v>18400</v>
      </c>
      <c r="F27" s="30" t="inlineStr">
        <is>
          <t>Estimé — grille BTP (4 ETP)</t>
        </is>
      </c>
      <c r="G27" s="24">
        <f>$C27*$E27*(1+Hypothèses!$C$14)^0</f>
        <v/>
      </c>
      <c r="H27" s="24">
        <f>$C27*$E27*(1+Hypothèses!$C$14)^0</f>
        <v/>
      </c>
      <c r="I27" s="24">
        <f>$C27*$E27*(1+Hypothèses!$C$14)^0</f>
        <v/>
      </c>
      <c r="J27" s="24">
        <f>$C27*$E27*(1+Hypothèses!$C$14)^0</f>
        <v/>
      </c>
      <c r="K27" s="24">
        <f>$C27*$E27*(1+Hypothèses!$C$14)^0</f>
        <v/>
      </c>
      <c r="L27" s="24">
        <f>$C27*$E27*(1+Hypothèses!$C$14)^0</f>
        <v/>
      </c>
      <c r="M27" s="24">
        <f>$C27*$E27*(1+Hypothèses!$C$14)^0</f>
        <v/>
      </c>
      <c r="N27" s="24">
        <f>$C27*$E27*(1+Hypothèses!$C$14)^0</f>
        <v/>
      </c>
      <c r="O27" s="24">
        <f>$C27*$E27*(1+Hypothèses!$C$14)^0</f>
        <v/>
      </c>
      <c r="P27" s="24">
        <f>$C27*$E27*(1+Hypothèses!$C$14)^0</f>
        <v/>
      </c>
      <c r="Q27" s="24">
        <f>$C27*$E27*(1+Hypothèses!$C$14)^0</f>
        <v/>
      </c>
      <c r="R27" s="24">
        <f>$C27*$E27*(1+Hypothèses!$C$14)^0</f>
        <v/>
      </c>
      <c r="S27" s="24">
        <f>$C27*$E27*(1+Hypothèses!$C$14)^1</f>
        <v/>
      </c>
      <c r="T27" s="24">
        <f>$C27*$E27*(1+Hypothèses!$C$14)^1</f>
        <v/>
      </c>
      <c r="U27" s="24">
        <f>$C27*$E27*(1+Hypothèses!$C$14)^1</f>
        <v/>
      </c>
      <c r="V27" s="24">
        <f>$C27*$E27*(1+Hypothèses!$C$14)^1</f>
        <v/>
      </c>
      <c r="W27" s="24">
        <f>$C27*$E27*(1+Hypothèses!$C$14)^1</f>
        <v/>
      </c>
      <c r="X27" s="24">
        <f>$C27*$E27*(1+Hypothèses!$C$14)^1</f>
        <v/>
      </c>
      <c r="Y27" s="24">
        <f>$C27*$E27*(1+Hypothèses!$C$14)^1</f>
        <v/>
      </c>
      <c r="Z27" s="24">
        <f>$C27*$E27*(1+Hypothèses!$C$14)^1</f>
        <v/>
      </c>
      <c r="AA27" s="24">
        <f>$C27*$E27*(1+Hypothèses!$C$14)^1</f>
        <v/>
      </c>
      <c r="AB27" s="24">
        <f>$C27*$E27*(1+Hypothèses!$C$14)^1</f>
        <v/>
      </c>
      <c r="AC27" s="24">
        <f>$C27*$E27*(1+Hypothèses!$C$14)^1</f>
        <v/>
      </c>
      <c r="AD27" s="24">
        <f>$C27*$E27*(1+Hypothèses!$C$14)^1</f>
        <v/>
      </c>
      <c r="AE27" s="24">
        <f>$C27*$E27*(1+Hypothèses!$C$14)^2</f>
        <v/>
      </c>
      <c r="AF27" s="24">
        <f>$C27*$E27*(1+Hypothèses!$C$14)^2</f>
        <v/>
      </c>
      <c r="AG27" s="24">
        <f>$C27*$E27*(1+Hypothèses!$C$14)^2</f>
        <v/>
      </c>
      <c r="AH27" s="24">
        <f>$C27*$E27*(1+Hypothèses!$C$14)^2</f>
        <v/>
      </c>
      <c r="AI27" s="24">
        <f>$C27*$E27*(1+Hypothèses!$C$14)^2</f>
        <v/>
      </c>
      <c r="AJ27" s="24">
        <f>$C27*$E27*(1+Hypothèses!$C$14)^2</f>
        <v/>
      </c>
      <c r="AK27" s="24">
        <f>$C27*$E27*(1+Hypothèses!$C$14)^2</f>
        <v/>
      </c>
      <c r="AL27" s="24">
        <f>$C27*$E27*(1+Hypothèses!$C$14)^2</f>
        <v/>
      </c>
      <c r="AM27" s="24">
        <f>$C27*$E27*(1+Hypothèses!$C$14)^2</f>
        <v/>
      </c>
      <c r="AN27" s="24">
        <f>$C27*$E27*(1+Hypothèses!$C$14)^2</f>
        <v/>
      </c>
      <c r="AO27" s="24">
        <f>$C27*$E27*(1+Hypothèses!$C$14)^2</f>
        <v/>
      </c>
      <c r="AP27" s="24">
        <f>$C27*$E27*(1+Hypothèses!$C$14)^2</f>
        <v/>
      </c>
      <c r="AQ27" s="24">
        <f>SUM(G27:R27)</f>
        <v/>
      </c>
      <c r="AR27" s="24">
        <f>SUM(S27:AD27)</f>
        <v/>
      </c>
      <c r="AS27" s="24">
        <f>SUM(AE27:AP27)</f>
        <v/>
      </c>
      <c r="AT27" s="24">
        <f>SUM(AQ27:AS27)</f>
        <v/>
      </c>
    </row>
    <row r="28">
      <c r="A28" s="28" t="inlineStr">
        <is>
          <t>Personnel</t>
        </is>
      </c>
      <c r="B28" s="28" t="inlineStr">
        <is>
          <t>Salaires &amp; charges — manœuvres/apprentis (x2)</t>
        </is>
      </c>
      <c r="C28" s="29" t="n">
        <v>1</v>
      </c>
      <c r="D28" s="28" t="inlineStr">
        <is>
          <t>forfait/mois</t>
        </is>
      </c>
      <c r="E28" s="10" t="n">
        <v>6200</v>
      </c>
      <c r="F28" s="30" t="inlineStr">
        <is>
          <t>Estimé — grille BTP (2 ETP)</t>
        </is>
      </c>
      <c r="G28" s="24">
        <f>$C28*$E28*(1+Hypothèses!$C$14)^0</f>
        <v/>
      </c>
      <c r="H28" s="24">
        <f>$C28*$E28*(1+Hypothèses!$C$14)^0</f>
        <v/>
      </c>
      <c r="I28" s="24">
        <f>$C28*$E28*(1+Hypothèses!$C$14)^0</f>
        <v/>
      </c>
      <c r="J28" s="24">
        <f>$C28*$E28*(1+Hypothèses!$C$14)^0</f>
        <v/>
      </c>
      <c r="K28" s="24">
        <f>$C28*$E28*(1+Hypothèses!$C$14)^0</f>
        <v/>
      </c>
      <c r="L28" s="24">
        <f>$C28*$E28*(1+Hypothèses!$C$14)^0</f>
        <v/>
      </c>
      <c r="M28" s="24">
        <f>$C28*$E28*(1+Hypothèses!$C$14)^0</f>
        <v/>
      </c>
      <c r="N28" s="24">
        <f>$C28*$E28*(1+Hypothèses!$C$14)^0</f>
        <v/>
      </c>
      <c r="O28" s="24">
        <f>$C28*$E28*(1+Hypothèses!$C$14)^0</f>
        <v/>
      </c>
      <c r="P28" s="24">
        <f>$C28*$E28*(1+Hypothèses!$C$14)^0</f>
        <v/>
      </c>
      <c r="Q28" s="24">
        <f>$C28*$E28*(1+Hypothèses!$C$14)^0</f>
        <v/>
      </c>
      <c r="R28" s="24">
        <f>$C28*$E28*(1+Hypothèses!$C$14)^0</f>
        <v/>
      </c>
      <c r="S28" s="24">
        <f>$C28*$E28*(1+Hypothèses!$C$14)^1</f>
        <v/>
      </c>
      <c r="T28" s="24">
        <f>$C28*$E28*(1+Hypothèses!$C$14)^1</f>
        <v/>
      </c>
      <c r="U28" s="24">
        <f>$C28*$E28*(1+Hypothèses!$C$14)^1</f>
        <v/>
      </c>
      <c r="V28" s="24">
        <f>$C28*$E28*(1+Hypothèses!$C$14)^1</f>
        <v/>
      </c>
      <c r="W28" s="24">
        <f>$C28*$E28*(1+Hypothèses!$C$14)^1</f>
        <v/>
      </c>
      <c r="X28" s="24">
        <f>$C28*$E28*(1+Hypothèses!$C$14)^1</f>
        <v/>
      </c>
      <c r="Y28" s="24">
        <f>$C28*$E28*(1+Hypothèses!$C$14)^1</f>
        <v/>
      </c>
      <c r="Z28" s="24">
        <f>$C28*$E28*(1+Hypothèses!$C$14)^1</f>
        <v/>
      </c>
      <c r="AA28" s="24">
        <f>$C28*$E28*(1+Hypothèses!$C$14)^1</f>
        <v/>
      </c>
      <c r="AB28" s="24">
        <f>$C28*$E28*(1+Hypothèses!$C$14)^1</f>
        <v/>
      </c>
      <c r="AC28" s="24">
        <f>$C28*$E28*(1+Hypothèses!$C$14)^1</f>
        <v/>
      </c>
      <c r="AD28" s="24">
        <f>$C28*$E28*(1+Hypothèses!$C$14)^1</f>
        <v/>
      </c>
      <c r="AE28" s="24">
        <f>$C28*$E28*(1+Hypothèses!$C$14)^2</f>
        <v/>
      </c>
      <c r="AF28" s="24">
        <f>$C28*$E28*(1+Hypothèses!$C$14)^2</f>
        <v/>
      </c>
      <c r="AG28" s="24">
        <f>$C28*$E28*(1+Hypothèses!$C$14)^2</f>
        <v/>
      </c>
      <c r="AH28" s="24">
        <f>$C28*$E28*(1+Hypothèses!$C$14)^2</f>
        <v/>
      </c>
      <c r="AI28" s="24">
        <f>$C28*$E28*(1+Hypothèses!$C$14)^2</f>
        <v/>
      </c>
      <c r="AJ28" s="24">
        <f>$C28*$E28*(1+Hypothèses!$C$14)^2</f>
        <v/>
      </c>
      <c r="AK28" s="24">
        <f>$C28*$E28*(1+Hypothèses!$C$14)^2</f>
        <v/>
      </c>
      <c r="AL28" s="24">
        <f>$C28*$E28*(1+Hypothèses!$C$14)^2</f>
        <v/>
      </c>
      <c r="AM28" s="24">
        <f>$C28*$E28*(1+Hypothèses!$C$14)^2</f>
        <v/>
      </c>
      <c r="AN28" s="24">
        <f>$C28*$E28*(1+Hypothèses!$C$14)^2</f>
        <v/>
      </c>
      <c r="AO28" s="24">
        <f>$C28*$E28*(1+Hypothèses!$C$14)^2</f>
        <v/>
      </c>
      <c r="AP28" s="24">
        <f>$C28*$E28*(1+Hypothèses!$C$14)^2</f>
        <v/>
      </c>
      <c r="AQ28" s="24">
        <f>SUM(G28:R28)</f>
        <v/>
      </c>
      <c r="AR28" s="24">
        <f>SUM(S28:AD28)</f>
        <v/>
      </c>
      <c r="AS28" s="24">
        <f>SUM(AE28:AP28)</f>
        <v/>
      </c>
      <c r="AT28" s="24">
        <f>SUM(AQ28:AS28)</f>
        <v/>
      </c>
    </row>
    <row r="29">
      <c r="A29" s="25" t="inlineStr">
        <is>
          <t>SOUS-TOTAL Personnel</t>
        </is>
      </c>
      <c r="C29" s="35" t="n"/>
      <c r="D29" s="35" t="n"/>
      <c r="E29" s="35" t="n"/>
      <c r="F29" s="35" t="n"/>
      <c r="G29" s="26">
        <f>G25+G26+G27+G28</f>
        <v/>
      </c>
      <c r="H29" s="26">
        <f>H25+H26+H27+H28</f>
        <v/>
      </c>
      <c r="I29" s="26">
        <f>I25+I26+I27+I28</f>
        <v/>
      </c>
      <c r="J29" s="26">
        <f>J25+J26+J27+J28</f>
        <v/>
      </c>
      <c r="K29" s="26">
        <f>K25+K26+K27+K28</f>
        <v/>
      </c>
      <c r="L29" s="26">
        <f>L25+L26+L27+L28</f>
        <v/>
      </c>
      <c r="M29" s="26">
        <f>M25+M26+M27+M28</f>
        <v/>
      </c>
      <c r="N29" s="26">
        <f>N25+N26+N27+N28</f>
        <v/>
      </c>
      <c r="O29" s="26">
        <f>O25+O26+O27+O28</f>
        <v/>
      </c>
      <c r="P29" s="26">
        <f>P25+P26+P27+P28</f>
        <v/>
      </c>
      <c r="Q29" s="26">
        <f>Q25+Q26+Q27+Q28</f>
        <v/>
      </c>
      <c r="R29" s="26">
        <f>R25+R26+R27+R28</f>
        <v/>
      </c>
      <c r="S29" s="26">
        <f>S25+S26+S27+S28</f>
        <v/>
      </c>
      <c r="T29" s="26">
        <f>T25+T26+T27+T28</f>
        <v/>
      </c>
      <c r="U29" s="26">
        <f>U25+U26+U27+U28</f>
        <v/>
      </c>
      <c r="V29" s="26">
        <f>V25+V26+V27+V28</f>
        <v/>
      </c>
      <c r="W29" s="26">
        <f>W25+W26+W27+W28</f>
        <v/>
      </c>
      <c r="X29" s="26">
        <f>X25+X26+X27+X28</f>
        <v/>
      </c>
      <c r="Y29" s="26">
        <f>Y25+Y26+Y27+Y28</f>
        <v/>
      </c>
      <c r="Z29" s="26">
        <f>Z25+Z26+Z27+Z28</f>
        <v/>
      </c>
      <c r="AA29" s="26">
        <f>AA25+AA26+AA27+AA28</f>
        <v/>
      </c>
      <c r="AB29" s="26">
        <f>AB25+AB26+AB27+AB28</f>
        <v/>
      </c>
      <c r="AC29" s="26">
        <f>AC25+AC26+AC27+AC28</f>
        <v/>
      </c>
      <c r="AD29" s="26">
        <f>AD25+AD26+AD27+AD28</f>
        <v/>
      </c>
      <c r="AE29" s="26">
        <f>AE25+AE26+AE27+AE28</f>
        <v/>
      </c>
      <c r="AF29" s="26">
        <f>AF25+AF26+AF27+AF28</f>
        <v/>
      </c>
      <c r="AG29" s="26">
        <f>AG25+AG26+AG27+AG28</f>
        <v/>
      </c>
      <c r="AH29" s="26">
        <f>AH25+AH26+AH27+AH28</f>
        <v/>
      </c>
      <c r="AI29" s="26">
        <f>AI25+AI26+AI27+AI28</f>
        <v/>
      </c>
      <c r="AJ29" s="26">
        <f>AJ25+AJ26+AJ27+AJ28</f>
        <v/>
      </c>
      <c r="AK29" s="26">
        <f>AK25+AK26+AK27+AK28</f>
        <v/>
      </c>
      <c r="AL29" s="26">
        <f>AL25+AL26+AL27+AL28</f>
        <v/>
      </c>
      <c r="AM29" s="26">
        <f>AM25+AM26+AM27+AM28</f>
        <v/>
      </c>
      <c r="AN29" s="26">
        <f>AN25+AN26+AN27+AN28</f>
        <v/>
      </c>
      <c r="AO29" s="26">
        <f>AO25+AO26+AO27+AO28</f>
        <v/>
      </c>
      <c r="AP29" s="26">
        <f>AP25+AP26+AP27+AP28</f>
        <v/>
      </c>
      <c r="AQ29" s="26">
        <f>SUM(G29:R29)</f>
        <v/>
      </c>
      <c r="AR29" s="26">
        <f>SUM(S29:AD29)</f>
        <v/>
      </c>
      <c r="AS29" s="26">
        <f>SUM(AE29:AP29)</f>
        <v/>
      </c>
      <c r="AT29" s="26">
        <f>SUM(AQ29:AS29)</f>
        <v/>
      </c>
    </row>
    <row r="30">
      <c r="A30" s="28" t="inlineStr">
        <is>
          <t>Charges sociales dirigeant</t>
        </is>
      </c>
      <c r="B30" s="28" t="inlineStr">
        <is>
          <t>Cotisations URSSAF (TNS) du dirigeant — lissé mensuel (versées par trimestre, cf. Hypothèses C8)</t>
        </is>
      </c>
      <c r="C30" s="29" t="n">
        <v>1</v>
      </c>
      <c r="D30" s="28" t="inlineStr">
        <is>
          <t>forfait/mois (moy.)</t>
        </is>
      </c>
      <c r="E30" s="10" t="n">
        <v>1500</v>
      </c>
      <c r="F30" s="30" t="inlineStr">
        <is>
          <t>Calculé — Hypothèses!C8 (cotisation trimestrielle) ÷ 3</t>
        </is>
      </c>
      <c r="G30" s="24">
        <f>$C30*$E30*(1+Hypothèses!$C$14)^0</f>
        <v/>
      </c>
      <c r="H30" s="24">
        <f>$C30*$E30*(1+Hypothèses!$C$14)^0</f>
        <v/>
      </c>
      <c r="I30" s="24">
        <f>$C30*$E30*(1+Hypothèses!$C$14)^0</f>
        <v/>
      </c>
      <c r="J30" s="24">
        <f>$C30*$E30*(1+Hypothèses!$C$14)^0</f>
        <v/>
      </c>
      <c r="K30" s="24">
        <f>$C30*$E30*(1+Hypothèses!$C$14)^0</f>
        <v/>
      </c>
      <c r="L30" s="24">
        <f>$C30*$E30*(1+Hypothèses!$C$14)^0</f>
        <v/>
      </c>
      <c r="M30" s="24">
        <f>$C30*$E30*(1+Hypothèses!$C$14)^0</f>
        <v/>
      </c>
      <c r="N30" s="24">
        <f>$C30*$E30*(1+Hypothèses!$C$14)^0</f>
        <v/>
      </c>
      <c r="O30" s="24">
        <f>$C30*$E30*(1+Hypothèses!$C$14)^0</f>
        <v/>
      </c>
      <c r="P30" s="24">
        <f>$C30*$E30*(1+Hypothèses!$C$14)^0</f>
        <v/>
      </c>
      <c r="Q30" s="24">
        <f>$C30*$E30*(1+Hypothèses!$C$14)^0</f>
        <v/>
      </c>
      <c r="R30" s="24">
        <f>$C30*$E30*(1+Hypothèses!$C$14)^0</f>
        <v/>
      </c>
      <c r="S30" s="24">
        <f>$C30*$E30*(1+Hypothèses!$C$14)^1</f>
        <v/>
      </c>
      <c r="T30" s="24">
        <f>$C30*$E30*(1+Hypothèses!$C$14)^1</f>
        <v/>
      </c>
      <c r="U30" s="24">
        <f>$C30*$E30*(1+Hypothèses!$C$14)^1</f>
        <v/>
      </c>
      <c r="V30" s="24">
        <f>$C30*$E30*(1+Hypothèses!$C$14)^1</f>
        <v/>
      </c>
      <c r="W30" s="24">
        <f>$C30*$E30*(1+Hypothèses!$C$14)^1</f>
        <v/>
      </c>
      <c r="X30" s="24">
        <f>$C30*$E30*(1+Hypothèses!$C$14)^1</f>
        <v/>
      </c>
      <c r="Y30" s="24">
        <f>$C30*$E30*(1+Hypothèses!$C$14)^1</f>
        <v/>
      </c>
      <c r="Z30" s="24">
        <f>$C30*$E30*(1+Hypothèses!$C$14)^1</f>
        <v/>
      </c>
      <c r="AA30" s="24">
        <f>$C30*$E30*(1+Hypothèses!$C$14)^1</f>
        <v/>
      </c>
      <c r="AB30" s="24">
        <f>$C30*$E30*(1+Hypothèses!$C$14)^1</f>
        <v/>
      </c>
      <c r="AC30" s="24">
        <f>$C30*$E30*(1+Hypothèses!$C$14)^1</f>
        <v/>
      </c>
      <c r="AD30" s="24">
        <f>$C30*$E30*(1+Hypothèses!$C$14)^1</f>
        <v/>
      </c>
      <c r="AE30" s="24">
        <f>$C30*$E30*(1+Hypothèses!$C$14)^2</f>
        <v/>
      </c>
      <c r="AF30" s="24">
        <f>$C30*$E30*(1+Hypothèses!$C$14)^2</f>
        <v/>
      </c>
      <c r="AG30" s="24">
        <f>$C30*$E30*(1+Hypothèses!$C$14)^2</f>
        <v/>
      </c>
      <c r="AH30" s="24">
        <f>$C30*$E30*(1+Hypothèses!$C$14)^2</f>
        <v/>
      </c>
      <c r="AI30" s="24">
        <f>$C30*$E30*(1+Hypothèses!$C$14)^2</f>
        <v/>
      </c>
      <c r="AJ30" s="24">
        <f>$C30*$E30*(1+Hypothèses!$C$14)^2</f>
        <v/>
      </c>
      <c r="AK30" s="24">
        <f>$C30*$E30*(1+Hypothèses!$C$14)^2</f>
        <v/>
      </c>
      <c r="AL30" s="24">
        <f>$C30*$E30*(1+Hypothèses!$C$14)^2</f>
        <v/>
      </c>
      <c r="AM30" s="24">
        <f>$C30*$E30*(1+Hypothèses!$C$14)^2</f>
        <v/>
      </c>
      <c r="AN30" s="24">
        <f>$C30*$E30*(1+Hypothèses!$C$14)^2</f>
        <v/>
      </c>
      <c r="AO30" s="24">
        <f>$C30*$E30*(1+Hypothèses!$C$14)^2</f>
        <v/>
      </c>
      <c r="AP30" s="24">
        <f>$C30*$E30*(1+Hypothèses!$C$14)^2</f>
        <v/>
      </c>
      <c r="AQ30" s="24">
        <f>SUM(G30:R30)</f>
        <v/>
      </c>
      <c r="AR30" s="24">
        <f>SUM(S30:AD30)</f>
        <v/>
      </c>
      <c r="AS30" s="24">
        <f>SUM(AE30:AP30)</f>
        <v/>
      </c>
      <c r="AT30" s="24">
        <f>SUM(AQ30:AS30)</f>
        <v/>
      </c>
    </row>
    <row r="31">
      <c r="A31" s="25" t="inlineStr">
        <is>
          <t>SOUS-TOTAL Charges sociales dirigeant</t>
        </is>
      </c>
      <c r="C31" s="35" t="n"/>
      <c r="D31" s="35" t="n"/>
      <c r="E31" s="35" t="n"/>
      <c r="F31" s="35" t="n"/>
      <c r="G31" s="26">
        <f>G30</f>
        <v/>
      </c>
      <c r="H31" s="26">
        <f>H30</f>
        <v/>
      </c>
      <c r="I31" s="26">
        <f>I30</f>
        <v/>
      </c>
      <c r="J31" s="26">
        <f>J30</f>
        <v/>
      </c>
      <c r="K31" s="26">
        <f>K30</f>
        <v/>
      </c>
      <c r="L31" s="26">
        <f>L30</f>
        <v/>
      </c>
      <c r="M31" s="26">
        <f>M30</f>
        <v/>
      </c>
      <c r="N31" s="26">
        <f>N30</f>
        <v/>
      </c>
      <c r="O31" s="26">
        <f>O30</f>
        <v/>
      </c>
      <c r="P31" s="26">
        <f>P30</f>
        <v/>
      </c>
      <c r="Q31" s="26">
        <f>Q30</f>
        <v/>
      </c>
      <c r="R31" s="26">
        <f>R30</f>
        <v/>
      </c>
      <c r="S31" s="26">
        <f>S30</f>
        <v/>
      </c>
      <c r="T31" s="26">
        <f>T30</f>
        <v/>
      </c>
      <c r="U31" s="26">
        <f>U30</f>
        <v/>
      </c>
      <c r="V31" s="26">
        <f>V30</f>
        <v/>
      </c>
      <c r="W31" s="26">
        <f>W30</f>
        <v/>
      </c>
      <c r="X31" s="26">
        <f>X30</f>
        <v/>
      </c>
      <c r="Y31" s="26">
        <f>Y30</f>
        <v/>
      </c>
      <c r="Z31" s="26">
        <f>Z30</f>
        <v/>
      </c>
      <c r="AA31" s="26">
        <f>AA30</f>
        <v/>
      </c>
      <c r="AB31" s="26">
        <f>AB30</f>
        <v/>
      </c>
      <c r="AC31" s="26">
        <f>AC30</f>
        <v/>
      </c>
      <c r="AD31" s="26">
        <f>AD30</f>
        <v/>
      </c>
      <c r="AE31" s="26">
        <f>AE30</f>
        <v/>
      </c>
      <c r="AF31" s="26">
        <f>AF30</f>
        <v/>
      </c>
      <c r="AG31" s="26">
        <f>AG30</f>
        <v/>
      </c>
      <c r="AH31" s="26">
        <f>AH30</f>
        <v/>
      </c>
      <c r="AI31" s="26">
        <f>AI30</f>
        <v/>
      </c>
      <c r="AJ31" s="26">
        <f>AJ30</f>
        <v/>
      </c>
      <c r="AK31" s="26">
        <f>AK30</f>
        <v/>
      </c>
      <c r="AL31" s="26">
        <f>AL30</f>
        <v/>
      </c>
      <c r="AM31" s="26">
        <f>AM30</f>
        <v/>
      </c>
      <c r="AN31" s="26">
        <f>AN30</f>
        <v/>
      </c>
      <c r="AO31" s="26">
        <f>AO30</f>
        <v/>
      </c>
      <c r="AP31" s="26">
        <f>AP30</f>
        <v/>
      </c>
      <c r="AQ31" s="26">
        <f>SUM(G31:R31)</f>
        <v/>
      </c>
      <c r="AR31" s="26">
        <f>SUM(S31:AD31)</f>
        <v/>
      </c>
      <c r="AS31" s="26">
        <f>SUM(AE31:AP31)</f>
        <v/>
      </c>
      <c r="AT31" s="26">
        <f>SUM(AQ31:AS31)</f>
        <v/>
      </c>
    </row>
    <row r="32">
      <c r="A32" s="28" t="inlineStr">
        <is>
          <t>Énergie</t>
        </is>
      </c>
      <c r="B32" s="31" t="inlineStr">
        <is>
          <t>Électricité (dépôt, atelier, bureaux) — prix de marché simulé (€/unité)</t>
        </is>
      </c>
      <c r="C32" s="32" t="n"/>
      <c r="D32" s="31" t="inlineStr">
        <is>
          <t>kWh</t>
        </is>
      </c>
      <c r="E32" s="33">
        <f>AVERAGE(G32:AP32)</f>
        <v/>
      </c>
      <c r="F32" s="30" t="inlineStr">
        <is>
          <t>API/marché (Tarif Bleu Pro EDF — simulation calibrée, à actualiser via SDES)</t>
        </is>
      </c>
      <c r="G32" s="34" t="n">
        <v>0.1577</v>
      </c>
      <c r="H32" s="34" t="n">
        <v>0.1584</v>
      </c>
      <c r="I32" s="34" t="n">
        <v>0.1575</v>
      </c>
      <c r="J32" s="34" t="n">
        <v>0.157</v>
      </c>
      <c r="K32" s="34" t="n">
        <v>0.1551</v>
      </c>
      <c r="L32" s="34" t="n">
        <v>0.1508</v>
      </c>
      <c r="M32" s="34" t="n">
        <v>0.1498</v>
      </c>
      <c r="N32" s="34" t="n">
        <v>0.152</v>
      </c>
      <c r="O32" s="34" t="n">
        <v>0.1498</v>
      </c>
      <c r="P32" s="34" t="n">
        <v>0.1509</v>
      </c>
      <c r="Q32" s="34" t="n">
        <v>0.1532</v>
      </c>
      <c r="R32" s="34" t="n">
        <v>0.156</v>
      </c>
      <c r="S32" s="34" t="n">
        <v>0.1567</v>
      </c>
      <c r="T32" s="34" t="n">
        <v>0.1557</v>
      </c>
      <c r="U32" s="34" t="n">
        <v>0.1565</v>
      </c>
      <c r="V32" s="34" t="n">
        <v>0.1585</v>
      </c>
      <c r="W32" s="34" t="n">
        <v>0.1588</v>
      </c>
      <c r="X32" s="34" t="n">
        <v>0.1652</v>
      </c>
      <c r="Y32" s="34" t="n">
        <v>0.1638</v>
      </c>
      <c r="Z32" s="34" t="n">
        <v>0.1644</v>
      </c>
      <c r="AA32" s="34" t="n">
        <v>0.1685</v>
      </c>
      <c r="AB32" s="34" t="n">
        <v>0.1676</v>
      </c>
      <c r="AC32" s="34" t="n">
        <v>0.1675</v>
      </c>
      <c r="AD32" s="34" t="n">
        <v>0.1651</v>
      </c>
      <c r="AE32" s="34" t="n">
        <v>0.1655</v>
      </c>
      <c r="AF32" s="34" t="n">
        <v>0.1644</v>
      </c>
      <c r="AG32" s="34" t="n">
        <v>0.162</v>
      </c>
      <c r="AH32" s="34" t="n">
        <v>0.1613</v>
      </c>
      <c r="AI32" s="34" t="n">
        <v>0.157</v>
      </c>
      <c r="AJ32" s="34" t="n">
        <v>0.1568</v>
      </c>
      <c r="AK32" s="34" t="n">
        <v>0.1516</v>
      </c>
      <c r="AL32" s="34" t="n">
        <v>0.1538</v>
      </c>
      <c r="AM32" s="34" t="n">
        <v>0.155</v>
      </c>
      <c r="AN32" s="34" t="n">
        <v>0.1576</v>
      </c>
      <c r="AO32" s="34" t="n">
        <v>0.1618</v>
      </c>
      <c r="AP32" s="34" t="n">
        <v>0.1551</v>
      </c>
    </row>
    <row r="33">
      <c r="A33" s="28" t="inlineStr">
        <is>
          <t>Énergie</t>
        </is>
      </c>
      <c r="B33" s="28" t="inlineStr">
        <is>
          <t>↳ Coût (Électricité (dépôt, atelier, bureaux))</t>
        </is>
      </c>
      <c r="C33" s="29" t="n">
        <v>1800</v>
      </c>
      <c r="D33" s="28" t="inlineStr">
        <is>
          <t>kWh</t>
        </is>
      </c>
      <c r="E33" s="32" t="n"/>
      <c r="F33" s="31" t="inlineStr">
        <is>
          <t>Coût = Qté de base × saisonnalité × prix simulé ci-dessus</t>
        </is>
      </c>
      <c r="G33" s="24">
        <f>$C33*Hypothèses!C$18*G32</f>
        <v/>
      </c>
      <c r="H33" s="24">
        <f>$C33*Hypothèses!D$18*H32</f>
        <v/>
      </c>
      <c r="I33" s="24">
        <f>$C33*Hypothèses!E$18*I32</f>
        <v/>
      </c>
      <c r="J33" s="24">
        <f>$C33*Hypothèses!F$18*J32</f>
        <v/>
      </c>
      <c r="K33" s="24">
        <f>$C33*Hypothèses!G$18*K32</f>
        <v/>
      </c>
      <c r="L33" s="24">
        <f>$C33*Hypothèses!H$18*L32</f>
        <v/>
      </c>
      <c r="M33" s="24">
        <f>$C33*Hypothèses!I$18*M32</f>
        <v/>
      </c>
      <c r="N33" s="24">
        <f>$C33*Hypothèses!J$18*N32</f>
        <v/>
      </c>
      <c r="O33" s="24">
        <f>$C33*Hypothèses!K$18*O32</f>
        <v/>
      </c>
      <c r="P33" s="24">
        <f>$C33*Hypothèses!L$18*P32</f>
        <v/>
      </c>
      <c r="Q33" s="24">
        <f>$C33*Hypothèses!M$18*Q32</f>
        <v/>
      </c>
      <c r="R33" s="24">
        <f>$C33*Hypothèses!N$18*R32</f>
        <v/>
      </c>
      <c r="S33" s="24">
        <f>$C33*Hypothèses!C$18*S32</f>
        <v/>
      </c>
      <c r="T33" s="24">
        <f>$C33*Hypothèses!D$18*T32</f>
        <v/>
      </c>
      <c r="U33" s="24">
        <f>$C33*Hypothèses!E$18*U32</f>
        <v/>
      </c>
      <c r="V33" s="24">
        <f>$C33*Hypothèses!F$18*V32</f>
        <v/>
      </c>
      <c r="W33" s="24">
        <f>$C33*Hypothèses!G$18*W32</f>
        <v/>
      </c>
      <c r="X33" s="24">
        <f>$C33*Hypothèses!H$18*X32</f>
        <v/>
      </c>
      <c r="Y33" s="24">
        <f>$C33*Hypothèses!I$18*Y32</f>
        <v/>
      </c>
      <c r="Z33" s="24">
        <f>$C33*Hypothèses!J$18*Z32</f>
        <v/>
      </c>
      <c r="AA33" s="24">
        <f>$C33*Hypothèses!K$18*AA32</f>
        <v/>
      </c>
      <c r="AB33" s="24">
        <f>$C33*Hypothèses!L$18*AB32</f>
        <v/>
      </c>
      <c r="AC33" s="24">
        <f>$C33*Hypothèses!M$18*AC32</f>
        <v/>
      </c>
      <c r="AD33" s="24">
        <f>$C33*Hypothèses!N$18*AD32</f>
        <v/>
      </c>
      <c r="AE33" s="24">
        <f>$C33*Hypothèses!C$18*AE32</f>
        <v/>
      </c>
      <c r="AF33" s="24">
        <f>$C33*Hypothèses!D$18*AF32</f>
        <v/>
      </c>
      <c r="AG33" s="24">
        <f>$C33*Hypothèses!E$18*AG32</f>
        <v/>
      </c>
      <c r="AH33" s="24">
        <f>$C33*Hypothèses!F$18*AH32</f>
        <v/>
      </c>
      <c r="AI33" s="24">
        <f>$C33*Hypothèses!G$18*AI32</f>
        <v/>
      </c>
      <c r="AJ33" s="24">
        <f>$C33*Hypothèses!H$18*AJ32</f>
        <v/>
      </c>
      <c r="AK33" s="24">
        <f>$C33*Hypothèses!I$18*AK32</f>
        <v/>
      </c>
      <c r="AL33" s="24">
        <f>$C33*Hypothèses!J$18*AL32</f>
        <v/>
      </c>
      <c r="AM33" s="24">
        <f>$C33*Hypothèses!K$18*AM32</f>
        <v/>
      </c>
      <c r="AN33" s="24">
        <f>$C33*Hypothèses!L$18*AN32</f>
        <v/>
      </c>
      <c r="AO33" s="24">
        <f>$C33*Hypothèses!M$18*AO32</f>
        <v/>
      </c>
      <c r="AP33" s="24">
        <f>$C33*Hypothèses!N$18*AP32</f>
        <v/>
      </c>
      <c r="AQ33" s="24">
        <f>SUM(G33:R33)</f>
        <v/>
      </c>
      <c r="AR33" s="24">
        <f>SUM(S33:AD33)</f>
        <v/>
      </c>
      <c r="AS33" s="24">
        <f>SUM(AE33:AP33)</f>
        <v/>
      </c>
      <c r="AT33" s="24">
        <f>SUM(AQ33:AS33)</f>
        <v/>
      </c>
    </row>
    <row r="34">
      <c r="A34" s="25" t="inlineStr">
        <is>
          <t>SOUS-TOTAL Énergie</t>
        </is>
      </c>
      <c r="C34" s="35" t="n"/>
      <c r="D34" s="35" t="n"/>
      <c r="E34" s="35" t="n"/>
      <c r="F34" s="35" t="n"/>
      <c r="G34" s="26">
        <f>G33</f>
        <v/>
      </c>
      <c r="H34" s="26">
        <f>H33</f>
        <v/>
      </c>
      <c r="I34" s="26">
        <f>I33</f>
        <v/>
      </c>
      <c r="J34" s="26">
        <f>J33</f>
        <v/>
      </c>
      <c r="K34" s="26">
        <f>K33</f>
        <v/>
      </c>
      <c r="L34" s="26">
        <f>L33</f>
        <v/>
      </c>
      <c r="M34" s="26">
        <f>M33</f>
        <v/>
      </c>
      <c r="N34" s="26">
        <f>N33</f>
        <v/>
      </c>
      <c r="O34" s="26">
        <f>O33</f>
        <v/>
      </c>
      <c r="P34" s="26">
        <f>P33</f>
        <v/>
      </c>
      <c r="Q34" s="26">
        <f>Q33</f>
        <v/>
      </c>
      <c r="R34" s="26">
        <f>R33</f>
        <v/>
      </c>
      <c r="S34" s="26">
        <f>S33</f>
        <v/>
      </c>
      <c r="T34" s="26">
        <f>T33</f>
        <v/>
      </c>
      <c r="U34" s="26">
        <f>U33</f>
        <v/>
      </c>
      <c r="V34" s="26">
        <f>V33</f>
        <v/>
      </c>
      <c r="W34" s="26">
        <f>W33</f>
        <v/>
      </c>
      <c r="X34" s="26">
        <f>X33</f>
        <v/>
      </c>
      <c r="Y34" s="26">
        <f>Y33</f>
        <v/>
      </c>
      <c r="Z34" s="26">
        <f>Z33</f>
        <v/>
      </c>
      <c r="AA34" s="26">
        <f>AA33</f>
        <v/>
      </c>
      <c r="AB34" s="26">
        <f>AB33</f>
        <v/>
      </c>
      <c r="AC34" s="26">
        <f>AC33</f>
        <v/>
      </c>
      <c r="AD34" s="26">
        <f>AD33</f>
        <v/>
      </c>
      <c r="AE34" s="26">
        <f>AE33</f>
        <v/>
      </c>
      <c r="AF34" s="26">
        <f>AF33</f>
        <v/>
      </c>
      <c r="AG34" s="26">
        <f>AG33</f>
        <v/>
      </c>
      <c r="AH34" s="26">
        <f>AH33</f>
        <v/>
      </c>
      <c r="AI34" s="26">
        <f>AI33</f>
        <v/>
      </c>
      <c r="AJ34" s="26">
        <f>AJ33</f>
        <v/>
      </c>
      <c r="AK34" s="26">
        <f>AK33</f>
        <v/>
      </c>
      <c r="AL34" s="26">
        <f>AL33</f>
        <v/>
      </c>
      <c r="AM34" s="26">
        <f>AM33</f>
        <v/>
      </c>
      <c r="AN34" s="26">
        <f>AN33</f>
        <v/>
      </c>
      <c r="AO34" s="26">
        <f>AO33</f>
        <v/>
      </c>
      <c r="AP34" s="26">
        <f>AP33</f>
        <v/>
      </c>
      <c r="AQ34" s="26">
        <f>SUM(G34:R34)</f>
        <v/>
      </c>
      <c r="AR34" s="26">
        <f>SUM(S34:AD34)</f>
        <v/>
      </c>
      <c r="AS34" s="26">
        <f>SUM(AE34:AP34)</f>
        <v/>
      </c>
      <c r="AT34" s="26">
        <f>SUM(AQ34:AS34)</f>
        <v/>
      </c>
    </row>
    <row r="35">
      <c r="A35" s="28" t="inlineStr">
        <is>
          <t>Charges fixes</t>
        </is>
      </c>
      <c r="B35" s="28" t="inlineStr">
        <is>
          <t>Loyer dépôt / atelier</t>
        </is>
      </c>
      <c r="C35" s="29" t="n">
        <v>1</v>
      </c>
      <c r="D35" s="28" t="inlineStr">
        <is>
          <t>forfait/mois</t>
        </is>
      </c>
      <c r="E35" s="10" t="n">
        <v>1200</v>
      </c>
      <c r="F35" s="30" t="inlineStr">
        <is>
          <t>Estimé</t>
        </is>
      </c>
      <c r="G35" s="24">
        <f>$C35*$E35*(1+Hypothèses!$C$14)^0</f>
        <v/>
      </c>
      <c r="H35" s="24">
        <f>$C35*$E35*(1+Hypothèses!$C$14)^0</f>
        <v/>
      </c>
      <c r="I35" s="24">
        <f>$C35*$E35*(1+Hypothèses!$C$14)^0</f>
        <v/>
      </c>
      <c r="J35" s="24">
        <f>$C35*$E35*(1+Hypothèses!$C$14)^0</f>
        <v/>
      </c>
      <c r="K35" s="24">
        <f>$C35*$E35*(1+Hypothèses!$C$14)^0</f>
        <v/>
      </c>
      <c r="L35" s="24">
        <f>$C35*$E35*(1+Hypothèses!$C$14)^0</f>
        <v/>
      </c>
      <c r="M35" s="24">
        <f>$C35*$E35*(1+Hypothèses!$C$14)^0</f>
        <v/>
      </c>
      <c r="N35" s="24">
        <f>$C35*$E35*(1+Hypothèses!$C$14)^0</f>
        <v/>
      </c>
      <c r="O35" s="24">
        <f>$C35*$E35*(1+Hypothèses!$C$14)^0</f>
        <v/>
      </c>
      <c r="P35" s="24">
        <f>$C35*$E35*(1+Hypothèses!$C$14)^0</f>
        <v/>
      </c>
      <c r="Q35" s="24">
        <f>$C35*$E35*(1+Hypothèses!$C$14)^0</f>
        <v/>
      </c>
      <c r="R35" s="24">
        <f>$C35*$E35*(1+Hypothèses!$C$14)^0</f>
        <v/>
      </c>
      <c r="S35" s="24">
        <f>$C35*$E35*(1+Hypothèses!$C$14)^1</f>
        <v/>
      </c>
      <c r="T35" s="24">
        <f>$C35*$E35*(1+Hypothèses!$C$14)^1</f>
        <v/>
      </c>
      <c r="U35" s="24">
        <f>$C35*$E35*(1+Hypothèses!$C$14)^1</f>
        <v/>
      </c>
      <c r="V35" s="24">
        <f>$C35*$E35*(1+Hypothèses!$C$14)^1</f>
        <v/>
      </c>
      <c r="W35" s="24">
        <f>$C35*$E35*(1+Hypothèses!$C$14)^1</f>
        <v/>
      </c>
      <c r="X35" s="24">
        <f>$C35*$E35*(1+Hypothèses!$C$14)^1</f>
        <v/>
      </c>
      <c r="Y35" s="24">
        <f>$C35*$E35*(1+Hypothèses!$C$14)^1</f>
        <v/>
      </c>
      <c r="Z35" s="24">
        <f>$C35*$E35*(1+Hypothèses!$C$14)^1</f>
        <v/>
      </c>
      <c r="AA35" s="24">
        <f>$C35*$E35*(1+Hypothèses!$C$14)^1</f>
        <v/>
      </c>
      <c r="AB35" s="24">
        <f>$C35*$E35*(1+Hypothèses!$C$14)^1</f>
        <v/>
      </c>
      <c r="AC35" s="24">
        <f>$C35*$E35*(1+Hypothèses!$C$14)^1</f>
        <v/>
      </c>
      <c r="AD35" s="24">
        <f>$C35*$E35*(1+Hypothèses!$C$14)^1</f>
        <v/>
      </c>
      <c r="AE35" s="24">
        <f>$C35*$E35*(1+Hypothèses!$C$14)^2</f>
        <v/>
      </c>
      <c r="AF35" s="24">
        <f>$C35*$E35*(1+Hypothèses!$C$14)^2</f>
        <v/>
      </c>
      <c r="AG35" s="24">
        <f>$C35*$E35*(1+Hypothèses!$C$14)^2</f>
        <v/>
      </c>
      <c r="AH35" s="24">
        <f>$C35*$E35*(1+Hypothèses!$C$14)^2</f>
        <v/>
      </c>
      <c r="AI35" s="24">
        <f>$C35*$E35*(1+Hypothèses!$C$14)^2</f>
        <v/>
      </c>
      <c r="AJ35" s="24">
        <f>$C35*$E35*(1+Hypothèses!$C$14)^2</f>
        <v/>
      </c>
      <c r="AK35" s="24">
        <f>$C35*$E35*(1+Hypothèses!$C$14)^2</f>
        <v/>
      </c>
      <c r="AL35" s="24">
        <f>$C35*$E35*(1+Hypothèses!$C$14)^2</f>
        <v/>
      </c>
      <c r="AM35" s="24">
        <f>$C35*$E35*(1+Hypothèses!$C$14)^2</f>
        <v/>
      </c>
      <c r="AN35" s="24">
        <f>$C35*$E35*(1+Hypothèses!$C$14)^2</f>
        <v/>
      </c>
      <c r="AO35" s="24">
        <f>$C35*$E35*(1+Hypothèses!$C$14)^2</f>
        <v/>
      </c>
      <c r="AP35" s="24">
        <f>$C35*$E35*(1+Hypothèses!$C$14)^2</f>
        <v/>
      </c>
      <c r="AQ35" s="24">
        <f>SUM(G35:R35)</f>
        <v/>
      </c>
      <c r="AR35" s="24">
        <f>SUM(S35:AD35)</f>
        <v/>
      </c>
      <c r="AS35" s="24">
        <f>SUM(AE35:AP35)</f>
        <v/>
      </c>
      <c r="AT35" s="24">
        <f>SUM(AQ35:AS35)</f>
        <v/>
      </c>
    </row>
    <row r="36">
      <c r="A36" s="28" t="inlineStr">
        <is>
          <t>Charges fixes</t>
        </is>
      </c>
      <c r="B36" s="28" t="inlineStr">
        <is>
          <t>Assurance décennale</t>
        </is>
      </c>
      <c r="C36" s="29" t="n">
        <v>1</v>
      </c>
      <c r="D36" s="28" t="inlineStr">
        <is>
          <t>forfait/mois</t>
        </is>
      </c>
      <c r="E36" s="10" t="n">
        <v>750</v>
      </c>
      <c r="F36" s="30" t="inlineStr">
        <is>
          <t>Sourcé — exemple de prime annuelle ≈2 440€ pour artisan ; majoré ici pour CA 1,5M€</t>
        </is>
      </c>
      <c r="G36" s="24">
        <f>$C36*$E36*(1+Hypothèses!$C$14)^0</f>
        <v/>
      </c>
      <c r="H36" s="24">
        <f>$C36*$E36*(1+Hypothèses!$C$14)^0</f>
        <v/>
      </c>
      <c r="I36" s="24">
        <f>$C36*$E36*(1+Hypothèses!$C$14)^0</f>
        <v/>
      </c>
      <c r="J36" s="24">
        <f>$C36*$E36*(1+Hypothèses!$C$14)^0</f>
        <v/>
      </c>
      <c r="K36" s="24">
        <f>$C36*$E36*(1+Hypothèses!$C$14)^0</f>
        <v/>
      </c>
      <c r="L36" s="24">
        <f>$C36*$E36*(1+Hypothèses!$C$14)^0</f>
        <v/>
      </c>
      <c r="M36" s="24">
        <f>$C36*$E36*(1+Hypothèses!$C$14)^0</f>
        <v/>
      </c>
      <c r="N36" s="24">
        <f>$C36*$E36*(1+Hypothèses!$C$14)^0</f>
        <v/>
      </c>
      <c r="O36" s="24">
        <f>$C36*$E36*(1+Hypothèses!$C$14)^0</f>
        <v/>
      </c>
      <c r="P36" s="24">
        <f>$C36*$E36*(1+Hypothèses!$C$14)^0</f>
        <v/>
      </c>
      <c r="Q36" s="24">
        <f>$C36*$E36*(1+Hypothèses!$C$14)^0</f>
        <v/>
      </c>
      <c r="R36" s="24">
        <f>$C36*$E36*(1+Hypothèses!$C$14)^0</f>
        <v/>
      </c>
      <c r="S36" s="24">
        <f>$C36*$E36*(1+Hypothèses!$C$14)^1</f>
        <v/>
      </c>
      <c r="T36" s="24">
        <f>$C36*$E36*(1+Hypothèses!$C$14)^1</f>
        <v/>
      </c>
      <c r="U36" s="24">
        <f>$C36*$E36*(1+Hypothèses!$C$14)^1</f>
        <v/>
      </c>
      <c r="V36" s="24">
        <f>$C36*$E36*(1+Hypothèses!$C$14)^1</f>
        <v/>
      </c>
      <c r="W36" s="24">
        <f>$C36*$E36*(1+Hypothèses!$C$14)^1</f>
        <v/>
      </c>
      <c r="X36" s="24">
        <f>$C36*$E36*(1+Hypothèses!$C$14)^1</f>
        <v/>
      </c>
      <c r="Y36" s="24">
        <f>$C36*$E36*(1+Hypothèses!$C$14)^1</f>
        <v/>
      </c>
      <c r="Z36" s="24">
        <f>$C36*$E36*(1+Hypothèses!$C$14)^1</f>
        <v/>
      </c>
      <c r="AA36" s="24">
        <f>$C36*$E36*(1+Hypothèses!$C$14)^1</f>
        <v/>
      </c>
      <c r="AB36" s="24">
        <f>$C36*$E36*(1+Hypothèses!$C$14)^1</f>
        <v/>
      </c>
      <c r="AC36" s="24">
        <f>$C36*$E36*(1+Hypothèses!$C$14)^1</f>
        <v/>
      </c>
      <c r="AD36" s="24">
        <f>$C36*$E36*(1+Hypothèses!$C$14)^1</f>
        <v/>
      </c>
      <c r="AE36" s="24">
        <f>$C36*$E36*(1+Hypothèses!$C$14)^2</f>
        <v/>
      </c>
      <c r="AF36" s="24">
        <f>$C36*$E36*(1+Hypothèses!$C$14)^2</f>
        <v/>
      </c>
      <c r="AG36" s="24">
        <f>$C36*$E36*(1+Hypothèses!$C$14)^2</f>
        <v/>
      </c>
      <c r="AH36" s="24">
        <f>$C36*$E36*(1+Hypothèses!$C$14)^2</f>
        <v/>
      </c>
      <c r="AI36" s="24">
        <f>$C36*$E36*(1+Hypothèses!$C$14)^2</f>
        <v/>
      </c>
      <c r="AJ36" s="24">
        <f>$C36*$E36*(1+Hypothèses!$C$14)^2</f>
        <v/>
      </c>
      <c r="AK36" s="24">
        <f>$C36*$E36*(1+Hypothèses!$C$14)^2</f>
        <v/>
      </c>
      <c r="AL36" s="24">
        <f>$C36*$E36*(1+Hypothèses!$C$14)^2</f>
        <v/>
      </c>
      <c r="AM36" s="24">
        <f>$C36*$E36*(1+Hypothèses!$C$14)^2</f>
        <v/>
      </c>
      <c r="AN36" s="24">
        <f>$C36*$E36*(1+Hypothèses!$C$14)^2</f>
        <v/>
      </c>
      <c r="AO36" s="24">
        <f>$C36*$E36*(1+Hypothèses!$C$14)^2</f>
        <v/>
      </c>
      <c r="AP36" s="24">
        <f>$C36*$E36*(1+Hypothèses!$C$14)^2</f>
        <v/>
      </c>
      <c r="AQ36" s="24">
        <f>SUM(G36:R36)</f>
        <v/>
      </c>
      <c r="AR36" s="24">
        <f>SUM(S36:AD36)</f>
        <v/>
      </c>
      <c r="AS36" s="24">
        <f>SUM(AE36:AP36)</f>
        <v/>
      </c>
      <c r="AT36" s="24">
        <f>SUM(AQ36:AS36)</f>
        <v/>
      </c>
    </row>
    <row r="37">
      <c r="A37" s="28" t="inlineStr">
        <is>
          <t>Charges fixes</t>
        </is>
      </c>
      <c r="B37" s="28" t="inlineStr">
        <is>
          <t>Assurance RC professionnelle &amp; flotte véhicules</t>
        </is>
      </c>
      <c r="C37" s="29" t="n">
        <v>1</v>
      </c>
      <c r="D37" s="28" t="inlineStr">
        <is>
          <t>forfait/mois</t>
        </is>
      </c>
      <c r="E37" s="10" t="n">
        <v>450</v>
      </c>
      <c r="F37" s="30" t="inlineStr">
        <is>
          <t>Estimé — devis assureur pro</t>
        </is>
      </c>
      <c r="G37" s="24">
        <f>$C37*$E37*(1+Hypothèses!$C$14)^0</f>
        <v/>
      </c>
      <c r="H37" s="24">
        <f>$C37*$E37*(1+Hypothèses!$C$14)^0</f>
        <v/>
      </c>
      <c r="I37" s="24">
        <f>$C37*$E37*(1+Hypothèses!$C$14)^0</f>
        <v/>
      </c>
      <c r="J37" s="24">
        <f>$C37*$E37*(1+Hypothèses!$C$14)^0</f>
        <v/>
      </c>
      <c r="K37" s="24">
        <f>$C37*$E37*(1+Hypothèses!$C$14)^0</f>
        <v/>
      </c>
      <c r="L37" s="24">
        <f>$C37*$E37*(1+Hypothèses!$C$14)^0</f>
        <v/>
      </c>
      <c r="M37" s="24">
        <f>$C37*$E37*(1+Hypothèses!$C$14)^0</f>
        <v/>
      </c>
      <c r="N37" s="24">
        <f>$C37*$E37*(1+Hypothèses!$C$14)^0</f>
        <v/>
      </c>
      <c r="O37" s="24">
        <f>$C37*$E37*(1+Hypothèses!$C$14)^0</f>
        <v/>
      </c>
      <c r="P37" s="24">
        <f>$C37*$E37*(1+Hypothèses!$C$14)^0</f>
        <v/>
      </c>
      <c r="Q37" s="24">
        <f>$C37*$E37*(1+Hypothèses!$C$14)^0</f>
        <v/>
      </c>
      <c r="R37" s="24">
        <f>$C37*$E37*(1+Hypothèses!$C$14)^0</f>
        <v/>
      </c>
      <c r="S37" s="24">
        <f>$C37*$E37*(1+Hypothèses!$C$14)^1</f>
        <v/>
      </c>
      <c r="T37" s="24">
        <f>$C37*$E37*(1+Hypothèses!$C$14)^1</f>
        <v/>
      </c>
      <c r="U37" s="24">
        <f>$C37*$E37*(1+Hypothèses!$C$14)^1</f>
        <v/>
      </c>
      <c r="V37" s="24">
        <f>$C37*$E37*(1+Hypothèses!$C$14)^1</f>
        <v/>
      </c>
      <c r="W37" s="24">
        <f>$C37*$E37*(1+Hypothèses!$C$14)^1</f>
        <v/>
      </c>
      <c r="X37" s="24">
        <f>$C37*$E37*(1+Hypothèses!$C$14)^1</f>
        <v/>
      </c>
      <c r="Y37" s="24">
        <f>$C37*$E37*(1+Hypothèses!$C$14)^1</f>
        <v/>
      </c>
      <c r="Z37" s="24">
        <f>$C37*$E37*(1+Hypothèses!$C$14)^1</f>
        <v/>
      </c>
      <c r="AA37" s="24">
        <f>$C37*$E37*(1+Hypothèses!$C$14)^1</f>
        <v/>
      </c>
      <c r="AB37" s="24">
        <f>$C37*$E37*(1+Hypothèses!$C$14)^1</f>
        <v/>
      </c>
      <c r="AC37" s="24">
        <f>$C37*$E37*(1+Hypothèses!$C$14)^1</f>
        <v/>
      </c>
      <c r="AD37" s="24">
        <f>$C37*$E37*(1+Hypothèses!$C$14)^1</f>
        <v/>
      </c>
      <c r="AE37" s="24">
        <f>$C37*$E37*(1+Hypothèses!$C$14)^2</f>
        <v/>
      </c>
      <c r="AF37" s="24">
        <f>$C37*$E37*(1+Hypothèses!$C$14)^2</f>
        <v/>
      </c>
      <c r="AG37" s="24">
        <f>$C37*$E37*(1+Hypothèses!$C$14)^2</f>
        <v/>
      </c>
      <c r="AH37" s="24">
        <f>$C37*$E37*(1+Hypothèses!$C$14)^2</f>
        <v/>
      </c>
      <c r="AI37" s="24">
        <f>$C37*$E37*(1+Hypothèses!$C$14)^2</f>
        <v/>
      </c>
      <c r="AJ37" s="24">
        <f>$C37*$E37*(1+Hypothèses!$C$14)^2</f>
        <v/>
      </c>
      <c r="AK37" s="24">
        <f>$C37*$E37*(1+Hypothèses!$C$14)^2</f>
        <v/>
      </c>
      <c r="AL37" s="24">
        <f>$C37*$E37*(1+Hypothèses!$C$14)^2</f>
        <v/>
      </c>
      <c r="AM37" s="24">
        <f>$C37*$E37*(1+Hypothèses!$C$14)^2</f>
        <v/>
      </c>
      <c r="AN37" s="24">
        <f>$C37*$E37*(1+Hypothèses!$C$14)^2</f>
        <v/>
      </c>
      <c r="AO37" s="24">
        <f>$C37*$E37*(1+Hypothèses!$C$14)^2</f>
        <v/>
      </c>
      <c r="AP37" s="24">
        <f>$C37*$E37*(1+Hypothèses!$C$14)^2</f>
        <v/>
      </c>
      <c r="AQ37" s="24">
        <f>SUM(G37:R37)</f>
        <v/>
      </c>
      <c r="AR37" s="24">
        <f>SUM(S37:AD37)</f>
        <v/>
      </c>
      <c r="AS37" s="24">
        <f>SUM(AE37:AP37)</f>
        <v/>
      </c>
      <c r="AT37" s="24">
        <f>SUM(AQ37:AS37)</f>
        <v/>
      </c>
    </row>
    <row r="38">
      <c r="A38" s="28" t="inlineStr">
        <is>
          <t>Charges fixes</t>
        </is>
      </c>
      <c r="B38" s="28" t="inlineStr">
        <is>
          <t>Honoraires comptable</t>
        </is>
      </c>
      <c r="C38" s="29" t="n">
        <v>1</v>
      </c>
      <c r="D38" s="28" t="inlineStr">
        <is>
          <t>forfait/mois</t>
        </is>
      </c>
      <c r="E38" s="10" t="n">
        <v>600</v>
      </c>
      <c r="F38" s="30" t="inlineStr">
        <is>
          <t>Estimé</t>
        </is>
      </c>
      <c r="G38" s="24">
        <f>$C38*$E38*(1+Hypothèses!$C$14)^0</f>
        <v/>
      </c>
      <c r="H38" s="24">
        <f>$C38*$E38*(1+Hypothèses!$C$14)^0</f>
        <v/>
      </c>
      <c r="I38" s="24">
        <f>$C38*$E38*(1+Hypothèses!$C$14)^0</f>
        <v/>
      </c>
      <c r="J38" s="24">
        <f>$C38*$E38*(1+Hypothèses!$C$14)^0</f>
        <v/>
      </c>
      <c r="K38" s="24">
        <f>$C38*$E38*(1+Hypothèses!$C$14)^0</f>
        <v/>
      </c>
      <c r="L38" s="24">
        <f>$C38*$E38*(1+Hypothèses!$C$14)^0</f>
        <v/>
      </c>
      <c r="M38" s="24">
        <f>$C38*$E38*(1+Hypothèses!$C$14)^0</f>
        <v/>
      </c>
      <c r="N38" s="24">
        <f>$C38*$E38*(1+Hypothèses!$C$14)^0</f>
        <v/>
      </c>
      <c r="O38" s="24">
        <f>$C38*$E38*(1+Hypothèses!$C$14)^0</f>
        <v/>
      </c>
      <c r="P38" s="24">
        <f>$C38*$E38*(1+Hypothèses!$C$14)^0</f>
        <v/>
      </c>
      <c r="Q38" s="24">
        <f>$C38*$E38*(1+Hypothèses!$C$14)^0</f>
        <v/>
      </c>
      <c r="R38" s="24">
        <f>$C38*$E38*(1+Hypothèses!$C$14)^0</f>
        <v/>
      </c>
      <c r="S38" s="24">
        <f>$C38*$E38*(1+Hypothèses!$C$14)^1</f>
        <v/>
      </c>
      <c r="T38" s="24">
        <f>$C38*$E38*(1+Hypothèses!$C$14)^1</f>
        <v/>
      </c>
      <c r="U38" s="24">
        <f>$C38*$E38*(1+Hypothèses!$C$14)^1</f>
        <v/>
      </c>
      <c r="V38" s="24">
        <f>$C38*$E38*(1+Hypothèses!$C$14)^1</f>
        <v/>
      </c>
      <c r="W38" s="24">
        <f>$C38*$E38*(1+Hypothèses!$C$14)^1</f>
        <v/>
      </c>
      <c r="X38" s="24">
        <f>$C38*$E38*(1+Hypothèses!$C$14)^1</f>
        <v/>
      </c>
      <c r="Y38" s="24">
        <f>$C38*$E38*(1+Hypothèses!$C$14)^1</f>
        <v/>
      </c>
      <c r="Z38" s="24">
        <f>$C38*$E38*(1+Hypothèses!$C$14)^1</f>
        <v/>
      </c>
      <c r="AA38" s="24">
        <f>$C38*$E38*(1+Hypothèses!$C$14)^1</f>
        <v/>
      </c>
      <c r="AB38" s="24">
        <f>$C38*$E38*(1+Hypothèses!$C$14)^1</f>
        <v/>
      </c>
      <c r="AC38" s="24">
        <f>$C38*$E38*(1+Hypothèses!$C$14)^1</f>
        <v/>
      </c>
      <c r="AD38" s="24">
        <f>$C38*$E38*(1+Hypothèses!$C$14)^1</f>
        <v/>
      </c>
      <c r="AE38" s="24">
        <f>$C38*$E38*(1+Hypothèses!$C$14)^2</f>
        <v/>
      </c>
      <c r="AF38" s="24">
        <f>$C38*$E38*(1+Hypothèses!$C$14)^2</f>
        <v/>
      </c>
      <c r="AG38" s="24">
        <f>$C38*$E38*(1+Hypothèses!$C$14)^2</f>
        <v/>
      </c>
      <c r="AH38" s="24">
        <f>$C38*$E38*(1+Hypothèses!$C$14)^2</f>
        <v/>
      </c>
      <c r="AI38" s="24">
        <f>$C38*$E38*(1+Hypothèses!$C$14)^2</f>
        <v/>
      </c>
      <c r="AJ38" s="24">
        <f>$C38*$E38*(1+Hypothèses!$C$14)^2</f>
        <v/>
      </c>
      <c r="AK38" s="24">
        <f>$C38*$E38*(1+Hypothèses!$C$14)^2</f>
        <v/>
      </c>
      <c r="AL38" s="24">
        <f>$C38*$E38*(1+Hypothèses!$C$14)^2</f>
        <v/>
      </c>
      <c r="AM38" s="24">
        <f>$C38*$E38*(1+Hypothèses!$C$14)^2</f>
        <v/>
      </c>
      <c r="AN38" s="24">
        <f>$C38*$E38*(1+Hypothèses!$C$14)^2</f>
        <v/>
      </c>
      <c r="AO38" s="24">
        <f>$C38*$E38*(1+Hypothèses!$C$14)^2</f>
        <v/>
      </c>
      <c r="AP38" s="24">
        <f>$C38*$E38*(1+Hypothèses!$C$14)^2</f>
        <v/>
      </c>
      <c r="AQ38" s="24">
        <f>SUM(G38:R38)</f>
        <v/>
      </c>
      <c r="AR38" s="24">
        <f>SUM(S38:AD38)</f>
        <v/>
      </c>
      <c r="AS38" s="24">
        <f>SUM(AE38:AP38)</f>
        <v/>
      </c>
      <c r="AT38" s="24">
        <f>SUM(AQ38:AS38)</f>
        <v/>
      </c>
    </row>
    <row r="39">
      <c r="A39" s="28" t="inlineStr">
        <is>
          <t>Charges fixes</t>
        </is>
      </c>
      <c r="B39" s="28" t="inlineStr">
        <is>
          <t>Téléphonie / internet / logiciels de gestion chantier</t>
        </is>
      </c>
      <c r="C39" s="29" t="n">
        <v>1</v>
      </c>
      <c r="D39" s="28" t="inlineStr">
        <is>
          <t>forfait/mois</t>
        </is>
      </c>
      <c r="E39" s="10" t="n">
        <v>200</v>
      </c>
      <c r="F39" s="30" t="inlineStr">
        <is>
          <t>Estimé</t>
        </is>
      </c>
      <c r="G39" s="24">
        <f>$C39*$E39*(1+Hypothèses!$C$14)^0</f>
        <v/>
      </c>
      <c r="H39" s="24">
        <f>$C39*$E39*(1+Hypothèses!$C$14)^0</f>
        <v/>
      </c>
      <c r="I39" s="24">
        <f>$C39*$E39*(1+Hypothèses!$C$14)^0</f>
        <v/>
      </c>
      <c r="J39" s="24">
        <f>$C39*$E39*(1+Hypothèses!$C$14)^0</f>
        <v/>
      </c>
      <c r="K39" s="24">
        <f>$C39*$E39*(1+Hypothèses!$C$14)^0</f>
        <v/>
      </c>
      <c r="L39" s="24">
        <f>$C39*$E39*(1+Hypothèses!$C$14)^0</f>
        <v/>
      </c>
      <c r="M39" s="24">
        <f>$C39*$E39*(1+Hypothèses!$C$14)^0</f>
        <v/>
      </c>
      <c r="N39" s="24">
        <f>$C39*$E39*(1+Hypothèses!$C$14)^0</f>
        <v/>
      </c>
      <c r="O39" s="24">
        <f>$C39*$E39*(1+Hypothèses!$C$14)^0</f>
        <v/>
      </c>
      <c r="P39" s="24">
        <f>$C39*$E39*(1+Hypothèses!$C$14)^0</f>
        <v/>
      </c>
      <c r="Q39" s="24">
        <f>$C39*$E39*(1+Hypothèses!$C$14)^0</f>
        <v/>
      </c>
      <c r="R39" s="24">
        <f>$C39*$E39*(1+Hypothèses!$C$14)^0</f>
        <v/>
      </c>
      <c r="S39" s="24">
        <f>$C39*$E39*(1+Hypothèses!$C$14)^1</f>
        <v/>
      </c>
      <c r="T39" s="24">
        <f>$C39*$E39*(1+Hypothèses!$C$14)^1</f>
        <v/>
      </c>
      <c r="U39" s="24">
        <f>$C39*$E39*(1+Hypothèses!$C$14)^1</f>
        <v/>
      </c>
      <c r="V39" s="24">
        <f>$C39*$E39*(1+Hypothèses!$C$14)^1</f>
        <v/>
      </c>
      <c r="W39" s="24">
        <f>$C39*$E39*(1+Hypothèses!$C$14)^1</f>
        <v/>
      </c>
      <c r="X39" s="24">
        <f>$C39*$E39*(1+Hypothèses!$C$14)^1</f>
        <v/>
      </c>
      <c r="Y39" s="24">
        <f>$C39*$E39*(1+Hypothèses!$C$14)^1</f>
        <v/>
      </c>
      <c r="Z39" s="24">
        <f>$C39*$E39*(1+Hypothèses!$C$14)^1</f>
        <v/>
      </c>
      <c r="AA39" s="24">
        <f>$C39*$E39*(1+Hypothèses!$C$14)^1</f>
        <v/>
      </c>
      <c r="AB39" s="24">
        <f>$C39*$E39*(1+Hypothèses!$C$14)^1</f>
        <v/>
      </c>
      <c r="AC39" s="24">
        <f>$C39*$E39*(1+Hypothèses!$C$14)^1</f>
        <v/>
      </c>
      <c r="AD39" s="24">
        <f>$C39*$E39*(1+Hypothèses!$C$14)^1</f>
        <v/>
      </c>
      <c r="AE39" s="24">
        <f>$C39*$E39*(1+Hypothèses!$C$14)^2</f>
        <v/>
      </c>
      <c r="AF39" s="24">
        <f>$C39*$E39*(1+Hypothèses!$C$14)^2</f>
        <v/>
      </c>
      <c r="AG39" s="24">
        <f>$C39*$E39*(1+Hypothèses!$C$14)^2</f>
        <v/>
      </c>
      <c r="AH39" s="24">
        <f>$C39*$E39*(1+Hypothèses!$C$14)^2</f>
        <v/>
      </c>
      <c r="AI39" s="24">
        <f>$C39*$E39*(1+Hypothèses!$C$14)^2</f>
        <v/>
      </c>
      <c r="AJ39" s="24">
        <f>$C39*$E39*(1+Hypothèses!$C$14)^2</f>
        <v/>
      </c>
      <c r="AK39" s="24">
        <f>$C39*$E39*(1+Hypothèses!$C$14)^2</f>
        <v/>
      </c>
      <c r="AL39" s="24">
        <f>$C39*$E39*(1+Hypothèses!$C$14)^2</f>
        <v/>
      </c>
      <c r="AM39" s="24">
        <f>$C39*$E39*(1+Hypothèses!$C$14)^2</f>
        <v/>
      </c>
      <c r="AN39" s="24">
        <f>$C39*$E39*(1+Hypothèses!$C$14)^2</f>
        <v/>
      </c>
      <c r="AO39" s="24">
        <f>$C39*$E39*(1+Hypothèses!$C$14)^2</f>
        <v/>
      </c>
      <c r="AP39" s="24">
        <f>$C39*$E39*(1+Hypothèses!$C$14)^2</f>
        <v/>
      </c>
      <c r="AQ39" s="24">
        <f>SUM(G39:R39)</f>
        <v/>
      </c>
      <c r="AR39" s="24">
        <f>SUM(S39:AD39)</f>
        <v/>
      </c>
      <c r="AS39" s="24">
        <f>SUM(AE39:AP39)</f>
        <v/>
      </c>
      <c r="AT39" s="24">
        <f>SUM(AQ39:AS39)</f>
        <v/>
      </c>
    </row>
    <row r="40">
      <c r="A40" s="28" t="inlineStr">
        <is>
          <t>Charges fixes</t>
        </is>
      </c>
      <c r="B40" s="28" t="inlineStr">
        <is>
          <t>Fournitures &amp; équipements de protection individuelle (EPI)</t>
        </is>
      </c>
      <c r="C40" s="29" t="n">
        <v>1</v>
      </c>
      <c r="D40" s="28" t="inlineStr">
        <is>
          <t>forfait/mois</t>
        </is>
      </c>
      <c r="E40" s="10" t="n">
        <v>350</v>
      </c>
      <c r="F40" s="30" t="inlineStr">
        <is>
          <t>Estimé</t>
        </is>
      </c>
      <c r="G40" s="24">
        <f>$C40*$E40*(1+Hypothèses!$C$14)^0</f>
        <v/>
      </c>
      <c r="H40" s="24">
        <f>$C40*$E40*(1+Hypothèses!$C$14)^0</f>
        <v/>
      </c>
      <c r="I40" s="24">
        <f>$C40*$E40*(1+Hypothèses!$C$14)^0</f>
        <v/>
      </c>
      <c r="J40" s="24">
        <f>$C40*$E40*(1+Hypothèses!$C$14)^0</f>
        <v/>
      </c>
      <c r="K40" s="24">
        <f>$C40*$E40*(1+Hypothèses!$C$14)^0</f>
        <v/>
      </c>
      <c r="L40" s="24">
        <f>$C40*$E40*(1+Hypothèses!$C$14)^0</f>
        <v/>
      </c>
      <c r="M40" s="24">
        <f>$C40*$E40*(1+Hypothèses!$C$14)^0</f>
        <v/>
      </c>
      <c r="N40" s="24">
        <f>$C40*$E40*(1+Hypothèses!$C$14)^0</f>
        <v/>
      </c>
      <c r="O40" s="24">
        <f>$C40*$E40*(1+Hypothèses!$C$14)^0</f>
        <v/>
      </c>
      <c r="P40" s="24">
        <f>$C40*$E40*(1+Hypothèses!$C$14)^0</f>
        <v/>
      </c>
      <c r="Q40" s="24">
        <f>$C40*$E40*(1+Hypothèses!$C$14)^0</f>
        <v/>
      </c>
      <c r="R40" s="24">
        <f>$C40*$E40*(1+Hypothèses!$C$14)^0</f>
        <v/>
      </c>
      <c r="S40" s="24">
        <f>$C40*$E40*(1+Hypothèses!$C$14)^1</f>
        <v/>
      </c>
      <c r="T40" s="24">
        <f>$C40*$E40*(1+Hypothèses!$C$14)^1</f>
        <v/>
      </c>
      <c r="U40" s="24">
        <f>$C40*$E40*(1+Hypothèses!$C$14)^1</f>
        <v/>
      </c>
      <c r="V40" s="24">
        <f>$C40*$E40*(1+Hypothèses!$C$14)^1</f>
        <v/>
      </c>
      <c r="W40" s="24">
        <f>$C40*$E40*(1+Hypothèses!$C$14)^1</f>
        <v/>
      </c>
      <c r="X40" s="24">
        <f>$C40*$E40*(1+Hypothèses!$C$14)^1</f>
        <v/>
      </c>
      <c r="Y40" s="24">
        <f>$C40*$E40*(1+Hypothèses!$C$14)^1</f>
        <v/>
      </c>
      <c r="Z40" s="24">
        <f>$C40*$E40*(1+Hypothèses!$C$14)^1</f>
        <v/>
      </c>
      <c r="AA40" s="24">
        <f>$C40*$E40*(1+Hypothèses!$C$14)^1</f>
        <v/>
      </c>
      <c r="AB40" s="24">
        <f>$C40*$E40*(1+Hypothèses!$C$14)^1</f>
        <v/>
      </c>
      <c r="AC40" s="24">
        <f>$C40*$E40*(1+Hypothèses!$C$14)^1</f>
        <v/>
      </c>
      <c r="AD40" s="24">
        <f>$C40*$E40*(1+Hypothèses!$C$14)^1</f>
        <v/>
      </c>
      <c r="AE40" s="24">
        <f>$C40*$E40*(1+Hypothèses!$C$14)^2</f>
        <v/>
      </c>
      <c r="AF40" s="24">
        <f>$C40*$E40*(1+Hypothèses!$C$14)^2</f>
        <v/>
      </c>
      <c r="AG40" s="24">
        <f>$C40*$E40*(1+Hypothèses!$C$14)^2</f>
        <v/>
      </c>
      <c r="AH40" s="24">
        <f>$C40*$E40*(1+Hypothèses!$C$14)^2</f>
        <v/>
      </c>
      <c r="AI40" s="24">
        <f>$C40*$E40*(1+Hypothèses!$C$14)^2</f>
        <v/>
      </c>
      <c r="AJ40" s="24">
        <f>$C40*$E40*(1+Hypothèses!$C$14)^2</f>
        <v/>
      </c>
      <c r="AK40" s="24">
        <f>$C40*$E40*(1+Hypothèses!$C$14)^2</f>
        <v/>
      </c>
      <c r="AL40" s="24">
        <f>$C40*$E40*(1+Hypothèses!$C$14)^2</f>
        <v/>
      </c>
      <c r="AM40" s="24">
        <f>$C40*$E40*(1+Hypothèses!$C$14)^2</f>
        <v/>
      </c>
      <c r="AN40" s="24">
        <f>$C40*$E40*(1+Hypothèses!$C$14)^2</f>
        <v/>
      </c>
      <c r="AO40" s="24">
        <f>$C40*$E40*(1+Hypothèses!$C$14)^2</f>
        <v/>
      </c>
      <c r="AP40" s="24">
        <f>$C40*$E40*(1+Hypothèses!$C$14)^2</f>
        <v/>
      </c>
      <c r="AQ40" s="24">
        <f>SUM(G40:R40)</f>
        <v/>
      </c>
      <c r="AR40" s="24">
        <f>SUM(S40:AD40)</f>
        <v/>
      </c>
      <c r="AS40" s="24">
        <f>SUM(AE40:AP40)</f>
        <v/>
      </c>
      <c r="AT40" s="24">
        <f>SUM(AQ40:AS40)</f>
        <v/>
      </c>
    </row>
    <row r="41">
      <c r="A41" s="28" t="inlineStr">
        <is>
          <t>Charges fixes</t>
        </is>
      </c>
      <c r="B41" s="28" t="inlineStr">
        <is>
          <t>Frais bancaires</t>
        </is>
      </c>
      <c r="C41" s="29" t="n">
        <v>1</v>
      </c>
      <c r="D41" s="28" t="inlineStr">
        <is>
          <t>forfait/mois</t>
        </is>
      </c>
      <c r="E41" s="10" t="n">
        <v>150</v>
      </c>
      <c r="F41" s="30" t="inlineStr">
        <is>
          <t>Estimé</t>
        </is>
      </c>
      <c r="G41" s="24">
        <f>$C41*$E41*(1+Hypothèses!$C$14)^0</f>
        <v/>
      </c>
      <c r="H41" s="24">
        <f>$C41*$E41*(1+Hypothèses!$C$14)^0</f>
        <v/>
      </c>
      <c r="I41" s="24">
        <f>$C41*$E41*(1+Hypothèses!$C$14)^0</f>
        <v/>
      </c>
      <c r="J41" s="24">
        <f>$C41*$E41*(1+Hypothèses!$C$14)^0</f>
        <v/>
      </c>
      <c r="K41" s="24">
        <f>$C41*$E41*(1+Hypothèses!$C$14)^0</f>
        <v/>
      </c>
      <c r="L41" s="24">
        <f>$C41*$E41*(1+Hypothèses!$C$14)^0</f>
        <v/>
      </c>
      <c r="M41" s="24">
        <f>$C41*$E41*(1+Hypothèses!$C$14)^0</f>
        <v/>
      </c>
      <c r="N41" s="24">
        <f>$C41*$E41*(1+Hypothèses!$C$14)^0</f>
        <v/>
      </c>
      <c r="O41" s="24">
        <f>$C41*$E41*(1+Hypothèses!$C$14)^0</f>
        <v/>
      </c>
      <c r="P41" s="24">
        <f>$C41*$E41*(1+Hypothèses!$C$14)^0</f>
        <v/>
      </c>
      <c r="Q41" s="24">
        <f>$C41*$E41*(1+Hypothèses!$C$14)^0</f>
        <v/>
      </c>
      <c r="R41" s="24">
        <f>$C41*$E41*(1+Hypothèses!$C$14)^0</f>
        <v/>
      </c>
      <c r="S41" s="24">
        <f>$C41*$E41*(1+Hypothèses!$C$14)^1</f>
        <v/>
      </c>
      <c r="T41" s="24">
        <f>$C41*$E41*(1+Hypothèses!$C$14)^1</f>
        <v/>
      </c>
      <c r="U41" s="24">
        <f>$C41*$E41*(1+Hypothèses!$C$14)^1</f>
        <v/>
      </c>
      <c r="V41" s="24">
        <f>$C41*$E41*(1+Hypothèses!$C$14)^1</f>
        <v/>
      </c>
      <c r="W41" s="24">
        <f>$C41*$E41*(1+Hypothèses!$C$14)^1</f>
        <v/>
      </c>
      <c r="X41" s="24">
        <f>$C41*$E41*(1+Hypothèses!$C$14)^1</f>
        <v/>
      </c>
      <c r="Y41" s="24">
        <f>$C41*$E41*(1+Hypothèses!$C$14)^1</f>
        <v/>
      </c>
      <c r="Z41" s="24">
        <f>$C41*$E41*(1+Hypothèses!$C$14)^1</f>
        <v/>
      </c>
      <c r="AA41" s="24">
        <f>$C41*$E41*(1+Hypothèses!$C$14)^1</f>
        <v/>
      </c>
      <c r="AB41" s="24">
        <f>$C41*$E41*(1+Hypothèses!$C$14)^1</f>
        <v/>
      </c>
      <c r="AC41" s="24">
        <f>$C41*$E41*(1+Hypothèses!$C$14)^1</f>
        <v/>
      </c>
      <c r="AD41" s="24">
        <f>$C41*$E41*(1+Hypothèses!$C$14)^1</f>
        <v/>
      </c>
      <c r="AE41" s="24">
        <f>$C41*$E41*(1+Hypothèses!$C$14)^2</f>
        <v/>
      </c>
      <c r="AF41" s="24">
        <f>$C41*$E41*(1+Hypothèses!$C$14)^2</f>
        <v/>
      </c>
      <c r="AG41" s="24">
        <f>$C41*$E41*(1+Hypothèses!$C$14)^2</f>
        <v/>
      </c>
      <c r="AH41" s="24">
        <f>$C41*$E41*(1+Hypothèses!$C$14)^2</f>
        <v/>
      </c>
      <c r="AI41" s="24">
        <f>$C41*$E41*(1+Hypothèses!$C$14)^2</f>
        <v/>
      </c>
      <c r="AJ41" s="24">
        <f>$C41*$E41*(1+Hypothèses!$C$14)^2</f>
        <v/>
      </c>
      <c r="AK41" s="24">
        <f>$C41*$E41*(1+Hypothèses!$C$14)^2</f>
        <v/>
      </c>
      <c r="AL41" s="24">
        <f>$C41*$E41*(1+Hypothèses!$C$14)^2</f>
        <v/>
      </c>
      <c r="AM41" s="24">
        <f>$C41*$E41*(1+Hypothèses!$C$14)^2</f>
        <v/>
      </c>
      <c r="AN41" s="24">
        <f>$C41*$E41*(1+Hypothèses!$C$14)^2</f>
        <v/>
      </c>
      <c r="AO41" s="24">
        <f>$C41*$E41*(1+Hypothèses!$C$14)^2</f>
        <v/>
      </c>
      <c r="AP41" s="24">
        <f>$C41*$E41*(1+Hypothèses!$C$14)^2</f>
        <v/>
      </c>
      <c r="AQ41" s="24">
        <f>SUM(G41:R41)</f>
        <v/>
      </c>
      <c r="AR41" s="24">
        <f>SUM(S41:AD41)</f>
        <v/>
      </c>
      <c r="AS41" s="24">
        <f>SUM(AE41:AP41)</f>
        <v/>
      </c>
      <c r="AT41" s="24">
        <f>SUM(AQ41:AS41)</f>
        <v/>
      </c>
    </row>
    <row r="42">
      <c r="A42" s="28" t="inlineStr">
        <is>
          <t>Charges fixes</t>
        </is>
      </c>
      <c r="B42" s="28" t="inlineStr">
        <is>
          <t>Impôts &amp; taxes (CFE et autres)</t>
        </is>
      </c>
      <c r="C42" s="29" t="n">
        <v>1</v>
      </c>
      <c r="D42" s="28" t="inlineStr">
        <is>
          <t>forfait/mois</t>
        </is>
      </c>
      <c r="E42" s="10" t="n">
        <v>400</v>
      </c>
      <c r="F42" s="30" t="inlineStr">
        <is>
          <t>Estimé</t>
        </is>
      </c>
      <c r="G42" s="24">
        <f>$C42*$E42*(1+Hypothèses!$C$14)^0</f>
        <v/>
      </c>
      <c r="H42" s="24">
        <f>$C42*$E42*(1+Hypothèses!$C$14)^0</f>
        <v/>
      </c>
      <c r="I42" s="24">
        <f>$C42*$E42*(1+Hypothèses!$C$14)^0</f>
        <v/>
      </c>
      <c r="J42" s="24">
        <f>$C42*$E42*(1+Hypothèses!$C$14)^0</f>
        <v/>
      </c>
      <c r="K42" s="24">
        <f>$C42*$E42*(1+Hypothèses!$C$14)^0</f>
        <v/>
      </c>
      <c r="L42" s="24">
        <f>$C42*$E42*(1+Hypothèses!$C$14)^0</f>
        <v/>
      </c>
      <c r="M42" s="24">
        <f>$C42*$E42*(1+Hypothèses!$C$14)^0</f>
        <v/>
      </c>
      <c r="N42" s="24">
        <f>$C42*$E42*(1+Hypothèses!$C$14)^0</f>
        <v/>
      </c>
      <c r="O42" s="24">
        <f>$C42*$E42*(1+Hypothèses!$C$14)^0</f>
        <v/>
      </c>
      <c r="P42" s="24">
        <f>$C42*$E42*(1+Hypothèses!$C$14)^0</f>
        <v/>
      </c>
      <c r="Q42" s="24">
        <f>$C42*$E42*(1+Hypothèses!$C$14)^0</f>
        <v/>
      </c>
      <c r="R42" s="24">
        <f>$C42*$E42*(1+Hypothèses!$C$14)^0</f>
        <v/>
      </c>
      <c r="S42" s="24">
        <f>$C42*$E42*(1+Hypothèses!$C$14)^1</f>
        <v/>
      </c>
      <c r="T42" s="24">
        <f>$C42*$E42*(1+Hypothèses!$C$14)^1</f>
        <v/>
      </c>
      <c r="U42" s="24">
        <f>$C42*$E42*(1+Hypothèses!$C$14)^1</f>
        <v/>
      </c>
      <c r="V42" s="24">
        <f>$C42*$E42*(1+Hypothèses!$C$14)^1</f>
        <v/>
      </c>
      <c r="W42" s="24">
        <f>$C42*$E42*(1+Hypothèses!$C$14)^1</f>
        <v/>
      </c>
      <c r="X42" s="24">
        <f>$C42*$E42*(1+Hypothèses!$C$14)^1</f>
        <v/>
      </c>
      <c r="Y42" s="24">
        <f>$C42*$E42*(1+Hypothèses!$C$14)^1</f>
        <v/>
      </c>
      <c r="Z42" s="24">
        <f>$C42*$E42*(1+Hypothèses!$C$14)^1</f>
        <v/>
      </c>
      <c r="AA42" s="24">
        <f>$C42*$E42*(1+Hypothèses!$C$14)^1</f>
        <v/>
      </c>
      <c r="AB42" s="24">
        <f>$C42*$E42*(1+Hypothèses!$C$14)^1</f>
        <v/>
      </c>
      <c r="AC42" s="24">
        <f>$C42*$E42*(1+Hypothèses!$C$14)^1</f>
        <v/>
      </c>
      <c r="AD42" s="24">
        <f>$C42*$E42*(1+Hypothèses!$C$14)^1</f>
        <v/>
      </c>
      <c r="AE42" s="24">
        <f>$C42*$E42*(1+Hypothèses!$C$14)^2</f>
        <v/>
      </c>
      <c r="AF42" s="24">
        <f>$C42*$E42*(1+Hypothèses!$C$14)^2</f>
        <v/>
      </c>
      <c r="AG42" s="24">
        <f>$C42*$E42*(1+Hypothèses!$C$14)^2</f>
        <v/>
      </c>
      <c r="AH42" s="24">
        <f>$C42*$E42*(1+Hypothèses!$C$14)^2</f>
        <v/>
      </c>
      <c r="AI42" s="24">
        <f>$C42*$E42*(1+Hypothèses!$C$14)^2</f>
        <v/>
      </c>
      <c r="AJ42" s="24">
        <f>$C42*$E42*(1+Hypothèses!$C$14)^2</f>
        <v/>
      </c>
      <c r="AK42" s="24">
        <f>$C42*$E42*(1+Hypothèses!$C$14)^2</f>
        <v/>
      </c>
      <c r="AL42" s="24">
        <f>$C42*$E42*(1+Hypothèses!$C$14)^2</f>
        <v/>
      </c>
      <c r="AM42" s="24">
        <f>$C42*$E42*(1+Hypothèses!$C$14)^2</f>
        <v/>
      </c>
      <c r="AN42" s="24">
        <f>$C42*$E42*(1+Hypothèses!$C$14)^2</f>
        <v/>
      </c>
      <c r="AO42" s="24">
        <f>$C42*$E42*(1+Hypothèses!$C$14)^2</f>
        <v/>
      </c>
      <c r="AP42" s="24">
        <f>$C42*$E42*(1+Hypothèses!$C$14)^2</f>
        <v/>
      </c>
      <c r="AQ42" s="24">
        <f>SUM(G42:R42)</f>
        <v/>
      </c>
      <c r="AR42" s="24">
        <f>SUM(S42:AD42)</f>
        <v/>
      </c>
      <c r="AS42" s="24">
        <f>SUM(AE42:AP42)</f>
        <v/>
      </c>
      <c r="AT42" s="24">
        <f>SUM(AQ42:AS42)</f>
        <v/>
      </c>
    </row>
    <row r="43">
      <c r="A43" s="25" t="inlineStr">
        <is>
          <t>SOUS-TOTAL Charges fixes</t>
        </is>
      </c>
      <c r="C43" s="35" t="n"/>
      <c r="D43" s="35" t="n"/>
      <c r="E43" s="35" t="n"/>
      <c r="F43" s="35" t="n"/>
      <c r="G43" s="26">
        <f>G35+G36+G37+G38+G39+G40+G41+G42</f>
        <v/>
      </c>
      <c r="H43" s="26">
        <f>H35+H36+H37+H38+H39+H40+H41+H42</f>
        <v/>
      </c>
      <c r="I43" s="26">
        <f>I35+I36+I37+I38+I39+I40+I41+I42</f>
        <v/>
      </c>
      <c r="J43" s="26">
        <f>J35+J36+J37+J38+J39+J40+J41+J42</f>
        <v/>
      </c>
      <c r="K43" s="26">
        <f>K35+K36+K37+K38+K39+K40+K41+K42</f>
        <v/>
      </c>
      <c r="L43" s="26">
        <f>L35+L36+L37+L38+L39+L40+L41+L42</f>
        <v/>
      </c>
      <c r="M43" s="26">
        <f>M35+M36+M37+M38+M39+M40+M41+M42</f>
        <v/>
      </c>
      <c r="N43" s="26">
        <f>N35+N36+N37+N38+N39+N40+N41+N42</f>
        <v/>
      </c>
      <c r="O43" s="26">
        <f>O35+O36+O37+O38+O39+O40+O41+O42</f>
        <v/>
      </c>
      <c r="P43" s="26">
        <f>P35+P36+P37+P38+P39+P40+P41+P42</f>
        <v/>
      </c>
      <c r="Q43" s="26">
        <f>Q35+Q36+Q37+Q38+Q39+Q40+Q41+Q42</f>
        <v/>
      </c>
      <c r="R43" s="26">
        <f>R35+R36+R37+R38+R39+R40+R41+R42</f>
        <v/>
      </c>
      <c r="S43" s="26">
        <f>S35+S36+S37+S38+S39+S40+S41+S42</f>
        <v/>
      </c>
      <c r="T43" s="26">
        <f>T35+T36+T37+T38+T39+T40+T41+T42</f>
        <v/>
      </c>
      <c r="U43" s="26">
        <f>U35+U36+U37+U38+U39+U40+U41+U42</f>
        <v/>
      </c>
      <c r="V43" s="26">
        <f>V35+V36+V37+V38+V39+V40+V41+V42</f>
        <v/>
      </c>
      <c r="W43" s="26">
        <f>W35+W36+W37+W38+W39+W40+W41+W42</f>
        <v/>
      </c>
      <c r="X43" s="26">
        <f>X35+X36+X37+X38+X39+X40+X41+X42</f>
        <v/>
      </c>
      <c r="Y43" s="26">
        <f>Y35+Y36+Y37+Y38+Y39+Y40+Y41+Y42</f>
        <v/>
      </c>
      <c r="Z43" s="26">
        <f>Z35+Z36+Z37+Z38+Z39+Z40+Z41+Z42</f>
        <v/>
      </c>
      <c r="AA43" s="26">
        <f>AA35+AA36+AA37+AA38+AA39+AA40+AA41+AA42</f>
        <v/>
      </c>
      <c r="AB43" s="26">
        <f>AB35+AB36+AB37+AB38+AB39+AB40+AB41+AB42</f>
        <v/>
      </c>
      <c r="AC43" s="26">
        <f>AC35+AC36+AC37+AC38+AC39+AC40+AC41+AC42</f>
        <v/>
      </c>
      <c r="AD43" s="26">
        <f>AD35+AD36+AD37+AD38+AD39+AD40+AD41+AD42</f>
        <v/>
      </c>
      <c r="AE43" s="26">
        <f>AE35+AE36+AE37+AE38+AE39+AE40+AE41+AE42</f>
        <v/>
      </c>
      <c r="AF43" s="26">
        <f>AF35+AF36+AF37+AF38+AF39+AF40+AF41+AF42</f>
        <v/>
      </c>
      <c r="AG43" s="26">
        <f>AG35+AG36+AG37+AG38+AG39+AG40+AG41+AG42</f>
        <v/>
      </c>
      <c r="AH43" s="26">
        <f>AH35+AH36+AH37+AH38+AH39+AH40+AH41+AH42</f>
        <v/>
      </c>
      <c r="AI43" s="26">
        <f>AI35+AI36+AI37+AI38+AI39+AI40+AI41+AI42</f>
        <v/>
      </c>
      <c r="AJ43" s="26">
        <f>AJ35+AJ36+AJ37+AJ38+AJ39+AJ40+AJ41+AJ42</f>
        <v/>
      </c>
      <c r="AK43" s="26">
        <f>AK35+AK36+AK37+AK38+AK39+AK40+AK41+AK42</f>
        <v/>
      </c>
      <c r="AL43" s="26">
        <f>AL35+AL36+AL37+AL38+AL39+AL40+AL41+AL42</f>
        <v/>
      </c>
      <c r="AM43" s="26">
        <f>AM35+AM36+AM37+AM38+AM39+AM40+AM41+AM42</f>
        <v/>
      </c>
      <c r="AN43" s="26">
        <f>AN35+AN36+AN37+AN38+AN39+AN40+AN41+AN42</f>
        <v/>
      </c>
      <c r="AO43" s="26">
        <f>AO35+AO36+AO37+AO38+AO39+AO40+AO41+AO42</f>
        <v/>
      </c>
      <c r="AP43" s="26">
        <f>AP35+AP36+AP37+AP38+AP39+AP40+AP41+AP42</f>
        <v/>
      </c>
      <c r="AQ43" s="26">
        <f>SUM(G43:R43)</f>
        <v/>
      </c>
      <c r="AR43" s="26">
        <f>SUM(S43:AD43)</f>
        <v/>
      </c>
      <c r="AS43" s="26">
        <f>SUM(AE43:AP43)</f>
        <v/>
      </c>
      <c r="AT43" s="26">
        <f>SUM(AQ43:AS43)</f>
        <v/>
      </c>
    </row>
    <row r="44">
      <c r="A44" s="36" t="inlineStr">
        <is>
          <t>TOTAL GÉNÉRAL DÉPENSES</t>
        </is>
      </c>
      <c r="B44" s="37" t="n"/>
      <c r="C44" s="37" t="n"/>
      <c r="D44" s="37" t="n"/>
      <c r="E44" s="37" t="n"/>
      <c r="F44" s="37" t="n"/>
      <c r="G44" s="38">
        <f>G13+G16+G21+G24+G29+G31+G34+G43</f>
        <v/>
      </c>
      <c r="H44" s="38">
        <f>H13+H16+H21+H24+H29+H31+H34+H43</f>
        <v/>
      </c>
      <c r="I44" s="38">
        <f>I13+I16+I21+I24+I29+I31+I34+I43</f>
        <v/>
      </c>
      <c r="J44" s="38">
        <f>J13+J16+J21+J24+J29+J31+J34+J43</f>
        <v/>
      </c>
      <c r="K44" s="38">
        <f>K13+K16+K21+K24+K29+K31+K34+K43</f>
        <v/>
      </c>
      <c r="L44" s="38">
        <f>L13+L16+L21+L24+L29+L31+L34+L43</f>
        <v/>
      </c>
      <c r="M44" s="38">
        <f>M13+M16+M21+M24+M29+M31+M34+M43</f>
        <v/>
      </c>
      <c r="N44" s="38">
        <f>N13+N16+N21+N24+N29+N31+N34+N43</f>
        <v/>
      </c>
      <c r="O44" s="38">
        <f>O13+O16+O21+O24+O29+O31+O34+O43</f>
        <v/>
      </c>
      <c r="P44" s="38">
        <f>P13+P16+P21+P24+P29+P31+P34+P43</f>
        <v/>
      </c>
      <c r="Q44" s="38">
        <f>Q13+Q16+Q21+Q24+Q29+Q31+Q34+Q43</f>
        <v/>
      </c>
      <c r="R44" s="38">
        <f>R13+R16+R21+R24+R29+R31+R34+R43</f>
        <v/>
      </c>
      <c r="S44" s="38">
        <f>S13+S16+S21+S24+S29+S31+S34+S43</f>
        <v/>
      </c>
      <c r="T44" s="38">
        <f>T13+T16+T21+T24+T29+T31+T34+T43</f>
        <v/>
      </c>
      <c r="U44" s="38">
        <f>U13+U16+U21+U24+U29+U31+U34+U43</f>
        <v/>
      </c>
      <c r="V44" s="38">
        <f>V13+V16+V21+V24+V29+V31+V34+V43</f>
        <v/>
      </c>
      <c r="W44" s="38">
        <f>W13+W16+W21+W24+W29+W31+W34+W43</f>
        <v/>
      </c>
      <c r="X44" s="38">
        <f>X13+X16+X21+X24+X29+X31+X34+X43</f>
        <v/>
      </c>
      <c r="Y44" s="38">
        <f>Y13+Y16+Y21+Y24+Y29+Y31+Y34+Y43</f>
        <v/>
      </c>
      <c r="Z44" s="38">
        <f>Z13+Z16+Z21+Z24+Z29+Z31+Z34+Z43</f>
        <v/>
      </c>
      <c r="AA44" s="38">
        <f>AA13+AA16+AA21+AA24+AA29+AA31+AA34+AA43</f>
        <v/>
      </c>
      <c r="AB44" s="38">
        <f>AB13+AB16+AB21+AB24+AB29+AB31+AB34+AB43</f>
        <v/>
      </c>
      <c r="AC44" s="38">
        <f>AC13+AC16+AC21+AC24+AC29+AC31+AC34+AC43</f>
        <v/>
      </c>
      <c r="AD44" s="38">
        <f>AD13+AD16+AD21+AD24+AD29+AD31+AD34+AD43</f>
        <v/>
      </c>
      <c r="AE44" s="38">
        <f>AE13+AE16+AE21+AE24+AE29+AE31+AE34+AE43</f>
        <v/>
      </c>
      <c r="AF44" s="38">
        <f>AF13+AF16+AF21+AF24+AF29+AF31+AF34+AF43</f>
        <v/>
      </c>
      <c r="AG44" s="38">
        <f>AG13+AG16+AG21+AG24+AG29+AG31+AG34+AG43</f>
        <v/>
      </c>
      <c r="AH44" s="38">
        <f>AH13+AH16+AH21+AH24+AH29+AH31+AH34+AH43</f>
        <v/>
      </c>
      <c r="AI44" s="38">
        <f>AI13+AI16+AI21+AI24+AI29+AI31+AI34+AI43</f>
        <v/>
      </c>
      <c r="AJ44" s="38">
        <f>AJ13+AJ16+AJ21+AJ24+AJ29+AJ31+AJ34+AJ43</f>
        <v/>
      </c>
      <c r="AK44" s="38">
        <f>AK13+AK16+AK21+AK24+AK29+AK31+AK34+AK43</f>
        <v/>
      </c>
      <c r="AL44" s="38">
        <f>AL13+AL16+AL21+AL24+AL29+AL31+AL34+AL43</f>
        <v/>
      </c>
      <c r="AM44" s="38">
        <f>AM13+AM16+AM21+AM24+AM29+AM31+AM34+AM43</f>
        <v/>
      </c>
      <c r="AN44" s="38">
        <f>AN13+AN16+AN21+AN24+AN29+AN31+AN34+AN43</f>
        <v/>
      </c>
      <c r="AO44" s="38">
        <f>AO13+AO16+AO21+AO24+AO29+AO31+AO34+AO43</f>
        <v/>
      </c>
      <c r="AP44" s="38">
        <f>AP13+AP16+AP21+AP24+AP29+AP31+AP34+AP43</f>
        <v/>
      </c>
      <c r="AQ44" s="38">
        <f>SUM(G44:R44)</f>
        <v/>
      </c>
      <c r="AR44" s="38">
        <f>SUM(S44:AD44)</f>
        <v/>
      </c>
      <c r="AS44" s="38">
        <f>SUM(AE44:AP44)</f>
        <v/>
      </c>
      <c r="AT44" s="38">
        <f>SUM(AQ44:AS44)</f>
        <v/>
      </c>
    </row>
    <row r="45">
      <c r="A45" s="6" t="inlineStr">
        <is>
          <t>Total dépenses Année 1 / CA Année 1 (contrôle benchmark)</t>
        </is>
      </c>
      <c r="AQ45" s="39">
        <f>AQ44/AM9</f>
        <v/>
      </c>
    </row>
  </sheetData>
  <mergeCells count="5">
    <mergeCell ref="A2:F2"/>
    <mergeCell ref="AE3:AP3"/>
    <mergeCell ref="A1:F1"/>
    <mergeCell ref="S3:AD3"/>
    <mergeCell ref="G3:R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2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</cols>
  <sheetData>
    <row r="1" ht="22" customHeight="1">
      <c r="A1" s="1" t="inlineStr">
        <is>
          <t>BTP — Plan de trésorerie mensuel (3 ans)</t>
        </is>
      </c>
    </row>
    <row r="2" ht="16" customHeight="1">
      <c r="A2" s="2" t="inlineStr">
        <is>
          <t>⚠️ Le décalage de paiement client (45j en moyenne) est modélisé. Chaque poste reprend le détail mensuel de l'onglet Dépenses détaillées.</t>
        </is>
      </c>
    </row>
    <row r="3" ht="14" customHeight="1">
      <c r="C3" s="16" t="inlineStr">
        <is>
          <t>ANNÉE 1</t>
        </is>
      </c>
      <c r="O3" s="17" t="inlineStr">
        <is>
          <t>ANNÉE 2</t>
        </is>
      </c>
      <c r="AA3" s="18" t="inlineStr">
        <is>
          <t>ANNÉE 3</t>
        </is>
      </c>
    </row>
    <row r="4" ht="16" customHeight="1">
      <c r="A4" s="19" t="inlineStr">
        <is>
          <t>Mois</t>
        </is>
      </c>
      <c r="C4" s="21" t="inlineStr">
        <is>
          <t>Jan A1</t>
        </is>
      </c>
      <c r="D4" s="21" t="inlineStr">
        <is>
          <t>Fév A1</t>
        </is>
      </c>
      <c r="E4" s="21" t="inlineStr">
        <is>
          <t>Mar A1</t>
        </is>
      </c>
      <c r="F4" s="21" t="inlineStr">
        <is>
          <t>Avr A1</t>
        </is>
      </c>
      <c r="G4" s="21" t="inlineStr">
        <is>
          <t>Mai A1</t>
        </is>
      </c>
      <c r="H4" s="21" t="inlineStr">
        <is>
          <t>Jui A1</t>
        </is>
      </c>
      <c r="I4" s="21" t="inlineStr">
        <is>
          <t>Jui A1</t>
        </is>
      </c>
      <c r="J4" s="21" t="inlineStr">
        <is>
          <t>Aoû A1</t>
        </is>
      </c>
      <c r="K4" s="21" t="inlineStr">
        <is>
          <t>Sep A1</t>
        </is>
      </c>
      <c r="L4" s="21" t="inlineStr">
        <is>
          <t>Oct A1</t>
        </is>
      </c>
      <c r="M4" s="21" t="inlineStr">
        <is>
          <t>Nov A1</t>
        </is>
      </c>
      <c r="N4" s="21" t="inlineStr">
        <is>
          <t>Déc A1</t>
        </is>
      </c>
      <c r="O4" s="21" t="inlineStr">
        <is>
          <t>Jan A2</t>
        </is>
      </c>
      <c r="P4" s="21" t="inlineStr">
        <is>
          <t>Fév A2</t>
        </is>
      </c>
      <c r="Q4" s="21" t="inlineStr">
        <is>
          <t>Mar A2</t>
        </is>
      </c>
      <c r="R4" s="21" t="inlineStr">
        <is>
          <t>Avr A2</t>
        </is>
      </c>
      <c r="S4" s="21" t="inlineStr">
        <is>
          <t>Mai A2</t>
        </is>
      </c>
      <c r="T4" s="21" t="inlineStr">
        <is>
          <t>Jui A2</t>
        </is>
      </c>
      <c r="U4" s="21" t="inlineStr">
        <is>
          <t>Jui A2</t>
        </is>
      </c>
      <c r="V4" s="21" t="inlineStr">
        <is>
          <t>Aoû A2</t>
        </is>
      </c>
      <c r="W4" s="21" t="inlineStr">
        <is>
          <t>Sep A2</t>
        </is>
      </c>
      <c r="X4" s="21" t="inlineStr">
        <is>
          <t>Oct A2</t>
        </is>
      </c>
      <c r="Y4" s="21" t="inlineStr">
        <is>
          <t>Nov A2</t>
        </is>
      </c>
      <c r="Z4" s="21" t="inlineStr">
        <is>
          <t>Déc A2</t>
        </is>
      </c>
      <c r="AA4" s="21" t="inlineStr">
        <is>
          <t>Jan A3</t>
        </is>
      </c>
      <c r="AB4" s="21" t="inlineStr">
        <is>
          <t>Fév A3</t>
        </is>
      </c>
      <c r="AC4" s="21" t="inlineStr">
        <is>
          <t>Mar A3</t>
        </is>
      </c>
      <c r="AD4" s="21" t="inlineStr">
        <is>
          <t>Avr A3</t>
        </is>
      </c>
      <c r="AE4" s="21" t="inlineStr">
        <is>
          <t>Mai A3</t>
        </is>
      </c>
      <c r="AF4" s="21" t="inlineStr">
        <is>
          <t>Jui A3</t>
        </is>
      </c>
      <c r="AG4" s="21" t="inlineStr">
        <is>
          <t>Jui A3</t>
        </is>
      </c>
      <c r="AH4" s="21" t="inlineStr">
        <is>
          <t>Aoû A3</t>
        </is>
      </c>
      <c r="AI4" s="21" t="inlineStr">
        <is>
          <t>Sep A3</t>
        </is>
      </c>
      <c r="AJ4" s="21" t="inlineStr">
        <is>
          <t>Oct A3</t>
        </is>
      </c>
      <c r="AK4" s="21" t="inlineStr">
        <is>
          <t>Nov A3</t>
        </is>
      </c>
      <c r="AL4" s="21" t="inlineStr">
        <is>
          <t>Déc A3</t>
        </is>
      </c>
      <c r="AM4" s="22" t="inlineStr">
        <is>
          <t>Total A1</t>
        </is>
      </c>
      <c r="AN4" s="22" t="inlineStr">
        <is>
          <t>Total A2</t>
        </is>
      </c>
      <c r="AO4" s="22" t="inlineStr">
        <is>
          <t>Total A3</t>
        </is>
      </c>
      <c r="AP4" s="22" t="inlineStr">
        <is>
          <t>Total 3 ans</t>
        </is>
      </c>
    </row>
    <row r="5">
      <c r="A5" s="40" t="inlineStr">
        <is>
          <t>Trésorerie en début de mois</t>
        </is>
      </c>
      <c r="C5" s="23">
        <f>Hypothèses!$C$7</f>
        <v/>
      </c>
      <c r="D5" s="24">
        <f>C21</f>
        <v/>
      </c>
      <c r="E5" s="24">
        <f>D21</f>
        <v/>
      </c>
      <c r="F5" s="24">
        <f>E21</f>
        <v/>
      </c>
      <c r="G5" s="24">
        <f>F21</f>
        <v/>
      </c>
      <c r="H5" s="24">
        <f>G21</f>
        <v/>
      </c>
      <c r="I5" s="24">
        <f>H21</f>
        <v/>
      </c>
      <c r="J5" s="24">
        <f>I21</f>
        <v/>
      </c>
      <c r="K5" s="24">
        <f>J21</f>
        <v/>
      </c>
      <c r="L5" s="24">
        <f>K21</f>
        <v/>
      </c>
      <c r="M5" s="24">
        <f>L21</f>
        <v/>
      </c>
      <c r="N5" s="24">
        <f>M21</f>
        <v/>
      </c>
      <c r="O5" s="24">
        <f>N21</f>
        <v/>
      </c>
      <c r="P5" s="24">
        <f>O21</f>
        <v/>
      </c>
      <c r="Q5" s="24">
        <f>P21</f>
        <v/>
      </c>
      <c r="R5" s="24">
        <f>Q21</f>
        <v/>
      </c>
      <c r="S5" s="24">
        <f>R21</f>
        <v/>
      </c>
      <c r="T5" s="24">
        <f>S21</f>
        <v/>
      </c>
      <c r="U5" s="24">
        <f>T21</f>
        <v/>
      </c>
      <c r="V5" s="24">
        <f>U21</f>
        <v/>
      </c>
      <c r="W5" s="24">
        <f>V21</f>
        <v/>
      </c>
      <c r="X5" s="24">
        <f>W21</f>
        <v/>
      </c>
      <c r="Y5" s="24">
        <f>X21</f>
        <v/>
      </c>
      <c r="Z5" s="24">
        <f>Y21</f>
        <v/>
      </c>
      <c r="AA5" s="24">
        <f>Z21</f>
        <v/>
      </c>
      <c r="AB5" s="24">
        <f>AA21</f>
        <v/>
      </c>
      <c r="AC5" s="24">
        <f>AB21</f>
        <v/>
      </c>
      <c r="AD5" s="24">
        <f>AC21</f>
        <v/>
      </c>
      <c r="AE5" s="24">
        <f>AD21</f>
        <v/>
      </c>
      <c r="AF5" s="24">
        <f>AE21</f>
        <v/>
      </c>
      <c r="AG5" s="24">
        <f>AF21</f>
        <v/>
      </c>
      <c r="AH5" s="24">
        <f>AG21</f>
        <v/>
      </c>
      <c r="AI5" s="24">
        <f>AH21</f>
        <v/>
      </c>
      <c r="AJ5" s="24">
        <f>AI21</f>
        <v/>
      </c>
      <c r="AK5" s="24">
        <f>AJ21</f>
        <v/>
      </c>
      <c r="AL5" s="24">
        <f>AK21</f>
        <v/>
      </c>
    </row>
    <row r="6">
      <c r="A6" s="41" t="inlineStr">
        <is>
          <t>ENCAISSEMENTS</t>
        </is>
      </c>
    </row>
    <row r="7">
      <c r="A7" s="3" t="inlineStr">
        <is>
          <t>Encaissements clients (CA TTC, après délai de paiement 50%/50% M-1/M-2)</t>
        </is>
      </c>
      <c r="C7" s="23">
        <f>Revenus!C12*Hypothèses!$C$10+Hypothèses!$C$15*Hypothèses!$C$11+Hypothèses!$C$15*Hypothèses!$C$12</f>
        <v/>
      </c>
      <c r="D7" s="23">
        <f>Revenus!D12*Hypothèses!$C$10+Revenus!C12*Hypothèses!$C$11+Hypothèses!$C$15*Hypothèses!$C$12</f>
        <v/>
      </c>
      <c r="E7" s="23">
        <f>Revenus!E12*Hypothèses!$C$10+Revenus!D12*Hypothèses!$C$11+Revenus!C12*Hypothèses!$C$12</f>
        <v/>
      </c>
      <c r="F7" s="23">
        <f>Revenus!F12*Hypothèses!$C$10+Revenus!E12*Hypothèses!$C$11+Revenus!D12*Hypothèses!$C$12</f>
        <v/>
      </c>
      <c r="G7" s="23">
        <f>Revenus!G12*Hypothèses!$C$10+Revenus!F12*Hypothèses!$C$11+Revenus!E12*Hypothèses!$C$12</f>
        <v/>
      </c>
      <c r="H7" s="23">
        <f>Revenus!H12*Hypothèses!$C$10+Revenus!G12*Hypothèses!$C$11+Revenus!F12*Hypothèses!$C$12</f>
        <v/>
      </c>
      <c r="I7" s="23">
        <f>Revenus!I12*Hypothèses!$C$10+Revenus!H12*Hypothèses!$C$11+Revenus!G12*Hypothèses!$C$12</f>
        <v/>
      </c>
      <c r="J7" s="23">
        <f>Revenus!J12*Hypothèses!$C$10+Revenus!I12*Hypothèses!$C$11+Revenus!H12*Hypothèses!$C$12</f>
        <v/>
      </c>
      <c r="K7" s="23">
        <f>Revenus!K12*Hypothèses!$C$10+Revenus!J12*Hypothèses!$C$11+Revenus!I12*Hypothèses!$C$12</f>
        <v/>
      </c>
      <c r="L7" s="23">
        <f>Revenus!L12*Hypothèses!$C$10+Revenus!K12*Hypothèses!$C$11+Revenus!J12*Hypothèses!$C$12</f>
        <v/>
      </c>
      <c r="M7" s="23">
        <f>Revenus!M12*Hypothèses!$C$10+Revenus!L12*Hypothèses!$C$11+Revenus!K12*Hypothèses!$C$12</f>
        <v/>
      </c>
      <c r="N7" s="23">
        <f>Revenus!N12*Hypothèses!$C$10+Revenus!M12*Hypothèses!$C$11+Revenus!L12*Hypothèses!$C$12</f>
        <v/>
      </c>
      <c r="O7" s="23">
        <f>Revenus!O12*Hypothèses!$C$10+Revenus!N12*Hypothèses!$C$11+Revenus!M12*Hypothèses!$C$12</f>
        <v/>
      </c>
      <c r="P7" s="23">
        <f>Revenus!P12*Hypothèses!$C$10+Revenus!O12*Hypothèses!$C$11+Revenus!N12*Hypothèses!$C$12</f>
        <v/>
      </c>
      <c r="Q7" s="23">
        <f>Revenus!Q12*Hypothèses!$C$10+Revenus!P12*Hypothèses!$C$11+Revenus!O12*Hypothèses!$C$12</f>
        <v/>
      </c>
      <c r="R7" s="23">
        <f>Revenus!R12*Hypothèses!$C$10+Revenus!Q12*Hypothèses!$C$11+Revenus!P12*Hypothèses!$C$12</f>
        <v/>
      </c>
      <c r="S7" s="23">
        <f>Revenus!S12*Hypothèses!$C$10+Revenus!R12*Hypothèses!$C$11+Revenus!Q12*Hypothèses!$C$12</f>
        <v/>
      </c>
      <c r="T7" s="23">
        <f>Revenus!T12*Hypothèses!$C$10+Revenus!S12*Hypothèses!$C$11+Revenus!R12*Hypothèses!$C$12</f>
        <v/>
      </c>
      <c r="U7" s="23">
        <f>Revenus!U12*Hypothèses!$C$10+Revenus!T12*Hypothèses!$C$11+Revenus!S12*Hypothèses!$C$12</f>
        <v/>
      </c>
      <c r="V7" s="23">
        <f>Revenus!V12*Hypothèses!$C$10+Revenus!U12*Hypothèses!$C$11+Revenus!T12*Hypothèses!$C$12</f>
        <v/>
      </c>
      <c r="W7" s="23">
        <f>Revenus!W12*Hypothèses!$C$10+Revenus!V12*Hypothèses!$C$11+Revenus!U12*Hypothèses!$C$12</f>
        <v/>
      </c>
      <c r="X7" s="23">
        <f>Revenus!X12*Hypothèses!$C$10+Revenus!W12*Hypothèses!$C$11+Revenus!V12*Hypothèses!$C$12</f>
        <v/>
      </c>
      <c r="Y7" s="23">
        <f>Revenus!Y12*Hypothèses!$C$10+Revenus!X12*Hypothèses!$C$11+Revenus!W12*Hypothèses!$C$12</f>
        <v/>
      </c>
      <c r="Z7" s="23">
        <f>Revenus!Z12*Hypothèses!$C$10+Revenus!Y12*Hypothèses!$C$11+Revenus!X12*Hypothèses!$C$12</f>
        <v/>
      </c>
      <c r="AA7" s="23">
        <f>Revenus!AA12*Hypothèses!$C$10+Revenus!Z12*Hypothèses!$C$11+Revenus!Y12*Hypothèses!$C$12</f>
        <v/>
      </c>
      <c r="AB7" s="23">
        <f>Revenus!AB12*Hypothèses!$C$10+Revenus!AA12*Hypothèses!$C$11+Revenus!Z12*Hypothèses!$C$12</f>
        <v/>
      </c>
      <c r="AC7" s="23">
        <f>Revenus!AC12*Hypothèses!$C$10+Revenus!AB12*Hypothèses!$C$11+Revenus!AA12*Hypothèses!$C$12</f>
        <v/>
      </c>
      <c r="AD7" s="23">
        <f>Revenus!AD12*Hypothèses!$C$10+Revenus!AC12*Hypothèses!$C$11+Revenus!AB12*Hypothèses!$C$12</f>
        <v/>
      </c>
      <c r="AE7" s="23">
        <f>Revenus!AE12*Hypothèses!$C$10+Revenus!AD12*Hypothèses!$C$11+Revenus!AC12*Hypothèses!$C$12</f>
        <v/>
      </c>
      <c r="AF7" s="23">
        <f>Revenus!AF12*Hypothèses!$C$10+Revenus!AE12*Hypothèses!$C$11+Revenus!AD12*Hypothèses!$C$12</f>
        <v/>
      </c>
      <c r="AG7" s="23">
        <f>Revenus!AG12*Hypothèses!$C$10+Revenus!AF12*Hypothèses!$C$11+Revenus!AE12*Hypothèses!$C$12</f>
        <v/>
      </c>
      <c r="AH7" s="23">
        <f>Revenus!AH12*Hypothèses!$C$10+Revenus!AG12*Hypothèses!$C$11+Revenus!AF12*Hypothèses!$C$12</f>
        <v/>
      </c>
      <c r="AI7" s="23">
        <f>Revenus!AI12*Hypothèses!$C$10+Revenus!AH12*Hypothèses!$C$11+Revenus!AG12*Hypothèses!$C$12</f>
        <v/>
      </c>
      <c r="AJ7" s="23">
        <f>Revenus!AJ12*Hypothèses!$C$10+Revenus!AI12*Hypothèses!$C$11+Revenus!AH12*Hypothèses!$C$12</f>
        <v/>
      </c>
      <c r="AK7" s="23">
        <f>Revenus!AK12*Hypothèses!$C$10+Revenus!AJ12*Hypothèses!$C$11+Revenus!AI12*Hypothèses!$C$12</f>
        <v/>
      </c>
      <c r="AL7" s="23">
        <f>Revenus!AL12*Hypothèses!$C$10+Revenus!AK12*Hypothèses!$C$11+Revenus!AJ12*Hypothèses!$C$12</f>
        <v/>
      </c>
      <c r="AM7" s="24">
        <f>SUM(C7:N7)</f>
        <v/>
      </c>
      <c r="AN7" s="24">
        <f>SUM(O7:Z7)</f>
        <v/>
      </c>
      <c r="AO7" s="24">
        <f>SUM(AA7:AL7)</f>
        <v/>
      </c>
      <c r="AP7" s="24">
        <f>SUM(AM7:AO7)</f>
        <v/>
      </c>
    </row>
    <row r="8">
      <c r="A8" s="25" t="inlineStr">
        <is>
          <t>TOTAL ENCAISSEMENTS</t>
        </is>
      </c>
      <c r="C8" s="26">
        <f>C7</f>
        <v/>
      </c>
      <c r="D8" s="26">
        <f>D7</f>
        <v/>
      </c>
      <c r="E8" s="26">
        <f>E7</f>
        <v/>
      </c>
      <c r="F8" s="26">
        <f>F7</f>
        <v/>
      </c>
      <c r="G8" s="26">
        <f>G7</f>
        <v/>
      </c>
      <c r="H8" s="26">
        <f>H7</f>
        <v/>
      </c>
      <c r="I8" s="26">
        <f>I7</f>
        <v/>
      </c>
      <c r="J8" s="26">
        <f>J7</f>
        <v/>
      </c>
      <c r="K8" s="26">
        <f>K7</f>
        <v/>
      </c>
      <c r="L8" s="26">
        <f>L7</f>
        <v/>
      </c>
      <c r="M8" s="26">
        <f>M7</f>
        <v/>
      </c>
      <c r="N8" s="26">
        <f>N7</f>
        <v/>
      </c>
      <c r="O8" s="26">
        <f>O7</f>
        <v/>
      </c>
      <c r="P8" s="26">
        <f>P7</f>
        <v/>
      </c>
      <c r="Q8" s="26">
        <f>Q7</f>
        <v/>
      </c>
      <c r="R8" s="26">
        <f>R7</f>
        <v/>
      </c>
      <c r="S8" s="26">
        <f>S7</f>
        <v/>
      </c>
      <c r="T8" s="26">
        <f>T7</f>
        <v/>
      </c>
      <c r="U8" s="26">
        <f>U7</f>
        <v/>
      </c>
      <c r="V8" s="26">
        <f>V7</f>
        <v/>
      </c>
      <c r="W8" s="26">
        <f>W7</f>
        <v/>
      </c>
      <c r="X8" s="26">
        <f>X7</f>
        <v/>
      </c>
      <c r="Y8" s="26">
        <f>Y7</f>
        <v/>
      </c>
      <c r="Z8" s="26">
        <f>Z7</f>
        <v/>
      </c>
      <c r="AA8" s="26">
        <f>AA7</f>
        <v/>
      </c>
      <c r="AB8" s="26">
        <f>AB7</f>
        <v/>
      </c>
      <c r="AC8" s="26">
        <f>AC7</f>
        <v/>
      </c>
      <c r="AD8" s="26">
        <f>AD7</f>
        <v/>
      </c>
      <c r="AE8" s="26">
        <f>AE7</f>
        <v/>
      </c>
      <c r="AF8" s="26">
        <f>AF7</f>
        <v/>
      </c>
      <c r="AG8" s="26">
        <f>AG7</f>
        <v/>
      </c>
      <c r="AH8" s="26">
        <f>AH7</f>
        <v/>
      </c>
      <c r="AI8" s="26">
        <f>AI7</f>
        <v/>
      </c>
      <c r="AJ8" s="26">
        <f>AJ7</f>
        <v/>
      </c>
      <c r="AK8" s="26">
        <f>AK7</f>
        <v/>
      </c>
      <c r="AL8" s="26">
        <f>AL7</f>
        <v/>
      </c>
      <c r="AM8" s="26">
        <f>SUM(C8:N8)</f>
        <v/>
      </c>
      <c r="AN8" s="26">
        <f>SUM(O8:Z8)</f>
        <v/>
      </c>
      <c r="AO8" s="26">
        <f>SUM(AA8:AL8)</f>
        <v/>
      </c>
      <c r="AP8" s="26">
        <f>SUM(AM8:AO8)</f>
        <v/>
      </c>
    </row>
    <row r="9">
      <c r="A9" s="41" t="inlineStr">
        <is>
          <t>DÉCAISSEMENTS</t>
        </is>
      </c>
    </row>
    <row r="10">
      <c r="A10" s="3" t="inlineStr">
        <is>
          <t>Matériaux (détail mensuel — onglet Dépenses)</t>
        </is>
      </c>
      <c r="C10" s="23">
        <f>'Dépenses détaillées'!G13</f>
        <v/>
      </c>
      <c r="D10" s="23">
        <f>'Dépenses détaillées'!H13</f>
        <v/>
      </c>
      <c r="E10" s="23">
        <f>'Dépenses détaillées'!I13</f>
        <v/>
      </c>
      <c r="F10" s="23">
        <f>'Dépenses détaillées'!J13</f>
        <v/>
      </c>
      <c r="G10" s="23">
        <f>'Dépenses détaillées'!K13</f>
        <v/>
      </c>
      <c r="H10" s="23">
        <f>'Dépenses détaillées'!L13</f>
        <v/>
      </c>
      <c r="I10" s="23">
        <f>'Dépenses détaillées'!M13</f>
        <v/>
      </c>
      <c r="J10" s="23">
        <f>'Dépenses détaillées'!N13</f>
        <v/>
      </c>
      <c r="K10" s="23">
        <f>'Dépenses détaillées'!O13</f>
        <v/>
      </c>
      <c r="L10" s="23">
        <f>'Dépenses détaillées'!P13</f>
        <v/>
      </c>
      <c r="M10" s="23">
        <f>'Dépenses détaillées'!Q13</f>
        <v/>
      </c>
      <c r="N10" s="23">
        <f>'Dépenses détaillées'!R13</f>
        <v/>
      </c>
      <c r="O10" s="23">
        <f>'Dépenses détaillées'!S13</f>
        <v/>
      </c>
      <c r="P10" s="23">
        <f>'Dépenses détaillées'!T13</f>
        <v/>
      </c>
      <c r="Q10" s="23">
        <f>'Dépenses détaillées'!U13</f>
        <v/>
      </c>
      <c r="R10" s="23">
        <f>'Dépenses détaillées'!V13</f>
        <v/>
      </c>
      <c r="S10" s="23">
        <f>'Dépenses détaillées'!W13</f>
        <v/>
      </c>
      <c r="T10" s="23">
        <f>'Dépenses détaillées'!X13</f>
        <v/>
      </c>
      <c r="U10" s="23">
        <f>'Dépenses détaillées'!Y13</f>
        <v/>
      </c>
      <c r="V10" s="23">
        <f>'Dépenses détaillées'!Z13</f>
        <v/>
      </c>
      <c r="W10" s="23">
        <f>'Dépenses détaillées'!AA13</f>
        <v/>
      </c>
      <c r="X10" s="23">
        <f>'Dépenses détaillées'!AB13</f>
        <v/>
      </c>
      <c r="Y10" s="23">
        <f>'Dépenses détaillées'!AC13</f>
        <v/>
      </c>
      <c r="Z10" s="23">
        <f>'Dépenses détaillées'!AD13</f>
        <v/>
      </c>
      <c r="AA10" s="23">
        <f>'Dépenses détaillées'!AE13</f>
        <v/>
      </c>
      <c r="AB10" s="23">
        <f>'Dépenses détaillées'!AF13</f>
        <v/>
      </c>
      <c r="AC10" s="23">
        <f>'Dépenses détaillées'!AG13</f>
        <v/>
      </c>
      <c r="AD10" s="23">
        <f>'Dépenses détaillées'!AH13</f>
        <v/>
      </c>
      <c r="AE10" s="23">
        <f>'Dépenses détaillées'!AI13</f>
        <v/>
      </c>
      <c r="AF10" s="23">
        <f>'Dépenses détaillées'!AJ13</f>
        <v/>
      </c>
      <c r="AG10" s="23">
        <f>'Dépenses détaillées'!AK13</f>
        <v/>
      </c>
      <c r="AH10" s="23">
        <f>'Dépenses détaillées'!AL13</f>
        <v/>
      </c>
      <c r="AI10" s="23">
        <f>'Dépenses détaillées'!AM13</f>
        <v/>
      </c>
      <c r="AJ10" s="23">
        <f>'Dépenses détaillées'!AN13</f>
        <v/>
      </c>
      <c r="AK10" s="23">
        <f>'Dépenses détaillées'!AO13</f>
        <v/>
      </c>
      <c r="AL10" s="23">
        <f>'Dépenses détaillées'!AP13</f>
        <v/>
      </c>
      <c r="AM10" s="24">
        <f>SUM(C10:N10)</f>
        <v/>
      </c>
      <c r="AN10" s="24">
        <f>SUM(O10:Z10)</f>
        <v/>
      </c>
      <c r="AO10" s="24">
        <f>SUM(AA10:AL10)</f>
        <v/>
      </c>
      <c r="AP10" s="24">
        <f>SUM(AM10:AO10)</f>
        <v/>
      </c>
    </row>
    <row r="11">
      <c r="A11" s="3" t="inlineStr">
        <is>
          <t>Sous-traitance (détail mensuel — onglet Dépenses)</t>
        </is>
      </c>
      <c r="C11" s="23">
        <f>'Dépenses détaillées'!G16</f>
        <v/>
      </c>
      <c r="D11" s="23">
        <f>'Dépenses détaillées'!H16</f>
        <v/>
      </c>
      <c r="E11" s="23">
        <f>'Dépenses détaillées'!I16</f>
        <v/>
      </c>
      <c r="F11" s="23">
        <f>'Dépenses détaillées'!J16</f>
        <v/>
      </c>
      <c r="G11" s="23">
        <f>'Dépenses détaillées'!K16</f>
        <v/>
      </c>
      <c r="H11" s="23">
        <f>'Dépenses détaillées'!L16</f>
        <v/>
      </c>
      <c r="I11" s="23">
        <f>'Dépenses détaillées'!M16</f>
        <v/>
      </c>
      <c r="J11" s="23">
        <f>'Dépenses détaillées'!N16</f>
        <v/>
      </c>
      <c r="K11" s="23">
        <f>'Dépenses détaillées'!O16</f>
        <v/>
      </c>
      <c r="L11" s="23">
        <f>'Dépenses détaillées'!P16</f>
        <v/>
      </c>
      <c r="M11" s="23">
        <f>'Dépenses détaillées'!Q16</f>
        <v/>
      </c>
      <c r="N11" s="23">
        <f>'Dépenses détaillées'!R16</f>
        <v/>
      </c>
      <c r="O11" s="23">
        <f>'Dépenses détaillées'!S16</f>
        <v/>
      </c>
      <c r="P11" s="23">
        <f>'Dépenses détaillées'!T16</f>
        <v/>
      </c>
      <c r="Q11" s="23">
        <f>'Dépenses détaillées'!U16</f>
        <v/>
      </c>
      <c r="R11" s="23">
        <f>'Dépenses détaillées'!V16</f>
        <v/>
      </c>
      <c r="S11" s="23">
        <f>'Dépenses détaillées'!W16</f>
        <v/>
      </c>
      <c r="T11" s="23">
        <f>'Dépenses détaillées'!X16</f>
        <v/>
      </c>
      <c r="U11" s="23">
        <f>'Dépenses détaillées'!Y16</f>
        <v/>
      </c>
      <c r="V11" s="23">
        <f>'Dépenses détaillées'!Z16</f>
        <v/>
      </c>
      <c r="W11" s="23">
        <f>'Dépenses détaillées'!AA16</f>
        <v/>
      </c>
      <c r="X11" s="23">
        <f>'Dépenses détaillées'!AB16</f>
        <v/>
      </c>
      <c r="Y11" s="23">
        <f>'Dépenses détaillées'!AC16</f>
        <v/>
      </c>
      <c r="Z11" s="23">
        <f>'Dépenses détaillées'!AD16</f>
        <v/>
      </c>
      <c r="AA11" s="23">
        <f>'Dépenses détaillées'!AE16</f>
        <v/>
      </c>
      <c r="AB11" s="23">
        <f>'Dépenses détaillées'!AF16</f>
        <v/>
      </c>
      <c r="AC11" s="23">
        <f>'Dépenses détaillées'!AG16</f>
        <v/>
      </c>
      <c r="AD11" s="23">
        <f>'Dépenses détaillées'!AH16</f>
        <v/>
      </c>
      <c r="AE11" s="23">
        <f>'Dépenses détaillées'!AI16</f>
        <v/>
      </c>
      <c r="AF11" s="23">
        <f>'Dépenses détaillées'!AJ16</f>
        <v/>
      </c>
      <c r="AG11" s="23">
        <f>'Dépenses détaillées'!AK16</f>
        <v/>
      </c>
      <c r="AH11" s="23">
        <f>'Dépenses détaillées'!AL16</f>
        <v/>
      </c>
      <c r="AI11" s="23">
        <f>'Dépenses détaillées'!AM16</f>
        <v/>
      </c>
      <c r="AJ11" s="23">
        <f>'Dépenses détaillées'!AN16</f>
        <v/>
      </c>
      <c r="AK11" s="23">
        <f>'Dépenses détaillées'!AO16</f>
        <v/>
      </c>
      <c r="AL11" s="23">
        <f>'Dépenses détaillées'!AP16</f>
        <v/>
      </c>
      <c r="AM11" s="24">
        <f>SUM(C11:N11)</f>
        <v/>
      </c>
      <c r="AN11" s="24">
        <f>SUM(O11:Z11)</f>
        <v/>
      </c>
      <c r="AO11" s="24">
        <f>SUM(AA11:AL11)</f>
        <v/>
      </c>
      <c r="AP11" s="24">
        <f>SUM(AM11:AO11)</f>
        <v/>
      </c>
    </row>
    <row r="12">
      <c r="A12" s="3" t="inlineStr">
        <is>
          <t>Carburant &amp; engins (détail mensuel — onglet Dépenses)</t>
        </is>
      </c>
      <c r="C12" s="23">
        <f>'Dépenses détaillées'!G21</f>
        <v/>
      </c>
      <c r="D12" s="23">
        <f>'Dépenses détaillées'!H21</f>
        <v/>
      </c>
      <c r="E12" s="23">
        <f>'Dépenses détaillées'!I21</f>
        <v/>
      </c>
      <c r="F12" s="23">
        <f>'Dépenses détaillées'!J21</f>
        <v/>
      </c>
      <c r="G12" s="23">
        <f>'Dépenses détaillées'!K21</f>
        <v/>
      </c>
      <c r="H12" s="23">
        <f>'Dépenses détaillées'!L21</f>
        <v/>
      </c>
      <c r="I12" s="23">
        <f>'Dépenses détaillées'!M21</f>
        <v/>
      </c>
      <c r="J12" s="23">
        <f>'Dépenses détaillées'!N21</f>
        <v/>
      </c>
      <c r="K12" s="23">
        <f>'Dépenses détaillées'!O21</f>
        <v/>
      </c>
      <c r="L12" s="23">
        <f>'Dépenses détaillées'!P21</f>
        <v/>
      </c>
      <c r="M12" s="23">
        <f>'Dépenses détaillées'!Q21</f>
        <v/>
      </c>
      <c r="N12" s="23">
        <f>'Dépenses détaillées'!R21</f>
        <v/>
      </c>
      <c r="O12" s="23">
        <f>'Dépenses détaillées'!S21</f>
        <v/>
      </c>
      <c r="P12" s="23">
        <f>'Dépenses détaillées'!T21</f>
        <v/>
      </c>
      <c r="Q12" s="23">
        <f>'Dépenses détaillées'!U21</f>
        <v/>
      </c>
      <c r="R12" s="23">
        <f>'Dépenses détaillées'!V21</f>
        <v/>
      </c>
      <c r="S12" s="23">
        <f>'Dépenses détaillées'!W21</f>
        <v/>
      </c>
      <c r="T12" s="23">
        <f>'Dépenses détaillées'!X21</f>
        <v/>
      </c>
      <c r="U12" s="23">
        <f>'Dépenses détaillées'!Y21</f>
        <v/>
      </c>
      <c r="V12" s="23">
        <f>'Dépenses détaillées'!Z21</f>
        <v/>
      </c>
      <c r="W12" s="23">
        <f>'Dépenses détaillées'!AA21</f>
        <v/>
      </c>
      <c r="X12" s="23">
        <f>'Dépenses détaillées'!AB21</f>
        <v/>
      </c>
      <c r="Y12" s="23">
        <f>'Dépenses détaillées'!AC21</f>
        <v/>
      </c>
      <c r="Z12" s="23">
        <f>'Dépenses détaillées'!AD21</f>
        <v/>
      </c>
      <c r="AA12" s="23">
        <f>'Dépenses détaillées'!AE21</f>
        <v/>
      </c>
      <c r="AB12" s="23">
        <f>'Dépenses détaillées'!AF21</f>
        <v/>
      </c>
      <c r="AC12" s="23">
        <f>'Dépenses détaillées'!AG21</f>
        <v/>
      </c>
      <c r="AD12" s="23">
        <f>'Dépenses détaillées'!AH21</f>
        <v/>
      </c>
      <c r="AE12" s="23">
        <f>'Dépenses détaillées'!AI21</f>
        <v/>
      </c>
      <c r="AF12" s="23">
        <f>'Dépenses détaillées'!AJ21</f>
        <v/>
      </c>
      <c r="AG12" s="23">
        <f>'Dépenses détaillées'!AK21</f>
        <v/>
      </c>
      <c r="AH12" s="23">
        <f>'Dépenses détaillées'!AL21</f>
        <v/>
      </c>
      <c r="AI12" s="23">
        <f>'Dépenses détaillées'!AM21</f>
        <v/>
      </c>
      <c r="AJ12" s="23">
        <f>'Dépenses détaillées'!AN21</f>
        <v/>
      </c>
      <c r="AK12" s="23">
        <f>'Dépenses détaillées'!AO21</f>
        <v/>
      </c>
      <c r="AL12" s="23">
        <f>'Dépenses détaillées'!AP21</f>
        <v/>
      </c>
      <c r="AM12" s="24">
        <f>SUM(C12:N12)</f>
        <v/>
      </c>
      <c r="AN12" s="24">
        <f>SUM(O12:Z12)</f>
        <v/>
      </c>
      <c r="AO12" s="24">
        <f>SUM(AA12:AL12)</f>
        <v/>
      </c>
      <c r="AP12" s="24">
        <f>SUM(AM12:AO12)</f>
        <v/>
      </c>
    </row>
    <row r="13">
      <c r="A13" s="3" t="inlineStr">
        <is>
          <t>Location matériel (détail mensuel — onglet Dépenses)</t>
        </is>
      </c>
      <c r="C13" s="23">
        <f>'Dépenses détaillées'!G24</f>
        <v/>
      </c>
      <c r="D13" s="23">
        <f>'Dépenses détaillées'!H24</f>
        <v/>
      </c>
      <c r="E13" s="23">
        <f>'Dépenses détaillées'!I24</f>
        <v/>
      </c>
      <c r="F13" s="23">
        <f>'Dépenses détaillées'!J24</f>
        <v/>
      </c>
      <c r="G13" s="23">
        <f>'Dépenses détaillées'!K24</f>
        <v/>
      </c>
      <c r="H13" s="23">
        <f>'Dépenses détaillées'!L24</f>
        <v/>
      </c>
      <c r="I13" s="23">
        <f>'Dépenses détaillées'!M24</f>
        <v/>
      </c>
      <c r="J13" s="23">
        <f>'Dépenses détaillées'!N24</f>
        <v/>
      </c>
      <c r="K13" s="23">
        <f>'Dépenses détaillées'!O24</f>
        <v/>
      </c>
      <c r="L13" s="23">
        <f>'Dépenses détaillées'!P24</f>
        <v/>
      </c>
      <c r="M13" s="23">
        <f>'Dépenses détaillées'!Q24</f>
        <v/>
      </c>
      <c r="N13" s="23">
        <f>'Dépenses détaillées'!R24</f>
        <v/>
      </c>
      <c r="O13" s="23">
        <f>'Dépenses détaillées'!S24</f>
        <v/>
      </c>
      <c r="P13" s="23">
        <f>'Dépenses détaillées'!T24</f>
        <v/>
      </c>
      <c r="Q13" s="23">
        <f>'Dépenses détaillées'!U24</f>
        <v/>
      </c>
      <c r="R13" s="23">
        <f>'Dépenses détaillées'!V24</f>
        <v/>
      </c>
      <c r="S13" s="23">
        <f>'Dépenses détaillées'!W24</f>
        <v/>
      </c>
      <c r="T13" s="23">
        <f>'Dépenses détaillées'!X24</f>
        <v/>
      </c>
      <c r="U13" s="23">
        <f>'Dépenses détaillées'!Y24</f>
        <v/>
      </c>
      <c r="V13" s="23">
        <f>'Dépenses détaillées'!Z24</f>
        <v/>
      </c>
      <c r="W13" s="23">
        <f>'Dépenses détaillées'!AA24</f>
        <v/>
      </c>
      <c r="X13" s="23">
        <f>'Dépenses détaillées'!AB24</f>
        <v/>
      </c>
      <c r="Y13" s="23">
        <f>'Dépenses détaillées'!AC24</f>
        <v/>
      </c>
      <c r="Z13" s="23">
        <f>'Dépenses détaillées'!AD24</f>
        <v/>
      </c>
      <c r="AA13" s="23">
        <f>'Dépenses détaillées'!AE24</f>
        <v/>
      </c>
      <c r="AB13" s="23">
        <f>'Dépenses détaillées'!AF24</f>
        <v/>
      </c>
      <c r="AC13" s="23">
        <f>'Dépenses détaillées'!AG24</f>
        <v/>
      </c>
      <c r="AD13" s="23">
        <f>'Dépenses détaillées'!AH24</f>
        <v/>
      </c>
      <c r="AE13" s="23">
        <f>'Dépenses détaillées'!AI24</f>
        <v/>
      </c>
      <c r="AF13" s="23">
        <f>'Dépenses détaillées'!AJ24</f>
        <v/>
      </c>
      <c r="AG13" s="23">
        <f>'Dépenses détaillées'!AK24</f>
        <v/>
      </c>
      <c r="AH13" s="23">
        <f>'Dépenses détaillées'!AL24</f>
        <v/>
      </c>
      <c r="AI13" s="23">
        <f>'Dépenses détaillées'!AM24</f>
        <v/>
      </c>
      <c r="AJ13" s="23">
        <f>'Dépenses détaillées'!AN24</f>
        <v/>
      </c>
      <c r="AK13" s="23">
        <f>'Dépenses détaillées'!AO24</f>
        <v/>
      </c>
      <c r="AL13" s="23">
        <f>'Dépenses détaillées'!AP24</f>
        <v/>
      </c>
      <c r="AM13" s="24">
        <f>SUM(C13:N13)</f>
        <v/>
      </c>
      <c r="AN13" s="24">
        <f>SUM(O13:Z13)</f>
        <v/>
      </c>
      <c r="AO13" s="24">
        <f>SUM(AA13:AL13)</f>
        <v/>
      </c>
      <c r="AP13" s="24">
        <f>SUM(AM13:AO13)</f>
        <v/>
      </c>
    </row>
    <row r="14">
      <c r="A14" s="3" t="inlineStr">
        <is>
          <t>Personnel (salaires &amp; charges)</t>
        </is>
      </c>
      <c r="C14" s="23">
        <f>'Dépenses détaillées'!G29</f>
        <v/>
      </c>
      <c r="D14" s="23">
        <f>'Dépenses détaillées'!H29</f>
        <v/>
      </c>
      <c r="E14" s="23">
        <f>'Dépenses détaillées'!I29</f>
        <v/>
      </c>
      <c r="F14" s="23">
        <f>'Dépenses détaillées'!J29</f>
        <v/>
      </c>
      <c r="G14" s="23">
        <f>'Dépenses détaillées'!K29</f>
        <v/>
      </c>
      <c r="H14" s="23">
        <f>'Dépenses détaillées'!L29</f>
        <v/>
      </c>
      <c r="I14" s="23">
        <f>'Dépenses détaillées'!M29</f>
        <v/>
      </c>
      <c r="J14" s="23">
        <f>'Dépenses détaillées'!N29</f>
        <v/>
      </c>
      <c r="K14" s="23">
        <f>'Dépenses détaillées'!O29</f>
        <v/>
      </c>
      <c r="L14" s="23">
        <f>'Dépenses détaillées'!P29</f>
        <v/>
      </c>
      <c r="M14" s="23">
        <f>'Dépenses détaillées'!Q29</f>
        <v/>
      </c>
      <c r="N14" s="23">
        <f>'Dépenses détaillées'!R29</f>
        <v/>
      </c>
      <c r="O14" s="23">
        <f>'Dépenses détaillées'!S29</f>
        <v/>
      </c>
      <c r="P14" s="23">
        <f>'Dépenses détaillées'!T29</f>
        <v/>
      </c>
      <c r="Q14" s="23">
        <f>'Dépenses détaillées'!U29</f>
        <v/>
      </c>
      <c r="R14" s="23">
        <f>'Dépenses détaillées'!V29</f>
        <v/>
      </c>
      <c r="S14" s="23">
        <f>'Dépenses détaillées'!W29</f>
        <v/>
      </c>
      <c r="T14" s="23">
        <f>'Dépenses détaillées'!X29</f>
        <v/>
      </c>
      <c r="U14" s="23">
        <f>'Dépenses détaillées'!Y29</f>
        <v/>
      </c>
      <c r="V14" s="23">
        <f>'Dépenses détaillées'!Z29</f>
        <v/>
      </c>
      <c r="W14" s="23">
        <f>'Dépenses détaillées'!AA29</f>
        <v/>
      </c>
      <c r="X14" s="23">
        <f>'Dépenses détaillées'!AB29</f>
        <v/>
      </c>
      <c r="Y14" s="23">
        <f>'Dépenses détaillées'!AC29</f>
        <v/>
      </c>
      <c r="Z14" s="23">
        <f>'Dépenses détaillées'!AD29</f>
        <v/>
      </c>
      <c r="AA14" s="23">
        <f>'Dépenses détaillées'!AE29</f>
        <v/>
      </c>
      <c r="AB14" s="23">
        <f>'Dépenses détaillées'!AF29</f>
        <v/>
      </c>
      <c r="AC14" s="23">
        <f>'Dépenses détaillées'!AG29</f>
        <v/>
      </c>
      <c r="AD14" s="23">
        <f>'Dépenses détaillées'!AH29</f>
        <v/>
      </c>
      <c r="AE14" s="23">
        <f>'Dépenses détaillées'!AI29</f>
        <v/>
      </c>
      <c r="AF14" s="23">
        <f>'Dépenses détaillées'!AJ29</f>
        <v/>
      </c>
      <c r="AG14" s="23">
        <f>'Dépenses détaillées'!AK29</f>
        <v/>
      </c>
      <c r="AH14" s="23">
        <f>'Dépenses détaillées'!AL29</f>
        <v/>
      </c>
      <c r="AI14" s="23">
        <f>'Dépenses détaillées'!AM29</f>
        <v/>
      </c>
      <c r="AJ14" s="23">
        <f>'Dépenses détaillées'!AN29</f>
        <v/>
      </c>
      <c r="AK14" s="23">
        <f>'Dépenses détaillées'!AO29</f>
        <v/>
      </c>
      <c r="AL14" s="23">
        <f>'Dépenses détaillées'!AP29</f>
        <v/>
      </c>
      <c r="AM14" s="24">
        <f>SUM(C14:N14)</f>
        <v/>
      </c>
      <c r="AN14" s="24">
        <f>SUM(O14:Z14)</f>
        <v/>
      </c>
      <c r="AO14" s="24">
        <f>SUM(AA14:AL14)</f>
        <v/>
      </c>
      <c r="AP14" s="24">
        <f>SUM(AM14:AO14)</f>
        <v/>
      </c>
    </row>
    <row r="15">
      <c r="A15" s="3" t="inlineStr">
        <is>
          <t>Cotisations sociales dirigeant (versement trimestriel, inflaté)</t>
        </is>
      </c>
      <c r="C15" s="24" t="n">
        <v>0</v>
      </c>
      <c r="D15" s="24" t="n">
        <v>0</v>
      </c>
      <c r="E15" s="23">
        <f>Hypothèses!$C$8*(1+Hypothèses!$C$14)^0</f>
        <v/>
      </c>
      <c r="F15" s="24" t="n">
        <v>0</v>
      </c>
      <c r="G15" s="24" t="n">
        <v>0</v>
      </c>
      <c r="H15" s="23">
        <f>Hypothèses!$C$8*(1+Hypothèses!$C$14)^0</f>
        <v/>
      </c>
      <c r="I15" s="24" t="n">
        <v>0</v>
      </c>
      <c r="J15" s="24" t="n">
        <v>0</v>
      </c>
      <c r="K15" s="23">
        <f>Hypothèses!$C$8*(1+Hypothèses!$C$14)^0</f>
        <v/>
      </c>
      <c r="L15" s="24" t="n">
        <v>0</v>
      </c>
      <c r="M15" s="24" t="n">
        <v>0</v>
      </c>
      <c r="N15" s="23">
        <f>Hypothèses!$C$8*(1+Hypothèses!$C$14)^0</f>
        <v/>
      </c>
      <c r="O15" s="24" t="n">
        <v>0</v>
      </c>
      <c r="P15" s="24" t="n">
        <v>0</v>
      </c>
      <c r="Q15" s="23">
        <f>Hypothèses!$C$8*(1+Hypothèses!$C$14)^1</f>
        <v/>
      </c>
      <c r="R15" s="24" t="n">
        <v>0</v>
      </c>
      <c r="S15" s="24" t="n">
        <v>0</v>
      </c>
      <c r="T15" s="23">
        <f>Hypothèses!$C$8*(1+Hypothèses!$C$14)^1</f>
        <v/>
      </c>
      <c r="U15" s="24" t="n">
        <v>0</v>
      </c>
      <c r="V15" s="24" t="n">
        <v>0</v>
      </c>
      <c r="W15" s="23">
        <f>Hypothèses!$C$8*(1+Hypothèses!$C$14)^1</f>
        <v/>
      </c>
      <c r="X15" s="24" t="n">
        <v>0</v>
      </c>
      <c r="Y15" s="24" t="n">
        <v>0</v>
      </c>
      <c r="Z15" s="23">
        <f>Hypothèses!$C$8*(1+Hypothèses!$C$14)^1</f>
        <v/>
      </c>
      <c r="AA15" s="24" t="n">
        <v>0</v>
      </c>
      <c r="AB15" s="24" t="n">
        <v>0</v>
      </c>
      <c r="AC15" s="23">
        <f>Hypothèses!$C$8*(1+Hypothèses!$C$14)^2</f>
        <v/>
      </c>
      <c r="AD15" s="24" t="n">
        <v>0</v>
      </c>
      <c r="AE15" s="24" t="n">
        <v>0</v>
      </c>
      <c r="AF15" s="23">
        <f>Hypothèses!$C$8*(1+Hypothèses!$C$14)^2</f>
        <v/>
      </c>
      <c r="AG15" s="24" t="n">
        <v>0</v>
      </c>
      <c r="AH15" s="24" t="n">
        <v>0</v>
      </c>
      <c r="AI15" s="23">
        <f>Hypothèses!$C$8*(1+Hypothèses!$C$14)^2</f>
        <v/>
      </c>
      <c r="AJ15" s="24" t="n">
        <v>0</v>
      </c>
      <c r="AK15" s="24" t="n">
        <v>0</v>
      </c>
      <c r="AL15" s="23">
        <f>Hypothèses!$C$8*(1+Hypothèses!$C$14)^2</f>
        <v/>
      </c>
      <c r="AM15" s="24">
        <f>SUM(C15:N15)</f>
        <v/>
      </c>
      <c r="AN15" s="24">
        <f>SUM(O15:Z15)</f>
        <v/>
      </c>
      <c r="AO15" s="24">
        <f>SUM(AA15:AL15)</f>
        <v/>
      </c>
      <c r="AP15" s="24">
        <f>SUM(AM15:AO15)</f>
        <v/>
      </c>
    </row>
    <row r="16">
      <c r="A16" s="3" t="inlineStr">
        <is>
          <t>Charges fixes &amp; énergie atelier (loyer, assurances, comptable...)</t>
        </is>
      </c>
      <c r="C16" s="23">
        <f>('Dépenses détaillées'!G43+'Dépenses détaillées'!G34)</f>
        <v/>
      </c>
      <c r="D16" s="23">
        <f>('Dépenses détaillées'!H43+'Dépenses détaillées'!H34)</f>
        <v/>
      </c>
      <c r="E16" s="23">
        <f>('Dépenses détaillées'!I43+'Dépenses détaillées'!I34)</f>
        <v/>
      </c>
      <c r="F16" s="23">
        <f>('Dépenses détaillées'!J43+'Dépenses détaillées'!J34)</f>
        <v/>
      </c>
      <c r="G16" s="23">
        <f>('Dépenses détaillées'!K43+'Dépenses détaillées'!K34)</f>
        <v/>
      </c>
      <c r="H16" s="23">
        <f>('Dépenses détaillées'!L43+'Dépenses détaillées'!L34)</f>
        <v/>
      </c>
      <c r="I16" s="23">
        <f>('Dépenses détaillées'!M43+'Dépenses détaillées'!M34)</f>
        <v/>
      </c>
      <c r="J16" s="23">
        <f>('Dépenses détaillées'!N43+'Dépenses détaillées'!N34)</f>
        <v/>
      </c>
      <c r="K16" s="23">
        <f>('Dépenses détaillées'!O43+'Dépenses détaillées'!O34)</f>
        <v/>
      </c>
      <c r="L16" s="23">
        <f>('Dépenses détaillées'!P43+'Dépenses détaillées'!P34)</f>
        <v/>
      </c>
      <c r="M16" s="23">
        <f>('Dépenses détaillées'!Q43+'Dépenses détaillées'!Q34)</f>
        <v/>
      </c>
      <c r="N16" s="23">
        <f>('Dépenses détaillées'!R43+'Dépenses détaillées'!R34)</f>
        <v/>
      </c>
      <c r="O16" s="23">
        <f>('Dépenses détaillées'!S43+'Dépenses détaillées'!S34)</f>
        <v/>
      </c>
      <c r="P16" s="23">
        <f>('Dépenses détaillées'!T43+'Dépenses détaillées'!T34)</f>
        <v/>
      </c>
      <c r="Q16" s="23">
        <f>('Dépenses détaillées'!U43+'Dépenses détaillées'!U34)</f>
        <v/>
      </c>
      <c r="R16" s="23">
        <f>('Dépenses détaillées'!V43+'Dépenses détaillées'!V34)</f>
        <v/>
      </c>
      <c r="S16" s="23">
        <f>('Dépenses détaillées'!W43+'Dépenses détaillées'!W34)</f>
        <v/>
      </c>
      <c r="T16" s="23">
        <f>('Dépenses détaillées'!X43+'Dépenses détaillées'!X34)</f>
        <v/>
      </c>
      <c r="U16" s="23">
        <f>('Dépenses détaillées'!Y43+'Dépenses détaillées'!Y34)</f>
        <v/>
      </c>
      <c r="V16" s="23">
        <f>('Dépenses détaillées'!Z43+'Dépenses détaillées'!Z34)</f>
        <v/>
      </c>
      <c r="W16" s="23">
        <f>('Dépenses détaillées'!AA43+'Dépenses détaillées'!AA34)</f>
        <v/>
      </c>
      <c r="X16" s="23">
        <f>('Dépenses détaillées'!AB43+'Dépenses détaillées'!AB34)</f>
        <v/>
      </c>
      <c r="Y16" s="23">
        <f>('Dépenses détaillées'!AC43+'Dépenses détaillées'!AC34)</f>
        <v/>
      </c>
      <c r="Z16" s="23">
        <f>('Dépenses détaillées'!AD43+'Dépenses détaillées'!AD34)</f>
        <v/>
      </c>
      <c r="AA16" s="23">
        <f>('Dépenses détaillées'!AE43+'Dépenses détaillées'!AE34)</f>
        <v/>
      </c>
      <c r="AB16" s="23">
        <f>('Dépenses détaillées'!AF43+'Dépenses détaillées'!AF34)</f>
        <v/>
      </c>
      <c r="AC16" s="23">
        <f>('Dépenses détaillées'!AG43+'Dépenses détaillées'!AG34)</f>
        <v/>
      </c>
      <c r="AD16" s="23">
        <f>('Dépenses détaillées'!AH43+'Dépenses détaillées'!AH34)</f>
        <v/>
      </c>
      <c r="AE16" s="23">
        <f>('Dépenses détaillées'!AI43+'Dépenses détaillées'!AI34)</f>
        <v/>
      </c>
      <c r="AF16" s="23">
        <f>('Dépenses détaillées'!AJ43+'Dépenses détaillées'!AJ34)</f>
        <v/>
      </c>
      <c r="AG16" s="23">
        <f>('Dépenses détaillées'!AK43+'Dépenses détaillées'!AK34)</f>
        <v/>
      </c>
      <c r="AH16" s="23">
        <f>('Dépenses détaillées'!AL43+'Dépenses détaillées'!AL34)</f>
        <v/>
      </c>
      <c r="AI16" s="23">
        <f>('Dépenses détaillées'!AM43+'Dépenses détaillées'!AM34)</f>
        <v/>
      </c>
      <c r="AJ16" s="23">
        <f>('Dépenses détaillées'!AN43+'Dépenses détaillées'!AN34)</f>
        <v/>
      </c>
      <c r="AK16" s="23">
        <f>('Dépenses détaillées'!AO43+'Dépenses détaillées'!AO34)</f>
        <v/>
      </c>
      <c r="AL16" s="23">
        <f>('Dépenses détaillées'!AP43+'Dépenses détaillées'!AP34)</f>
        <v/>
      </c>
      <c r="AM16" s="24">
        <f>SUM(C16:N16)</f>
        <v/>
      </c>
      <c r="AN16" s="24">
        <f>SUM(O16:Z16)</f>
        <v/>
      </c>
      <c r="AO16" s="24">
        <f>SUM(AA16:AL16)</f>
        <v/>
      </c>
      <c r="AP16" s="24">
        <f>SUM(AM16:AO16)</f>
        <v/>
      </c>
    </row>
    <row r="17">
      <c r="A17" s="3" t="inlineStr">
        <is>
          <t>TVA nette versée (versement trimestriel)</t>
        </is>
      </c>
      <c r="C17" s="24" t="n">
        <v>0</v>
      </c>
      <c r="D17" s="24" t="n">
        <v>0</v>
      </c>
      <c r="E17" s="24">
        <f>MAX(0,SUM(C25:E25))</f>
        <v/>
      </c>
      <c r="F17" s="24" t="n">
        <v>0</v>
      </c>
      <c r="G17" s="24" t="n">
        <v>0</v>
      </c>
      <c r="H17" s="24">
        <f>MAX(0,SUM(F25:H25))</f>
        <v/>
      </c>
      <c r="I17" s="24" t="n">
        <v>0</v>
      </c>
      <c r="J17" s="24" t="n">
        <v>0</v>
      </c>
      <c r="K17" s="24">
        <f>MAX(0,SUM(I25:K25))</f>
        <v/>
      </c>
      <c r="L17" s="24" t="n">
        <v>0</v>
      </c>
      <c r="M17" s="24" t="n">
        <v>0</v>
      </c>
      <c r="N17" s="24">
        <f>MAX(0,SUM(L25:N25))</f>
        <v/>
      </c>
      <c r="O17" s="24" t="n">
        <v>0</v>
      </c>
      <c r="P17" s="24" t="n">
        <v>0</v>
      </c>
      <c r="Q17" s="24">
        <f>MAX(0,SUM(O25:Q25))</f>
        <v/>
      </c>
      <c r="R17" s="24" t="n">
        <v>0</v>
      </c>
      <c r="S17" s="24" t="n">
        <v>0</v>
      </c>
      <c r="T17" s="24">
        <f>MAX(0,SUM(R25:T25))</f>
        <v/>
      </c>
      <c r="U17" s="24" t="n">
        <v>0</v>
      </c>
      <c r="V17" s="24" t="n">
        <v>0</v>
      </c>
      <c r="W17" s="24">
        <f>MAX(0,SUM(U25:W25))</f>
        <v/>
      </c>
      <c r="X17" s="24" t="n">
        <v>0</v>
      </c>
      <c r="Y17" s="24" t="n">
        <v>0</v>
      </c>
      <c r="Z17" s="24">
        <f>MAX(0,SUM(X25:Z25))</f>
        <v/>
      </c>
      <c r="AA17" s="24" t="n">
        <v>0</v>
      </c>
      <c r="AB17" s="24" t="n">
        <v>0</v>
      </c>
      <c r="AC17" s="24">
        <f>MAX(0,SUM(AA25:AC25))</f>
        <v/>
      </c>
      <c r="AD17" s="24" t="n">
        <v>0</v>
      </c>
      <c r="AE17" s="24" t="n">
        <v>0</v>
      </c>
      <c r="AF17" s="24">
        <f>MAX(0,SUM(AD25:AF25))</f>
        <v/>
      </c>
      <c r="AG17" s="24" t="n">
        <v>0</v>
      </c>
      <c r="AH17" s="24" t="n">
        <v>0</v>
      </c>
      <c r="AI17" s="24">
        <f>MAX(0,SUM(AG25:AI25))</f>
        <v/>
      </c>
      <c r="AJ17" s="24" t="n">
        <v>0</v>
      </c>
      <c r="AK17" s="24" t="n">
        <v>0</v>
      </c>
      <c r="AL17" s="24">
        <f>MAX(0,SUM(AJ25:AL25))</f>
        <v/>
      </c>
      <c r="AM17" s="24">
        <f>SUM(C17:N17)</f>
        <v/>
      </c>
      <c r="AN17" s="24">
        <f>SUM(O17:Z17)</f>
        <v/>
      </c>
      <c r="AO17" s="24">
        <f>SUM(AA17:AL17)</f>
        <v/>
      </c>
      <c r="AP17" s="24">
        <f>SUM(AM17:AO17)</f>
        <v/>
      </c>
    </row>
    <row r="18">
      <c r="A18" s="3" t="inlineStr">
        <is>
          <t>Remboursement emprunts matériel/véhicules (mensualité fixe)</t>
        </is>
      </c>
      <c r="C18" s="23">
        <f>Hypothèses!$C$9</f>
        <v/>
      </c>
      <c r="D18" s="23">
        <f>Hypothèses!$C$9</f>
        <v/>
      </c>
      <c r="E18" s="23">
        <f>Hypothèses!$C$9</f>
        <v/>
      </c>
      <c r="F18" s="23">
        <f>Hypothèses!$C$9</f>
        <v/>
      </c>
      <c r="G18" s="23">
        <f>Hypothèses!$C$9</f>
        <v/>
      </c>
      <c r="H18" s="23">
        <f>Hypothèses!$C$9</f>
        <v/>
      </c>
      <c r="I18" s="23">
        <f>Hypothèses!$C$9</f>
        <v/>
      </c>
      <c r="J18" s="23">
        <f>Hypothèses!$C$9</f>
        <v/>
      </c>
      <c r="K18" s="23">
        <f>Hypothèses!$C$9</f>
        <v/>
      </c>
      <c r="L18" s="23">
        <f>Hypothèses!$C$9</f>
        <v/>
      </c>
      <c r="M18" s="23">
        <f>Hypothèses!$C$9</f>
        <v/>
      </c>
      <c r="N18" s="23">
        <f>Hypothèses!$C$9</f>
        <v/>
      </c>
      <c r="O18" s="23">
        <f>Hypothèses!$C$9</f>
        <v/>
      </c>
      <c r="P18" s="23">
        <f>Hypothèses!$C$9</f>
        <v/>
      </c>
      <c r="Q18" s="23">
        <f>Hypothèses!$C$9</f>
        <v/>
      </c>
      <c r="R18" s="23">
        <f>Hypothèses!$C$9</f>
        <v/>
      </c>
      <c r="S18" s="23">
        <f>Hypothèses!$C$9</f>
        <v/>
      </c>
      <c r="T18" s="23">
        <f>Hypothèses!$C$9</f>
        <v/>
      </c>
      <c r="U18" s="23">
        <f>Hypothèses!$C$9</f>
        <v/>
      </c>
      <c r="V18" s="23">
        <f>Hypothèses!$C$9</f>
        <v/>
      </c>
      <c r="W18" s="23">
        <f>Hypothèses!$C$9</f>
        <v/>
      </c>
      <c r="X18" s="23">
        <f>Hypothèses!$C$9</f>
        <v/>
      </c>
      <c r="Y18" s="23">
        <f>Hypothèses!$C$9</f>
        <v/>
      </c>
      <c r="Z18" s="23">
        <f>Hypothèses!$C$9</f>
        <v/>
      </c>
      <c r="AA18" s="23">
        <f>Hypothèses!$C$9</f>
        <v/>
      </c>
      <c r="AB18" s="23">
        <f>Hypothèses!$C$9</f>
        <v/>
      </c>
      <c r="AC18" s="23">
        <f>Hypothèses!$C$9</f>
        <v/>
      </c>
      <c r="AD18" s="23">
        <f>Hypothèses!$C$9</f>
        <v/>
      </c>
      <c r="AE18" s="23">
        <f>Hypothèses!$C$9</f>
        <v/>
      </c>
      <c r="AF18" s="23">
        <f>Hypothèses!$C$9</f>
        <v/>
      </c>
      <c r="AG18" s="23">
        <f>Hypothèses!$C$9</f>
        <v/>
      </c>
      <c r="AH18" s="23">
        <f>Hypothèses!$C$9</f>
        <v/>
      </c>
      <c r="AI18" s="23">
        <f>Hypothèses!$C$9</f>
        <v/>
      </c>
      <c r="AJ18" s="23">
        <f>Hypothèses!$C$9</f>
        <v/>
      </c>
      <c r="AK18" s="23">
        <f>Hypothèses!$C$9</f>
        <v/>
      </c>
      <c r="AL18" s="23">
        <f>Hypothèses!$C$9</f>
        <v/>
      </c>
      <c r="AM18" s="24">
        <f>SUM(C18:N18)</f>
        <v/>
      </c>
      <c r="AN18" s="24">
        <f>SUM(O18:Z18)</f>
        <v/>
      </c>
      <c r="AO18" s="24">
        <f>SUM(AA18:AL18)</f>
        <v/>
      </c>
      <c r="AP18" s="24">
        <f>SUM(AM18:AO18)</f>
        <v/>
      </c>
    </row>
    <row r="19">
      <c r="A19" s="25" t="inlineStr">
        <is>
          <t>TOTAL DÉCAISSEMENTS</t>
        </is>
      </c>
      <c r="C19" s="26">
        <f>SUM(C10:C18)</f>
        <v/>
      </c>
      <c r="D19" s="26">
        <f>SUM(D10:D18)</f>
        <v/>
      </c>
      <c r="E19" s="26">
        <f>SUM(E10:E18)</f>
        <v/>
      </c>
      <c r="F19" s="26">
        <f>SUM(F10:F18)</f>
        <v/>
      </c>
      <c r="G19" s="26">
        <f>SUM(G10:G18)</f>
        <v/>
      </c>
      <c r="H19" s="26">
        <f>SUM(H10:H18)</f>
        <v/>
      </c>
      <c r="I19" s="26">
        <f>SUM(I10:I18)</f>
        <v/>
      </c>
      <c r="J19" s="26">
        <f>SUM(J10:J18)</f>
        <v/>
      </c>
      <c r="K19" s="26">
        <f>SUM(K10:K18)</f>
        <v/>
      </c>
      <c r="L19" s="26">
        <f>SUM(L10:L18)</f>
        <v/>
      </c>
      <c r="M19" s="26">
        <f>SUM(M10:M18)</f>
        <v/>
      </c>
      <c r="N19" s="26">
        <f>SUM(N10:N18)</f>
        <v/>
      </c>
      <c r="O19" s="26">
        <f>SUM(O10:O18)</f>
        <v/>
      </c>
      <c r="P19" s="26">
        <f>SUM(P10:P18)</f>
        <v/>
      </c>
      <c r="Q19" s="26">
        <f>SUM(Q10:Q18)</f>
        <v/>
      </c>
      <c r="R19" s="26">
        <f>SUM(R10:R18)</f>
        <v/>
      </c>
      <c r="S19" s="26">
        <f>SUM(S10:S18)</f>
        <v/>
      </c>
      <c r="T19" s="26">
        <f>SUM(T10:T18)</f>
        <v/>
      </c>
      <c r="U19" s="26">
        <f>SUM(U10:U18)</f>
        <v/>
      </c>
      <c r="V19" s="26">
        <f>SUM(V10:V18)</f>
        <v/>
      </c>
      <c r="W19" s="26">
        <f>SUM(W10:W18)</f>
        <v/>
      </c>
      <c r="X19" s="26">
        <f>SUM(X10:X18)</f>
        <v/>
      </c>
      <c r="Y19" s="26">
        <f>SUM(Y10:Y18)</f>
        <v/>
      </c>
      <c r="Z19" s="26">
        <f>SUM(Z10:Z18)</f>
        <v/>
      </c>
      <c r="AA19" s="26">
        <f>SUM(AA10:AA18)</f>
        <v/>
      </c>
      <c r="AB19" s="26">
        <f>SUM(AB10:AB18)</f>
        <v/>
      </c>
      <c r="AC19" s="26">
        <f>SUM(AC10:AC18)</f>
        <v/>
      </c>
      <c r="AD19" s="26">
        <f>SUM(AD10:AD18)</f>
        <v/>
      </c>
      <c r="AE19" s="26">
        <f>SUM(AE10:AE18)</f>
        <v/>
      </c>
      <c r="AF19" s="26">
        <f>SUM(AF10:AF18)</f>
        <v/>
      </c>
      <c r="AG19" s="26">
        <f>SUM(AG10:AG18)</f>
        <v/>
      </c>
      <c r="AH19" s="26">
        <f>SUM(AH10:AH18)</f>
        <v/>
      </c>
      <c r="AI19" s="26">
        <f>SUM(AI10:AI18)</f>
        <v/>
      </c>
      <c r="AJ19" s="26">
        <f>SUM(AJ10:AJ18)</f>
        <v/>
      </c>
      <c r="AK19" s="26">
        <f>SUM(AK10:AK18)</f>
        <v/>
      </c>
      <c r="AL19" s="26">
        <f>SUM(AL10:AL18)</f>
        <v/>
      </c>
      <c r="AM19" s="26">
        <f>SUM(C19:N19)</f>
        <v/>
      </c>
      <c r="AN19" s="26">
        <f>SUM(O19:Z19)</f>
        <v/>
      </c>
      <c r="AO19" s="26">
        <f>SUM(AA19:AL19)</f>
        <v/>
      </c>
      <c r="AP19" s="26">
        <f>SUM(AM19:AO19)</f>
        <v/>
      </c>
    </row>
    <row r="20">
      <c r="A20" s="40" t="inlineStr">
        <is>
          <t>Variation de trésorerie du mois</t>
        </is>
      </c>
      <c r="C20" s="42">
        <f>C8-C19</f>
        <v/>
      </c>
      <c r="D20" s="42">
        <f>D8-D19</f>
        <v/>
      </c>
      <c r="E20" s="42">
        <f>E8-E19</f>
        <v/>
      </c>
      <c r="F20" s="42">
        <f>F8-F19</f>
        <v/>
      </c>
      <c r="G20" s="42">
        <f>G8-G19</f>
        <v/>
      </c>
      <c r="H20" s="42">
        <f>H8-H19</f>
        <v/>
      </c>
      <c r="I20" s="42">
        <f>I8-I19</f>
        <v/>
      </c>
      <c r="J20" s="42">
        <f>J8-J19</f>
        <v/>
      </c>
      <c r="K20" s="42">
        <f>K8-K19</f>
        <v/>
      </c>
      <c r="L20" s="42">
        <f>L8-L19</f>
        <v/>
      </c>
      <c r="M20" s="42">
        <f>M8-M19</f>
        <v/>
      </c>
      <c r="N20" s="42">
        <f>N8-N19</f>
        <v/>
      </c>
      <c r="O20" s="42">
        <f>O8-O19</f>
        <v/>
      </c>
      <c r="P20" s="42">
        <f>P8-P19</f>
        <v/>
      </c>
      <c r="Q20" s="42">
        <f>Q8-Q19</f>
        <v/>
      </c>
      <c r="R20" s="42">
        <f>R8-R19</f>
        <v/>
      </c>
      <c r="S20" s="42">
        <f>S8-S19</f>
        <v/>
      </c>
      <c r="T20" s="42">
        <f>T8-T19</f>
        <v/>
      </c>
      <c r="U20" s="42">
        <f>U8-U19</f>
        <v/>
      </c>
      <c r="V20" s="42">
        <f>V8-V19</f>
        <v/>
      </c>
      <c r="W20" s="42">
        <f>W8-W19</f>
        <v/>
      </c>
      <c r="X20" s="42">
        <f>X8-X19</f>
        <v/>
      </c>
      <c r="Y20" s="42">
        <f>Y8-Y19</f>
        <v/>
      </c>
      <c r="Z20" s="42">
        <f>Z8-Z19</f>
        <v/>
      </c>
      <c r="AA20" s="42">
        <f>AA8-AA19</f>
        <v/>
      </c>
      <c r="AB20" s="42">
        <f>AB8-AB19</f>
        <v/>
      </c>
      <c r="AC20" s="42">
        <f>AC8-AC19</f>
        <v/>
      </c>
      <c r="AD20" s="42">
        <f>AD8-AD19</f>
        <v/>
      </c>
      <c r="AE20" s="42">
        <f>AE8-AE19</f>
        <v/>
      </c>
      <c r="AF20" s="42">
        <f>AF8-AF19</f>
        <v/>
      </c>
      <c r="AG20" s="42">
        <f>AG8-AG19</f>
        <v/>
      </c>
      <c r="AH20" s="42">
        <f>AH8-AH19</f>
        <v/>
      </c>
      <c r="AI20" s="42">
        <f>AI8-AI19</f>
        <v/>
      </c>
      <c r="AJ20" s="42">
        <f>AJ8-AJ19</f>
        <v/>
      </c>
      <c r="AK20" s="42">
        <f>AK8-AK19</f>
        <v/>
      </c>
      <c r="AL20" s="42">
        <f>AL8-AL19</f>
        <v/>
      </c>
      <c r="AM20" s="42">
        <f>SUM(C20:N20)</f>
        <v/>
      </c>
      <c r="AN20" s="42">
        <f>SUM(O20:Z20)</f>
        <v/>
      </c>
      <c r="AO20" s="42">
        <f>SUM(AA20:AL20)</f>
        <v/>
      </c>
      <c r="AP20" s="42">
        <f>SUM(AM20:AO20)</f>
        <v/>
      </c>
    </row>
    <row r="21">
      <c r="A21" s="36" t="inlineStr">
        <is>
          <t>TRÉSORERIE EN FIN DE MOIS</t>
        </is>
      </c>
      <c r="C21" s="38">
        <f>C5+C20</f>
        <v/>
      </c>
      <c r="D21" s="38">
        <f>D5+D20</f>
        <v/>
      </c>
      <c r="E21" s="38">
        <f>E5+E20</f>
        <v/>
      </c>
      <c r="F21" s="38">
        <f>F5+F20</f>
        <v/>
      </c>
      <c r="G21" s="38">
        <f>G5+G20</f>
        <v/>
      </c>
      <c r="H21" s="38">
        <f>H5+H20</f>
        <v/>
      </c>
      <c r="I21" s="38">
        <f>I5+I20</f>
        <v/>
      </c>
      <c r="J21" s="38">
        <f>J5+J20</f>
        <v/>
      </c>
      <c r="K21" s="38">
        <f>K5+K20</f>
        <v/>
      </c>
      <c r="L21" s="38">
        <f>L5+L20</f>
        <v/>
      </c>
      <c r="M21" s="38">
        <f>M5+M20</f>
        <v/>
      </c>
      <c r="N21" s="38">
        <f>N5+N20</f>
        <v/>
      </c>
      <c r="O21" s="38">
        <f>O5+O20</f>
        <v/>
      </c>
      <c r="P21" s="38">
        <f>P5+P20</f>
        <v/>
      </c>
      <c r="Q21" s="38">
        <f>Q5+Q20</f>
        <v/>
      </c>
      <c r="R21" s="38">
        <f>R5+R20</f>
        <v/>
      </c>
      <c r="S21" s="38">
        <f>S5+S20</f>
        <v/>
      </c>
      <c r="T21" s="38">
        <f>T5+T20</f>
        <v/>
      </c>
      <c r="U21" s="38">
        <f>U5+U20</f>
        <v/>
      </c>
      <c r="V21" s="38">
        <f>V5+V20</f>
        <v/>
      </c>
      <c r="W21" s="38">
        <f>W5+W20</f>
        <v/>
      </c>
      <c r="X21" s="38">
        <f>X5+X20</f>
        <v/>
      </c>
      <c r="Y21" s="38">
        <f>Y5+Y20</f>
        <v/>
      </c>
      <c r="Z21" s="38">
        <f>Z5+Z20</f>
        <v/>
      </c>
      <c r="AA21" s="38">
        <f>AA5+AA20</f>
        <v/>
      </c>
      <c r="AB21" s="38">
        <f>AB5+AB20</f>
        <v/>
      </c>
      <c r="AC21" s="38">
        <f>AC5+AC20</f>
        <v/>
      </c>
      <c r="AD21" s="38">
        <f>AD5+AD20</f>
        <v/>
      </c>
      <c r="AE21" s="38">
        <f>AE5+AE20</f>
        <v/>
      </c>
      <c r="AF21" s="38">
        <f>AF5+AF20</f>
        <v/>
      </c>
      <c r="AG21" s="38">
        <f>AG5+AG20</f>
        <v/>
      </c>
      <c r="AH21" s="38">
        <f>AH5+AH20</f>
        <v/>
      </c>
      <c r="AI21" s="38">
        <f>AI5+AI20</f>
        <v/>
      </c>
      <c r="AJ21" s="38">
        <f>AJ5+AJ20</f>
        <v/>
      </c>
      <c r="AK21" s="38">
        <f>AK5+AK20</f>
        <v/>
      </c>
      <c r="AL21" s="38">
        <f>AL5+AL20</f>
        <v/>
      </c>
      <c r="AM21" s="38">
        <f>N21</f>
        <v/>
      </c>
      <c r="AN21" s="38">
        <f>Z21</f>
        <v/>
      </c>
      <c r="AO21" s="38">
        <f>AL21</f>
        <v/>
      </c>
      <c r="AP21" s="38">
        <f>AL21</f>
        <v/>
      </c>
    </row>
    <row r="22" ht="4" customHeight="1"/>
    <row r="23">
      <c r="A23" s="6" t="inlineStr">
        <is>
          <t>Mémo — TVA collectée du mois</t>
        </is>
      </c>
      <c r="C23" s="23">
        <f>Revenus!C11</f>
        <v/>
      </c>
      <c r="D23" s="23">
        <f>Revenus!D11</f>
        <v/>
      </c>
      <c r="E23" s="23">
        <f>Revenus!E11</f>
        <v/>
      </c>
      <c r="F23" s="23">
        <f>Revenus!F11</f>
        <v/>
      </c>
      <c r="G23" s="23">
        <f>Revenus!G11</f>
        <v/>
      </c>
      <c r="H23" s="23">
        <f>Revenus!H11</f>
        <v/>
      </c>
      <c r="I23" s="23">
        <f>Revenus!I11</f>
        <v/>
      </c>
      <c r="J23" s="23">
        <f>Revenus!J11</f>
        <v/>
      </c>
      <c r="K23" s="23">
        <f>Revenus!K11</f>
        <v/>
      </c>
      <c r="L23" s="23">
        <f>Revenus!L11</f>
        <v/>
      </c>
      <c r="M23" s="23">
        <f>Revenus!M11</f>
        <v/>
      </c>
      <c r="N23" s="23">
        <f>Revenus!N11</f>
        <v/>
      </c>
      <c r="O23" s="23">
        <f>Revenus!O11</f>
        <v/>
      </c>
      <c r="P23" s="23">
        <f>Revenus!P11</f>
        <v/>
      </c>
      <c r="Q23" s="23">
        <f>Revenus!Q11</f>
        <v/>
      </c>
      <c r="R23" s="23">
        <f>Revenus!R11</f>
        <v/>
      </c>
      <c r="S23" s="23">
        <f>Revenus!S11</f>
        <v/>
      </c>
      <c r="T23" s="23">
        <f>Revenus!T11</f>
        <v/>
      </c>
      <c r="U23" s="23">
        <f>Revenus!U11</f>
        <v/>
      </c>
      <c r="V23" s="23">
        <f>Revenus!V11</f>
        <v/>
      </c>
      <c r="W23" s="23">
        <f>Revenus!W11</f>
        <v/>
      </c>
      <c r="X23" s="23">
        <f>Revenus!X11</f>
        <v/>
      </c>
      <c r="Y23" s="23">
        <f>Revenus!Y11</f>
        <v/>
      </c>
      <c r="Z23" s="23">
        <f>Revenus!Z11</f>
        <v/>
      </c>
      <c r="AA23" s="23">
        <f>Revenus!AA11</f>
        <v/>
      </c>
      <c r="AB23" s="23">
        <f>Revenus!AB11</f>
        <v/>
      </c>
      <c r="AC23" s="23">
        <f>Revenus!AC11</f>
        <v/>
      </c>
      <c r="AD23" s="23">
        <f>Revenus!AD11</f>
        <v/>
      </c>
      <c r="AE23" s="23">
        <f>Revenus!AE11</f>
        <v/>
      </c>
      <c r="AF23" s="23">
        <f>Revenus!AF11</f>
        <v/>
      </c>
      <c r="AG23" s="23">
        <f>Revenus!AG11</f>
        <v/>
      </c>
      <c r="AH23" s="23">
        <f>Revenus!AH11</f>
        <v/>
      </c>
      <c r="AI23" s="23">
        <f>Revenus!AI11</f>
        <v/>
      </c>
      <c r="AJ23" s="23">
        <f>Revenus!AJ11</f>
        <v/>
      </c>
      <c r="AK23" s="23">
        <f>Revenus!AK11</f>
        <v/>
      </c>
      <c r="AL23" s="23">
        <f>Revenus!AL11</f>
        <v/>
      </c>
    </row>
    <row r="24">
      <c r="A24" s="6" t="inlineStr">
        <is>
          <t>Mémo — TVA déductible du mois (estimée)</t>
        </is>
      </c>
      <c r="C24" s="24">
        <f>(C10+C11+C12+C13+C16)*Hypothèses!$C$6</f>
        <v/>
      </c>
      <c r="D24" s="24">
        <f>(D10+D11+D12+D13+D16)*Hypothèses!$C$6</f>
        <v/>
      </c>
      <c r="E24" s="24">
        <f>(E10+E11+E12+E13+E16)*Hypothèses!$C$6</f>
        <v/>
      </c>
      <c r="F24" s="24">
        <f>(F10+F11+F12+F13+F16)*Hypothèses!$C$6</f>
        <v/>
      </c>
      <c r="G24" s="24">
        <f>(G10+G11+G12+G13+G16)*Hypothèses!$C$6</f>
        <v/>
      </c>
      <c r="H24" s="24">
        <f>(H10+H11+H12+H13+H16)*Hypothèses!$C$6</f>
        <v/>
      </c>
      <c r="I24" s="24">
        <f>(I10+I11+I12+I13+I16)*Hypothèses!$C$6</f>
        <v/>
      </c>
      <c r="J24" s="24">
        <f>(J10+J11+J12+J13+J16)*Hypothèses!$C$6</f>
        <v/>
      </c>
      <c r="K24" s="24">
        <f>(K10+K11+K12+K13+K16)*Hypothèses!$C$6</f>
        <v/>
      </c>
      <c r="L24" s="24">
        <f>(L10+L11+L12+L13+L16)*Hypothèses!$C$6</f>
        <v/>
      </c>
      <c r="M24" s="24">
        <f>(M10+M11+M12+M13+M16)*Hypothèses!$C$6</f>
        <v/>
      </c>
      <c r="N24" s="24">
        <f>(N10+N11+N12+N13+N16)*Hypothèses!$C$6</f>
        <v/>
      </c>
      <c r="O24" s="24">
        <f>(O10+O11+O12+O13+O16)*Hypothèses!$C$6</f>
        <v/>
      </c>
      <c r="P24" s="24">
        <f>(P10+P11+P12+P13+P16)*Hypothèses!$C$6</f>
        <v/>
      </c>
      <c r="Q24" s="24">
        <f>(Q10+Q11+Q12+Q13+Q16)*Hypothèses!$C$6</f>
        <v/>
      </c>
      <c r="R24" s="24">
        <f>(R10+R11+R12+R13+R16)*Hypothèses!$C$6</f>
        <v/>
      </c>
      <c r="S24" s="24">
        <f>(S10+S11+S12+S13+S16)*Hypothèses!$C$6</f>
        <v/>
      </c>
      <c r="T24" s="24">
        <f>(T10+T11+T12+T13+T16)*Hypothèses!$C$6</f>
        <v/>
      </c>
      <c r="U24" s="24">
        <f>(U10+U11+U12+U13+U16)*Hypothèses!$C$6</f>
        <v/>
      </c>
      <c r="V24" s="24">
        <f>(V10+V11+V12+V13+V16)*Hypothèses!$C$6</f>
        <v/>
      </c>
      <c r="W24" s="24">
        <f>(W10+W11+W12+W13+W16)*Hypothèses!$C$6</f>
        <v/>
      </c>
      <c r="X24" s="24">
        <f>(X10+X11+X12+X13+X16)*Hypothèses!$C$6</f>
        <v/>
      </c>
      <c r="Y24" s="24">
        <f>(Y10+Y11+Y12+Y13+Y16)*Hypothèses!$C$6</f>
        <v/>
      </c>
      <c r="Z24" s="24">
        <f>(Z10+Z11+Z12+Z13+Z16)*Hypothèses!$C$6</f>
        <v/>
      </c>
      <c r="AA24" s="24">
        <f>(AA10+AA11+AA12+AA13+AA16)*Hypothèses!$C$6</f>
        <v/>
      </c>
      <c r="AB24" s="24">
        <f>(AB10+AB11+AB12+AB13+AB16)*Hypothèses!$C$6</f>
        <v/>
      </c>
      <c r="AC24" s="24">
        <f>(AC10+AC11+AC12+AC13+AC16)*Hypothèses!$C$6</f>
        <v/>
      </c>
      <c r="AD24" s="24">
        <f>(AD10+AD11+AD12+AD13+AD16)*Hypothèses!$C$6</f>
        <v/>
      </c>
      <c r="AE24" s="24">
        <f>(AE10+AE11+AE12+AE13+AE16)*Hypothèses!$C$6</f>
        <v/>
      </c>
      <c r="AF24" s="24">
        <f>(AF10+AF11+AF12+AF13+AF16)*Hypothèses!$C$6</f>
        <v/>
      </c>
      <c r="AG24" s="24">
        <f>(AG10+AG11+AG12+AG13+AG16)*Hypothèses!$C$6</f>
        <v/>
      </c>
      <c r="AH24" s="24">
        <f>(AH10+AH11+AH12+AH13+AH16)*Hypothèses!$C$6</f>
        <v/>
      </c>
      <c r="AI24" s="24">
        <f>(AI10+AI11+AI12+AI13+AI16)*Hypothèses!$C$6</f>
        <v/>
      </c>
      <c r="AJ24" s="24">
        <f>(AJ10+AJ11+AJ12+AJ13+AJ16)*Hypothèses!$C$6</f>
        <v/>
      </c>
      <c r="AK24" s="24">
        <f>(AK10+AK11+AK12+AK13+AK16)*Hypothèses!$C$6</f>
        <v/>
      </c>
      <c r="AL24" s="24">
        <f>(AL10+AL11+AL12+AL13+AL16)*Hypothèses!$C$6</f>
        <v/>
      </c>
    </row>
    <row r="25">
      <c r="A25" s="6" t="inlineStr">
        <is>
          <t>Mémo — TVA nette du mois</t>
        </is>
      </c>
      <c r="C25" s="24">
        <f>C23-C24</f>
        <v/>
      </c>
      <c r="D25" s="24">
        <f>D23-D24</f>
        <v/>
      </c>
      <c r="E25" s="24">
        <f>E23-E24</f>
        <v/>
      </c>
      <c r="F25" s="24">
        <f>F23-F24</f>
        <v/>
      </c>
      <c r="G25" s="24">
        <f>G23-G24</f>
        <v/>
      </c>
      <c r="H25" s="24">
        <f>H23-H24</f>
        <v/>
      </c>
      <c r="I25" s="24">
        <f>I23-I24</f>
        <v/>
      </c>
      <c r="J25" s="24">
        <f>J23-J24</f>
        <v/>
      </c>
      <c r="K25" s="24">
        <f>K23-K24</f>
        <v/>
      </c>
      <c r="L25" s="24">
        <f>L23-L24</f>
        <v/>
      </c>
      <c r="M25" s="24">
        <f>M23-M24</f>
        <v/>
      </c>
      <c r="N25" s="24">
        <f>N23-N24</f>
        <v/>
      </c>
      <c r="O25" s="24">
        <f>O23-O24</f>
        <v/>
      </c>
      <c r="P25" s="24">
        <f>P23-P24</f>
        <v/>
      </c>
      <c r="Q25" s="24">
        <f>Q23-Q24</f>
        <v/>
      </c>
      <c r="R25" s="24">
        <f>R23-R24</f>
        <v/>
      </c>
      <c r="S25" s="24">
        <f>S23-S24</f>
        <v/>
      </c>
      <c r="T25" s="24">
        <f>T23-T24</f>
        <v/>
      </c>
      <c r="U25" s="24">
        <f>U23-U24</f>
        <v/>
      </c>
      <c r="V25" s="24">
        <f>V23-V24</f>
        <v/>
      </c>
      <c r="W25" s="24">
        <f>W23-W24</f>
        <v/>
      </c>
      <c r="X25" s="24">
        <f>X23-X24</f>
        <v/>
      </c>
      <c r="Y25" s="24">
        <f>Y23-Y24</f>
        <v/>
      </c>
      <c r="Z25" s="24">
        <f>Z23-Z24</f>
        <v/>
      </c>
      <c r="AA25" s="24">
        <f>AA23-AA24</f>
        <v/>
      </c>
      <c r="AB25" s="24">
        <f>AB23-AB24</f>
        <v/>
      </c>
      <c r="AC25" s="24">
        <f>AC23-AC24</f>
        <v/>
      </c>
      <c r="AD25" s="24">
        <f>AD23-AD24</f>
        <v/>
      </c>
      <c r="AE25" s="24">
        <f>AE23-AE24</f>
        <v/>
      </c>
      <c r="AF25" s="24">
        <f>AF23-AF24</f>
        <v/>
      </c>
      <c r="AG25" s="24">
        <f>AG23-AG24</f>
        <v/>
      </c>
      <c r="AH25" s="24">
        <f>AH23-AH24</f>
        <v/>
      </c>
      <c r="AI25" s="24">
        <f>AI23-AI24</f>
        <v/>
      </c>
      <c r="AJ25" s="24">
        <f>AJ23-AJ24</f>
        <v/>
      </c>
      <c r="AK25" s="24">
        <f>AK23-AK24</f>
        <v/>
      </c>
      <c r="AL25" s="24">
        <f>AL23-AL24</f>
        <v/>
      </c>
    </row>
  </sheetData>
  <mergeCells count="7">
    <mergeCell ref="AA3:AL3"/>
    <mergeCell ref="O3:Z3"/>
    <mergeCell ref="A2:O2"/>
    <mergeCell ref="A9:AP9"/>
    <mergeCell ref="A6:AP6"/>
    <mergeCell ref="A1:O1"/>
    <mergeCell ref="C3:N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46" customWidth="1" min="3" max="3"/>
    <col width="56" customWidth="1" min="4" max="4"/>
  </cols>
  <sheetData>
    <row r="1" ht="22" customHeight="1">
      <c r="A1" s="1" t="inlineStr">
        <is>
          <t>BTP — Benchmarks &amp; sources</t>
        </is>
      </c>
    </row>
    <row r="2" ht="16" customHeight="1">
      <c r="A2" s="2" t="inlineStr">
        <is>
          <t>Ratios sectoriels retenus pour construire les hypothèses du modèle</t>
        </is>
      </c>
    </row>
    <row r="3" ht="30" customHeight="1">
      <c r="A3" s="22" t="inlineStr">
        <is>
          <t>Indicateur</t>
        </is>
      </c>
      <c r="B3" s="22" t="inlineStr">
        <is>
          <t>Valeur retenue</t>
        </is>
      </c>
      <c r="C3" s="22" t="inlineStr">
        <is>
          <t>Source</t>
        </is>
      </c>
      <c r="D3" s="22" t="inlineStr">
        <is>
          <t>Commentaire</t>
        </is>
      </c>
    </row>
    <row r="4" ht="32" customHeight="1">
      <c r="A4" s="43" t="inlineStr">
        <is>
          <t>Valeur ajoutée / CA (Gros-Œuvre, 2020)</t>
        </is>
      </c>
      <c r="B4" s="43" t="inlineStr">
        <is>
          <t>34,6 %</t>
        </is>
      </c>
      <c r="C4" s="43" t="inlineStr">
        <is>
          <t>Audrex — tissu économique &amp; ratios financiers BTP</t>
        </is>
      </c>
      <c r="D4" s="44" t="inlineStr">
        <is>
          <t>Sert à calibrer le poids des achats/sous-traitance vs personnel.</t>
        </is>
      </c>
    </row>
    <row r="5" ht="32" customHeight="1">
      <c r="A5" s="43" t="inlineStr">
        <is>
          <t>Charges de personnel / Valeur ajoutée</t>
        </is>
      </c>
      <c r="B5" s="43" t="inlineStr">
        <is>
          <t>≈ 82 %</t>
        </is>
      </c>
      <c r="C5" s="43" t="inlineStr">
        <is>
          <t>Audrex</t>
        </is>
      </c>
      <c r="D5" s="44" t="inlineStr">
        <is>
          <t>Soit ≈27-28% du CA en charges de personnel ; le modèle retient ≈27,5% en Année 1.</t>
        </is>
      </c>
    </row>
    <row r="6" ht="32" customHeight="1">
      <c r="A6" s="43" t="inlineStr">
        <is>
          <t>Rentabilité nette (Gros-Œuvre, 2020)</t>
        </is>
      </c>
      <c r="B6" s="43" t="inlineStr">
        <is>
          <t>≈ 3,0 %</t>
        </is>
      </c>
      <c r="C6" s="43" t="inlineStr">
        <is>
          <t>Audrex / BTP Banque — Étude santé financière 2021</t>
        </is>
      </c>
      <c r="D6" s="44" t="inlineStr">
        <is>
          <t>Cible basse du modèle en Année 1 ; la marge se resserre encore sur 3 ans (inflation achats 3,5%/an &gt; croissance CA 2,5%/an).</t>
        </is>
      </c>
    </row>
    <row r="7" ht="32" customHeight="1">
      <c r="A7" s="43" t="inlineStr">
        <is>
          <t>Productivité</t>
        </is>
      </c>
      <c r="B7" s="43" t="inlineStr">
        <is>
          <t>≈ 214 k€ / ETP</t>
        </is>
      </c>
      <c r="C7" s="43" t="inlineStr">
        <is>
          <t>Audrex</t>
        </is>
      </c>
      <c r="D7" s="44" t="inlineStr">
        <is>
          <t>Utilisé pour calibrer l'effectif (≈7 ETP pour 1,5M€ de CA).</t>
        </is>
      </c>
    </row>
    <row r="8" ht="32" customHeight="1">
      <c r="A8" s="43" t="inlineStr">
        <is>
          <t>Délai de paiement clients</t>
        </is>
      </c>
      <c r="B8" s="43" t="inlineStr">
        <is>
          <t>≈ 87 jours (gros œuvre, étude citée) ; 45j légal (LME)</t>
        </is>
      </c>
      <c r="C8" s="43" t="inlineStr">
        <is>
          <t>Audrex ; Payflo — loi LME</t>
        </is>
      </c>
      <c r="D8" s="44" t="inlineStr">
        <is>
          <t>Modèle retient 45j (50%/50% M-1/M-2), hypothèse médiane et modifiable.</t>
        </is>
      </c>
    </row>
    <row r="9" ht="32" customHeight="1">
      <c r="A9" s="43" t="inlineStr">
        <is>
          <t>Délai légal de paiement BTP (factures périodiques)</t>
        </is>
      </c>
      <c r="B9" s="43" t="inlineStr">
        <is>
          <t>45 jours fin de mois ou 60 jours nets</t>
        </is>
      </c>
      <c r="C9" s="43" t="inlineStr">
        <is>
          <t>Payflo — Loi LME</t>
        </is>
      </c>
      <c r="D9" s="44" t="inlineStr">
        <is>
          <t>Base réglementaire du décalage modélisé.</t>
        </is>
      </c>
    </row>
    <row r="10" ht="32" customHeight="1">
      <c r="A10" s="43" t="inlineStr">
        <is>
          <t>Prix ciment (42.5 N, livré)</t>
        </is>
      </c>
      <c r="B10" s="43" t="inlineStr">
        <is>
          <t>≈ 115,5 €/t HT</t>
        </is>
      </c>
      <c r="C10" s="43" t="inlineStr">
        <is>
          <t>Recherche prix négoce matériaux 2025</t>
        </is>
      </c>
      <c r="D10" s="44" t="inlineStr">
        <is>
          <t>Prix en dur inflaté 3,5%/an (non cotable via API gratuite identifiée).</t>
        </is>
      </c>
    </row>
    <row r="11" ht="32" customHeight="1">
      <c r="A11" s="43" t="inlineStr">
        <is>
          <t>Prix béton prêt à l'emploi</t>
        </is>
      </c>
      <c r="B11" s="43" t="inlineStr">
        <is>
          <t>120 à 180 €/m³ livré</t>
        </is>
      </c>
      <c r="C11" s="43" t="inlineStr">
        <is>
          <t>RCRF / Mager / Hellopro — guides prix béton 2025-2026</t>
        </is>
      </c>
      <c r="D11" s="44" t="inlineStr">
        <is>
          <t>Milieu de fourchette retenu (140€/m³ Année 1).</t>
        </is>
      </c>
    </row>
    <row r="12" ht="32" customHeight="1">
      <c r="A12" s="43" t="inlineStr">
        <is>
          <t>Prix acier construction (neuf)</t>
        </is>
      </c>
      <c r="B12" s="43" t="inlineStr">
        <is>
          <t>600 à 1 000 €/t ; ferraille recyclage 140-280€/t</t>
        </is>
      </c>
      <c r="C12" s="43" t="inlineStr">
        <is>
          <t>Ste-Ardechoise / Metaloop / OptiBudget</t>
        </is>
      </c>
      <c r="D12" s="44" t="inlineStr">
        <is>
          <t>Simulation mensuelle calibrée (marche aléatoire), ligne marquée « placeholder API marché ».</t>
        </is>
      </c>
    </row>
    <row r="13" ht="32" customHeight="1">
      <c r="A13" s="43" t="inlineStr">
        <is>
          <t>Assurance décennale — exemple de prime</t>
        </is>
      </c>
      <c r="B13" s="43" t="inlineStr">
        <is>
          <t>≈ 2 440 €/an (artisan)</t>
        </is>
      </c>
      <c r="C13" s="43" t="inlineStr">
        <is>
          <t>Aric-assurances / SMABTP</t>
        </is>
      </c>
      <c r="D13" s="44" t="inlineStr">
        <is>
          <t>Majorée dans le modèle pour une structure à 1,5M€ de CA (~9 000€/an Année 1, inflatée ensuite).</t>
        </is>
      </c>
    </row>
    <row r="14" ht="32" customHeight="1">
      <c r="A14" s="43" t="inlineStr">
        <is>
          <t>Saisonnalité — congés d'été BTP</t>
        </is>
      </c>
      <c r="B14" s="43" t="inlineStr">
        <is>
          <t>Ralentissement marqué en juillet-août</t>
        </is>
      </c>
      <c r="C14" s="43" t="inlineStr">
        <is>
          <t>Batiactu — « Travaux publics : un été bien morose »</t>
        </is>
      </c>
      <c r="D14" s="44" t="inlineStr">
        <is>
          <t>Indice 0,55 retenu pour août ; motif répété chaque année.</t>
        </is>
      </c>
    </row>
    <row r="15" ht="32" customHeight="1">
      <c r="A15" s="43" t="inlineStr">
        <is>
          <t>Saisonnalité — hiver / intempéries</t>
        </is>
      </c>
      <c r="B15" s="43" t="inlineStr">
        <is>
          <t>Arrêts de chantiers « chantiers noirs » par grand froid</t>
        </is>
      </c>
      <c r="C15" s="43" t="inlineStr">
        <is>
          <t>Habitat Presto — grand froid et chantiers BTP</t>
        </is>
      </c>
      <c r="D15" s="44" t="inlineStr">
        <is>
          <t>Indices 0,85 (janvier) et 0,80 (décembre) retenus.</t>
        </is>
      </c>
    </row>
    <row r="16" ht="32" customHeight="1">
      <c r="A16" s="43" t="inlineStr">
        <is>
          <t>API de prix de marché disponibles (gratuites)</t>
        </is>
      </c>
      <c r="B16" s="43" t="inlineStr">
        <is>
          <t>Alpha Vantage (clé demo) : WTI, BRENT (carburant), COPPER, ALUMINUM, WHEAT, SUGAR...</t>
        </is>
      </c>
      <c r="C16" s="43" t="inlineStr">
        <is>
          <t>https://www.alphavantage.co/query?function=WTI&amp;interval=monthly&amp;apikey=demo</t>
        </is>
      </c>
      <c r="D16" s="44" t="inlineStr">
        <is>
          <t>À connecter sur les lignes carburant/acier (fond orange) à la place de la simulation.</t>
        </is>
      </c>
    </row>
    <row r="17" ht="32" customHeight="1">
      <c r="A17" s="43" t="inlineStr">
        <is>
          <t>Données énergie France</t>
        </is>
      </c>
      <c r="B17" s="43" t="inlineStr">
        <is>
          <t>SDES (ex-Pégase) — prix moyens électricité professionnels</t>
        </is>
      </c>
      <c r="C17" s="43" t="inlineStr">
        <is>
          <t>https://www.statistiques.developpement-durable.gouv.fr</t>
        </is>
      </c>
      <c r="D17" s="44" t="inlineStr">
        <is>
          <t>À utiliser pour actualiser le prix de l'électricité atelier.</t>
        </is>
      </c>
    </row>
    <row r="18" ht="32" customHeight="1">
      <c r="A18" s="43" t="inlineStr">
        <is>
          <t>Tarif Bleu Pro EDF (Base, ≤36kVA)</t>
        </is>
      </c>
      <c r="B18" s="43" t="inlineStr">
        <is>
          <t>0,1583 €/kWh HT (depuis 02/2025)</t>
        </is>
      </c>
      <c r="C18" s="43" t="inlineStr">
        <is>
          <t>Opéra Énergie / Selectra</t>
        </is>
      </c>
      <c r="D18" s="44" t="inlineStr">
        <is>
          <t>Base de départ pour la simulation mensuelle (révisions tarifaires ~2x/an).</t>
        </is>
      </c>
    </row>
    <row r="19" ht="32" customHeight="1">
      <c r="A19" s="43" t="inlineStr">
        <is>
          <t>Simulation des prix de marché mensuels</t>
        </is>
      </c>
      <c r="B19" s="43" t="inlineStr">
        <is>
          <t>Marche aléatoire calibrée (drift + volatilité) autour des niveaux sourcés</t>
        </is>
      </c>
      <c r="C19" s="43" t="inlineStr">
        <is>
          <t>Méthodologie interne (fonction simulate_price_series)</t>
        </is>
      </c>
      <c r="D19" s="44" t="inlineStr">
        <is>
          <t>Remplace une inflation lissée par une vraie variation mois par mois sur acier, GNR, carburant véhicules, électricité.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2026-06-27T15:27:18Z</dcterms:created>
  <dcterms:modified xsi:type="dcterms:W3CDTF">2026-06-27T15:27:18Z</dcterms:modified>
</cp:coreProperties>
</file>