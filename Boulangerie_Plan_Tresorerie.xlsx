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èses" sheetId="1" state="visible" r:id="rId1"/>
    <sheet name="Revenus" sheetId="2" state="visible" r:id="rId2"/>
    <sheet name="Dépenses détaillées" sheetId="3" state="visible" r:id="rId3"/>
    <sheet name="Plan de trésorerie" sheetId="4" state="visible" r:id="rId4"/>
    <sheet name="Benchmarks &amp;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i val="1"/>
      <color rgb="00595959"/>
      <sz val="10"/>
    </font>
    <font>
      <name val="Arial"/>
      <color rgb="00000000"/>
      <sz val="10"/>
    </font>
    <font>
      <name val="Arial"/>
      <color rgb="001F4E78"/>
      <sz val="10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color rgb="002E7D32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B6"/>
        <bgColor rgb="00FCE4B6"/>
      </patternFill>
    </fill>
    <fill>
      <patternFill patternType="solid">
        <fgColor rgb="002E5395"/>
        <bgColor rgb="002E5395"/>
      </patternFill>
    </fill>
    <fill>
      <patternFill patternType="solid">
        <fgColor rgb="003E6FB0"/>
        <bgColor rgb="003E6FB0"/>
      </patternFill>
    </fill>
    <fill>
      <patternFill patternType="solid">
        <fgColor rgb="005B8BC4"/>
        <bgColor rgb="005B8BC4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165" fontId="3" fillId="0" borderId="0" pivotButton="0" quotePrefix="0" xfId="0"/>
    <xf numFmtId="0" fontId="6" fillId="2" borderId="1" applyAlignment="1" pivotButton="0" quotePrefix="0" xfId="0">
      <alignment horizontal="center"/>
    </xf>
    <xf numFmtId="4" fontId="4" fillId="0" borderId="1" pivotButton="0" quotePrefix="0" xfId="0"/>
    <xf numFmtId="165" fontId="3" fillId="0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0" fillId="3" borderId="0" pivotButton="0" quotePrefix="0" xfId="0"/>
    <xf numFmtId="0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wrapText="1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164" fontId="8" fillId="0" borderId="1" pivotButton="0" quotePrefix="0" xfId="0"/>
    <xf numFmtId="164" fontId="3" fillId="0" borderId="1" pivotButton="0" quotePrefix="0" xfId="0"/>
    <xf numFmtId="0" fontId="10" fillId="7" borderId="0" pivotButton="0" quotePrefix="0" xfId="0"/>
    <xf numFmtId="164" fontId="10" fillId="7" borderId="1" pivotButton="0" quotePrefix="0" xfId="0"/>
    <xf numFmtId="165" fontId="5" fillId="0" borderId="0" pivotButton="0" quotePrefix="0" xfId="0"/>
    <xf numFmtId="0" fontId="3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4" fontId="3" fillId="0" borderId="1" pivotButton="0" quotePrefix="0" xfId="0"/>
    <xf numFmtId="0" fontId="5" fillId="0" borderId="1" applyAlignment="1" pivotButton="0" quotePrefix="0" xfId="0">
      <alignment wrapText="1"/>
    </xf>
    <xf numFmtId="4" fontId="4" fillId="3" borderId="1" pivotButton="0" quotePrefix="0" xfId="0"/>
    <xf numFmtId="3" fontId="4" fillId="0" borderId="1" pivotButton="0" quotePrefix="0" xfId="0"/>
    <xf numFmtId="0" fontId="0" fillId="7" borderId="0" pivotButton="0" quotePrefix="0" xfId="0"/>
    <xf numFmtId="0" fontId="6" fillId="2" borderId="0" pivotButton="0" quotePrefix="0" xfId="0"/>
    <xf numFmtId="0" fontId="0" fillId="2" borderId="0" pivotButton="0" quotePrefix="0" xfId="0"/>
    <xf numFmtId="164" fontId="6" fillId="2" borderId="1" pivotButton="0" quotePrefix="0" xfId="0"/>
    <xf numFmtId="165" fontId="8" fillId="0" borderId="0" pivotButton="0" quotePrefix="0" xfId="0"/>
    <xf numFmtId="0" fontId="10" fillId="0" borderId="0" pivotButton="0" quotePrefix="0" xfId="0"/>
    <xf numFmtId="0" fontId="11" fillId="8" borderId="0" pivotButton="0" quotePrefix="0" xfId="0"/>
    <xf numFmtId="164" fontId="10" fillId="0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2" customHeight="1">
      <c r="A1" s="1" t="inlineStr">
        <is>
          <t>Boulangerie artisanale — Hypothèses</t>
        </is>
      </c>
    </row>
    <row r="2" ht="16" customHeight="1">
      <c r="A2" s="2" t="inlineStr">
        <is>
          <t>Métier : boulangerie-pâtisserie artisanale | CA cible ≈ 310 k€ en Année 1, sur 3 ans | Cellules bleues = modifiables</t>
        </is>
      </c>
    </row>
    <row r="4">
      <c r="A4" s="3" t="inlineStr">
        <is>
          <t>Chiffre d'affaires annuel HT — Année 1 (€)</t>
        </is>
      </c>
      <c r="C4" s="4" t="n">
        <v>310000</v>
      </c>
    </row>
    <row r="5">
      <c r="A5" s="3" t="inlineStr">
        <is>
          <t>Taux de TVA moyen sur les ventes (%)</t>
        </is>
      </c>
      <c r="C5" s="5" t="n">
        <v>0.055</v>
      </c>
    </row>
    <row r="6">
      <c r="A6" s="3" t="inlineStr">
        <is>
          <t>Taux de TVA moyen sur les achats (%)</t>
        </is>
      </c>
      <c r="C6" s="5" t="n">
        <v>0.11</v>
      </c>
    </row>
    <row r="7">
      <c r="A7" s="3" t="inlineStr">
        <is>
          <t>Trésorerie disponible au 1er janvier Année 1 (€)</t>
        </is>
      </c>
      <c r="C7" s="4" t="n">
        <v>12000</v>
      </c>
    </row>
    <row r="8">
      <c r="A8" s="3" t="inlineStr">
        <is>
          <t>Cotisations sociales du dirigeant (TNS) — par trimestre, Année 1 (€)</t>
        </is>
      </c>
      <c r="C8" s="4" t="n">
        <v>3200</v>
      </c>
    </row>
    <row r="9">
      <c r="A9" s="3" t="inlineStr">
        <is>
          <t>Remboursement emprunt matériel — mensualité fixe (€)</t>
        </is>
      </c>
      <c r="C9" s="4" t="n">
        <v>480</v>
      </c>
    </row>
    <row r="10">
      <c r="A10" s="3" t="inlineStr">
        <is>
          <t>Part du CA encaissée le mois même (vente comptoir cash/CB) (%)</t>
        </is>
      </c>
      <c r="C10" s="5" t="n">
        <v>1</v>
      </c>
    </row>
    <row r="11">
      <c r="A11" s="3" t="inlineStr">
        <is>
          <t>Part du CA encaissée à M-1 (%)</t>
        </is>
      </c>
      <c r="C11" s="5" t="n">
        <v>0</v>
      </c>
    </row>
    <row r="12">
      <c r="A12" s="3" t="inlineStr">
        <is>
          <t>Part du CA encaissée à M-2 (%)</t>
        </is>
      </c>
      <c r="C12" s="5" t="n">
        <v>0</v>
      </c>
      <c r="D12" s="6" t="inlineStr">
        <is>
          <t>Contrôle (doit = 100%)</t>
        </is>
      </c>
      <c r="E12" s="7">
        <f>C10+C11+C12</f>
        <v/>
      </c>
    </row>
    <row r="13">
      <c r="A13" s="3" t="inlineStr">
        <is>
          <t>Taux de croissance du CA — par an (%)</t>
        </is>
      </c>
      <c r="C13" s="5" t="n">
        <v>0.025</v>
      </c>
    </row>
    <row r="14">
      <c r="A14" s="3" t="inlineStr">
        <is>
          <t>Taux d'inflation des prix d'achat — par an (%)</t>
        </is>
      </c>
      <c r="C14" s="5" t="n">
        <v>0.03</v>
      </c>
    </row>
    <row r="16">
      <c r="A16" s="3" t="inlineStr">
        <is>
          <t>Mois (motif répété chaque année)</t>
        </is>
      </c>
      <c r="C16" s="8" t="inlineStr">
        <is>
          <t>Jan</t>
        </is>
      </c>
      <c r="D16" s="8" t="inlineStr">
        <is>
          <t>Fév</t>
        </is>
      </c>
      <c r="E16" s="8" t="inlineStr">
        <is>
          <t>Mar</t>
        </is>
      </c>
      <c r="F16" s="8" t="inlineStr">
        <is>
          <t>Avr</t>
        </is>
      </c>
      <c r="G16" s="8" t="inlineStr">
        <is>
          <t>Mai</t>
        </is>
      </c>
      <c r="H16" s="8" t="inlineStr">
        <is>
          <t>Jui</t>
        </is>
      </c>
      <c r="I16" s="8" t="inlineStr">
        <is>
          <t>Jui</t>
        </is>
      </c>
      <c r="J16" s="8" t="inlineStr">
        <is>
          <t>Aoû</t>
        </is>
      </c>
      <c r="K16" s="8" t="inlineStr">
        <is>
          <t>Sep</t>
        </is>
      </c>
      <c r="L16" s="8" t="inlineStr">
        <is>
          <t>Oct</t>
        </is>
      </c>
      <c r="M16" s="8" t="inlineStr">
        <is>
          <t>Nov</t>
        </is>
      </c>
      <c r="N16" s="8" t="inlineStr">
        <is>
          <t>Déc</t>
        </is>
      </c>
    </row>
    <row r="17">
      <c r="A17" s="3" t="inlineStr">
        <is>
          <t>Indice de saisonnalité (1 = mois moyen)</t>
        </is>
      </c>
      <c r="C17" s="9" t="n">
        <v>1.08</v>
      </c>
      <c r="D17" s="9" t="n">
        <v>0.97</v>
      </c>
      <c r="E17" s="9" t="n">
        <v>0.98</v>
      </c>
      <c r="F17" s="9" t="n">
        <v>1.03</v>
      </c>
      <c r="G17" s="9" t="n">
        <v>1</v>
      </c>
      <c r="H17" s="9" t="n">
        <v>0.97</v>
      </c>
      <c r="I17" s="9" t="n">
        <v>0.93</v>
      </c>
      <c r="J17" s="9" t="n">
        <v>0.75</v>
      </c>
      <c r="K17" s="9" t="n">
        <v>1.02</v>
      </c>
      <c r="L17" s="9" t="n">
        <v>1.02</v>
      </c>
      <c r="M17" s="9" t="n">
        <v>1.02</v>
      </c>
      <c r="N17" s="9" t="n">
        <v>1.18</v>
      </c>
    </row>
    <row r="18">
      <c r="A18" s="3" t="inlineStr">
        <is>
          <t>Poids du mois dans l'année (%, normalisé)</t>
        </is>
      </c>
      <c r="C18" s="10">
        <f>C17/SUM($C$17:$N$17)</f>
        <v/>
      </c>
      <c r="D18" s="10">
        <f>D17/SUM($C$17:$N$17)</f>
        <v/>
      </c>
      <c r="E18" s="10">
        <f>E17/SUM($C$17:$N$17)</f>
        <v/>
      </c>
      <c r="F18" s="10">
        <f>F17/SUM($C$17:$N$17)</f>
        <v/>
      </c>
      <c r="G18" s="10">
        <f>G17/SUM($C$17:$N$17)</f>
        <v/>
      </c>
      <c r="H18" s="10">
        <f>H17/SUM($C$17:$N$17)</f>
        <v/>
      </c>
      <c r="I18" s="10">
        <f>I17/SUM($C$17:$N$17)</f>
        <v/>
      </c>
      <c r="J18" s="10">
        <f>J17/SUM($C$17:$N$17)</f>
        <v/>
      </c>
      <c r="K18" s="10">
        <f>K17/SUM($C$17:$N$17)</f>
        <v/>
      </c>
      <c r="L18" s="10">
        <f>L17/SUM($C$17:$N$17)</f>
        <v/>
      </c>
      <c r="M18" s="10">
        <f>M17/SUM($C$17:$N$17)</f>
        <v/>
      </c>
      <c r="N18" s="10">
        <f>N17/SUM($C$17:$N$17)</f>
        <v/>
      </c>
    </row>
    <row r="20" ht="28" customHeight="1">
      <c r="A20" s="6" t="inlineStr">
        <is>
          <t>Note saisonnalité : -25% en août (congés), pic +18% en décembre (fêtes), +8% en janvier (galette des rois). Ce même profil se répète à l'identique chaque année.</t>
        </is>
      </c>
    </row>
    <row r="21" ht="42" customHeight="1">
      <c r="A21" s="6" t="inlineStr">
        <is>
          <t>Note TVA : les ventes de boulangerie sont taxées à 5,5% alors que les achats (énergie, services, équipement) sont en grande partie à 20% → la boulangerie est structurellement en CRÉDIT de TVA. C'est pourquoi le décaissement TVA du Plan de trésorerie reste à 0 dans ce scénario (résultat cohérent, pas une erreur).</t>
        </is>
      </c>
    </row>
    <row r="22" ht="42" customHeight="1">
      <c r="A22" s="6" t="inlineStr">
        <is>
          <t>Note évolution 3 ans : le CA croît de 2,5%/an mais les prix d'achat augmentent de 3%/an (hausse non totalement répercutée sur les prix de vente) → la marge se resserre progressivement (≈7,6% → 2,3% → 1,9%), comme observé sur le secteur en 2023-2025. Les lignes « commodités » (farine, sucre, chocolat, électricité, gaz) utilisent en plus une simulation de fluctuation mensuelle réaliste (pas une simple inflation lissée).</t>
        </is>
      </c>
    </row>
    <row r="24">
      <c r="A24" s="11" t="inlineStr">
        <is>
          <t>Légende</t>
        </is>
      </c>
    </row>
    <row r="25">
      <c r="A25" s="12" t="inlineStr">
        <is>
          <t>■</t>
        </is>
      </c>
      <c r="B25" s="6" t="inlineStr">
        <is>
          <t>Saisie modifiable (hypothèse)</t>
        </is>
      </c>
    </row>
    <row r="26">
      <c r="A26" s="3" t="inlineStr">
        <is>
          <t>■</t>
        </is>
      </c>
      <c r="B26" s="6" t="inlineStr">
        <is>
          <t>Formule calculée automatiquement</t>
        </is>
      </c>
    </row>
    <row r="27">
      <c r="A27" s="13" t="inlineStr">
        <is>
          <t>■</t>
        </is>
      </c>
      <c r="B27" s="6" t="inlineStr">
        <is>
          <t>Lien vers un autre onglet</t>
        </is>
      </c>
    </row>
    <row r="28">
      <c r="A28" s="14" t="inlineStr">
        <is>
          <t>■</t>
        </is>
      </c>
      <c r="B28" s="6" t="inlineStr">
        <is>
          <t>Prix indicatif en attente de connexion à une API de prix de marché (voir onglet Benchmarks &amp; sources)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2" customHeight="1">
      <c r="A1" s="1" t="inlineStr">
        <is>
          <t>Boulangerie — Revenus mensuels (3 ans)</t>
        </is>
      </c>
    </row>
    <row r="2" ht="16" customHeight="1">
      <c r="A2" s="2" t="inlineStr">
        <is>
          <t>Répartition du CA par famille de produits × saisonnalité × croissance annuelle (lien automatique vers Hypothèses)</t>
        </is>
      </c>
    </row>
    <row r="3" ht="14" customHeight="1">
      <c r="C3" s="15" t="inlineStr">
        <is>
          <t>ANNÉE 1</t>
        </is>
      </c>
      <c r="O3" s="16" t="inlineStr">
        <is>
          <t>ANNÉE 2</t>
        </is>
      </c>
      <c r="AA3" s="17" t="inlineStr">
        <is>
          <t>ANNÉE 3</t>
        </is>
      </c>
    </row>
    <row r="4" ht="16" customHeight="1">
      <c r="A4" s="18" t="inlineStr">
        <is>
          <t>Source de revenus</t>
        </is>
      </c>
      <c r="B4" s="19" t="inlineStr">
        <is>
          <t>% du CA annuel</t>
        </is>
      </c>
      <c r="C4" s="20" t="inlineStr">
        <is>
          <t>Jan A1</t>
        </is>
      </c>
      <c r="D4" s="20" t="inlineStr">
        <is>
          <t>Fév A1</t>
        </is>
      </c>
      <c r="E4" s="20" t="inlineStr">
        <is>
          <t>Mar A1</t>
        </is>
      </c>
      <c r="F4" s="20" t="inlineStr">
        <is>
          <t>Avr A1</t>
        </is>
      </c>
      <c r="G4" s="20" t="inlineStr">
        <is>
          <t>Mai A1</t>
        </is>
      </c>
      <c r="H4" s="20" t="inlineStr">
        <is>
          <t>Jui A1</t>
        </is>
      </c>
      <c r="I4" s="20" t="inlineStr">
        <is>
          <t>Jui A1</t>
        </is>
      </c>
      <c r="J4" s="20" t="inlineStr">
        <is>
          <t>Aoû A1</t>
        </is>
      </c>
      <c r="K4" s="20" t="inlineStr">
        <is>
          <t>Sep A1</t>
        </is>
      </c>
      <c r="L4" s="20" t="inlineStr">
        <is>
          <t>Oct A1</t>
        </is>
      </c>
      <c r="M4" s="20" t="inlineStr">
        <is>
          <t>Nov A1</t>
        </is>
      </c>
      <c r="N4" s="20" t="inlineStr">
        <is>
          <t>Déc A1</t>
        </is>
      </c>
      <c r="O4" s="20" t="inlineStr">
        <is>
          <t>Jan A2</t>
        </is>
      </c>
      <c r="P4" s="20" t="inlineStr">
        <is>
          <t>Fév A2</t>
        </is>
      </c>
      <c r="Q4" s="20" t="inlineStr">
        <is>
          <t>Mar A2</t>
        </is>
      </c>
      <c r="R4" s="20" t="inlineStr">
        <is>
          <t>Avr A2</t>
        </is>
      </c>
      <c r="S4" s="20" t="inlineStr">
        <is>
          <t>Mai A2</t>
        </is>
      </c>
      <c r="T4" s="20" t="inlineStr">
        <is>
          <t>Jui A2</t>
        </is>
      </c>
      <c r="U4" s="20" t="inlineStr">
        <is>
          <t>Jui A2</t>
        </is>
      </c>
      <c r="V4" s="20" t="inlineStr">
        <is>
          <t>Aoû A2</t>
        </is>
      </c>
      <c r="W4" s="20" t="inlineStr">
        <is>
          <t>Sep A2</t>
        </is>
      </c>
      <c r="X4" s="20" t="inlineStr">
        <is>
          <t>Oct A2</t>
        </is>
      </c>
      <c r="Y4" s="20" t="inlineStr">
        <is>
          <t>Nov A2</t>
        </is>
      </c>
      <c r="Z4" s="20" t="inlineStr">
        <is>
          <t>Déc A2</t>
        </is>
      </c>
      <c r="AA4" s="20" t="inlineStr">
        <is>
          <t>Jan A3</t>
        </is>
      </c>
      <c r="AB4" s="20" t="inlineStr">
        <is>
          <t>Fév A3</t>
        </is>
      </c>
      <c r="AC4" s="20" t="inlineStr">
        <is>
          <t>Mar A3</t>
        </is>
      </c>
      <c r="AD4" s="20" t="inlineStr">
        <is>
          <t>Avr A3</t>
        </is>
      </c>
      <c r="AE4" s="20" t="inlineStr">
        <is>
          <t>Mai A3</t>
        </is>
      </c>
      <c r="AF4" s="20" t="inlineStr">
        <is>
          <t>Jui A3</t>
        </is>
      </c>
      <c r="AG4" s="20" t="inlineStr">
        <is>
          <t>Jui A3</t>
        </is>
      </c>
      <c r="AH4" s="20" t="inlineStr">
        <is>
          <t>Aoû A3</t>
        </is>
      </c>
      <c r="AI4" s="20" t="inlineStr">
        <is>
          <t>Sep A3</t>
        </is>
      </c>
      <c r="AJ4" s="20" t="inlineStr">
        <is>
          <t>Oct A3</t>
        </is>
      </c>
      <c r="AK4" s="20" t="inlineStr">
        <is>
          <t>Nov A3</t>
        </is>
      </c>
      <c r="AL4" s="20" t="inlineStr">
        <is>
          <t>Déc A3</t>
        </is>
      </c>
      <c r="AM4" s="21" t="inlineStr">
        <is>
          <t>Total A1</t>
        </is>
      </c>
      <c r="AN4" s="21" t="inlineStr">
        <is>
          <t>Total A2</t>
        </is>
      </c>
      <c r="AO4" s="21" t="inlineStr">
        <is>
          <t>Total A3</t>
        </is>
      </c>
      <c r="AP4" s="21" t="inlineStr">
        <is>
          <t>Total 3 ans</t>
        </is>
      </c>
    </row>
    <row r="5">
      <c r="A5" s="3" t="inlineStr">
        <is>
          <t>Pain (baguettes, pains spéciaux, pains de tradition)</t>
        </is>
      </c>
      <c r="B5" s="5" t="n">
        <v>0.45</v>
      </c>
      <c r="C5" s="22">
        <f>Hypothèses!$C$4*$B5*Hypothèses!C$18*(1+Hypothèses!$C$13)^0</f>
        <v/>
      </c>
      <c r="D5" s="22">
        <f>Hypothèses!$C$4*$B5*Hypothèses!D$18*(1+Hypothèses!$C$13)^0</f>
        <v/>
      </c>
      <c r="E5" s="22">
        <f>Hypothèses!$C$4*$B5*Hypothèses!E$18*(1+Hypothèses!$C$13)^0</f>
        <v/>
      </c>
      <c r="F5" s="22">
        <f>Hypothèses!$C$4*$B5*Hypothèses!F$18*(1+Hypothèses!$C$13)^0</f>
        <v/>
      </c>
      <c r="G5" s="22">
        <f>Hypothèses!$C$4*$B5*Hypothèses!G$18*(1+Hypothèses!$C$13)^0</f>
        <v/>
      </c>
      <c r="H5" s="22">
        <f>Hypothèses!$C$4*$B5*Hypothèses!H$18*(1+Hypothèses!$C$13)^0</f>
        <v/>
      </c>
      <c r="I5" s="22">
        <f>Hypothèses!$C$4*$B5*Hypothèses!I$18*(1+Hypothèses!$C$13)^0</f>
        <v/>
      </c>
      <c r="J5" s="22">
        <f>Hypothèses!$C$4*$B5*Hypothèses!J$18*(1+Hypothèses!$C$13)^0</f>
        <v/>
      </c>
      <c r="K5" s="22">
        <f>Hypothèses!$C$4*$B5*Hypothèses!K$18*(1+Hypothèses!$C$13)^0</f>
        <v/>
      </c>
      <c r="L5" s="22">
        <f>Hypothèses!$C$4*$B5*Hypothèses!L$18*(1+Hypothèses!$C$13)^0</f>
        <v/>
      </c>
      <c r="M5" s="22">
        <f>Hypothèses!$C$4*$B5*Hypothèses!M$18*(1+Hypothèses!$C$13)^0</f>
        <v/>
      </c>
      <c r="N5" s="22">
        <f>Hypothèses!$C$4*$B5*Hypothèses!N$18*(1+Hypothèses!$C$13)^0</f>
        <v/>
      </c>
      <c r="O5" s="22">
        <f>Hypothèses!$C$4*$B5*Hypothèses!C$18*(1+Hypothèses!$C$13)^1</f>
        <v/>
      </c>
      <c r="P5" s="22">
        <f>Hypothèses!$C$4*$B5*Hypothèses!D$18*(1+Hypothèses!$C$13)^1</f>
        <v/>
      </c>
      <c r="Q5" s="22">
        <f>Hypothèses!$C$4*$B5*Hypothèses!E$18*(1+Hypothèses!$C$13)^1</f>
        <v/>
      </c>
      <c r="R5" s="22">
        <f>Hypothèses!$C$4*$B5*Hypothèses!F$18*(1+Hypothèses!$C$13)^1</f>
        <v/>
      </c>
      <c r="S5" s="22">
        <f>Hypothèses!$C$4*$B5*Hypothèses!G$18*(1+Hypothèses!$C$13)^1</f>
        <v/>
      </c>
      <c r="T5" s="22">
        <f>Hypothèses!$C$4*$B5*Hypothèses!H$18*(1+Hypothèses!$C$13)^1</f>
        <v/>
      </c>
      <c r="U5" s="22">
        <f>Hypothèses!$C$4*$B5*Hypothèses!I$18*(1+Hypothèses!$C$13)^1</f>
        <v/>
      </c>
      <c r="V5" s="22">
        <f>Hypothèses!$C$4*$B5*Hypothèses!J$18*(1+Hypothèses!$C$13)^1</f>
        <v/>
      </c>
      <c r="W5" s="22">
        <f>Hypothèses!$C$4*$B5*Hypothèses!K$18*(1+Hypothèses!$C$13)^1</f>
        <v/>
      </c>
      <c r="X5" s="22">
        <f>Hypothèses!$C$4*$B5*Hypothèses!L$18*(1+Hypothèses!$C$13)^1</f>
        <v/>
      </c>
      <c r="Y5" s="22">
        <f>Hypothèses!$C$4*$B5*Hypothèses!M$18*(1+Hypothèses!$C$13)^1</f>
        <v/>
      </c>
      <c r="Z5" s="22">
        <f>Hypothèses!$C$4*$B5*Hypothèses!N$18*(1+Hypothèses!$C$13)^1</f>
        <v/>
      </c>
      <c r="AA5" s="22">
        <f>Hypothèses!$C$4*$B5*Hypothèses!C$18*(1+Hypothèses!$C$13)^2</f>
        <v/>
      </c>
      <c r="AB5" s="22">
        <f>Hypothèses!$C$4*$B5*Hypothèses!D$18*(1+Hypothèses!$C$13)^2</f>
        <v/>
      </c>
      <c r="AC5" s="22">
        <f>Hypothèses!$C$4*$B5*Hypothèses!E$18*(1+Hypothèses!$C$13)^2</f>
        <v/>
      </c>
      <c r="AD5" s="22">
        <f>Hypothèses!$C$4*$B5*Hypothèses!F$18*(1+Hypothèses!$C$13)^2</f>
        <v/>
      </c>
      <c r="AE5" s="22">
        <f>Hypothèses!$C$4*$B5*Hypothèses!G$18*(1+Hypothèses!$C$13)^2</f>
        <v/>
      </c>
      <c r="AF5" s="22">
        <f>Hypothèses!$C$4*$B5*Hypothèses!H$18*(1+Hypothèses!$C$13)^2</f>
        <v/>
      </c>
      <c r="AG5" s="22">
        <f>Hypothèses!$C$4*$B5*Hypothèses!I$18*(1+Hypothèses!$C$13)^2</f>
        <v/>
      </c>
      <c r="AH5" s="22">
        <f>Hypothèses!$C$4*$B5*Hypothèses!J$18*(1+Hypothèses!$C$13)^2</f>
        <v/>
      </c>
      <c r="AI5" s="22">
        <f>Hypothèses!$C$4*$B5*Hypothèses!K$18*(1+Hypothèses!$C$13)^2</f>
        <v/>
      </c>
      <c r="AJ5" s="22">
        <f>Hypothèses!$C$4*$B5*Hypothèses!L$18*(1+Hypothèses!$C$13)^2</f>
        <v/>
      </c>
      <c r="AK5" s="22">
        <f>Hypothèses!$C$4*$B5*Hypothèses!M$18*(1+Hypothèses!$C$13)^2</f>
        <v/>
      </c>
      <c r="AL5" s="22">
        <f>Hypothèses!$C$4*$B5*Hypothèses!N$18*(1+Hypothèses!$C$13)^2</f>
        <v/>
      </c>
      <c r="AM5" s="23">
        <f>SUM(C5:N5)</f>
        <v/>
      </c>
      <c r="AN5" s="23">
        <f>SUM(O5:Z5)</f>
        <v/>
      </c>
      <c r="AO5" s="23">
        <f>SUM(AA5:AL5)</f>
        <v/>
      </c>
      <c r="AP5" s="23">
        <f>SUM(AM5:AO5)</f>
        <v/>
      </c>
    </row>
    <row r="6">
      <c r="A6" s="3" t="inlineStr">
        <is>
          <t>Viennoiserie (croissants, pains au chocolat...)</t>
        </is>
      </c>
      <c r="B6" s="5" t="n">
        <v>0.2</v>
      </c>
      <c r="C6" s="22">
        <f>Hypothèses!$C$4*$B6*Hypothèses!C$18*(1+Hypothèses!$C$13)^0</f>
        <v/>
      </c>
      <c r="D6" s="22">
        <f>Hypothèses!$C$4*$B6*Hypothèses!D$18*(1+Hypothèses!$C$13)^0</f>
        <v/>
      </c>
      <c r="E6" s="22">
        <f>Hypothèses!$C$4*$B6*Hypothèses!E$18*(1+Hypothèses!$C$13)^0</f>
        <v/>
      </c>
      <c r="F6" s="22">
        <f>Hypothèses!$C$4*$B6*Hypothèses!F$18*(1+Hypothèses!$C$13)^0</f>
        <v/>
      </c>
      <c r="G6" s="22">
        <f>Hypothèses!$C$4*$B6*Hypothèses!G$18*(1+Hypothèses!$C$13)^0</f>
        <v/>
      </c>
      <c r="H6" s="22">
        <f>Hypothèses!$C$4*$B6*Hypothèses!H$18*(1+Hypothèses!$C$13)^0</f>
        <v/>
      </c>
      <c r="I6" s="22">
        <f>Hypothèses!$C$4*$B6*Hypothèses!I$18*(1+Hypothèses!$C$13)^0</f>
        <v/>
      </c>
      <c r="J6" s="22">
        <f>Hypothèses!$C$4*$B6*Hypothèses!J$18*(1+Hypothèses!$C$13)^0</f>
        <v/>
      </c>
      <c r="K6" s="22">
        <f>Hypothèses!$C$4*$B6*Hypothèses!K$18*(1+Hypothèses!$C$13)^0</f>
        <v/>
      </c>
      <c r="L6" s="22">
        <f>Hypothèses!$C$4*$B6*Hypothèses!L$18*(1+Hypothèses!$C$13)^0</f>
        <v/>
      </c>
      <c r="M6" s="22">
        <f>Hypothèses!$C$4*$B6*Hypothèses!M$18*(1+Hypothèses!$C$13)^0</f>
        <v/>
      </c>
      <c r="N6" s="22">
        <f>Hypothèses!$C$4*$B6*Hypothèses!N$18*(1+Hypothèses!$C$13)^0</f>
        <v/>
      </c>
      <c r="O6" s="22">
        <f>Hypothèses!$C$4*$B6*Hypothèses!C$18*(1+Hypothèses!$C$13)^1</f>
        <v/>
      </c>
      <c r="P6" s="22">
        <f>Hypothèses!$C$4*$B6*Hypothèses!D$18*(1+Hypothèses!$C$13)^1</f>
        <v/>
      </c>
      <c r="Q6" s="22">
        <f>Hypothèses!$C$4*$B6*Hypothèses!E$18*(1+Hypothèses!$C$13)^1</f>
        <v/>
      </c>
      <c r="R6" s="22">
        <f>Hypothèses!$C$4*$B6*Hypothèses!F$18*(1+Hypothèses!$C$13)^1</f>
        <v/>
      </c>
      <c r="S6" s="22">
        <f>Hypothèses!$C$4*$B6*Hypothèses!G$18*(1+Hypothèses!$C$13)^1</f>
        <v/>
      </c>
      <c r="T6" s="22">
        <f>Hypothèses!$C$4*$B6*Hypothèses!H$18*(1+Hypothèses!$C$13)^1</f>
        <v/>
      </c>
      <c r="U6" s="22">
        <f>Hypothèses!$C$4*$B6*Hypothèses!I$18*(1+Hypothèses!$C$13)^1</f>
        <v/>
      </c>
      <c r="V6" s="22">
        <f>Hypothèses!$C$4*$B6*Hypothèses!J$18*(1+Hypothèses!$C$13)^1</f>
        <v/>
      </c>
      <c r="W6" s="22">
        <f>Hypothèses!$C$4*$B6*Hypothèses!K$18*(1+Hypothèses!$C$13)^1</f>
        <v/>
      </c>
      <c r="X6" s="22">
        <f>Hypothèses!$C$4*$B6*Hypothèses!L$18*(1+Hypothèses!$C$13)^1</f>
        <v/>
      </c>
      <c r="Y6" s="22">
        <f>Hypothèses!$C$4*$B6*Hypothèses!M$18*(1+Hypothèses!$C$13)^1</f>
        <v/>
      </c>
      <c r="Z6" s="22">
        <f>Hypothèses!$C$4*$B6*Hypothèses!N$18*(1+Hypothèses!$C$13)^1</f>
        <v/>
      </c>
      <c r="AA6" s="22">
        <f>Hypothèses!$C$4*$B6*Hypothèses!C$18*(1+Hypothèses!$C$13)^2</f>
        <v/>
      </c>
      <c r="AB6" s="22">
        <f>Hypothèses!$C$4*$B6*Hypothèses!D$18*(1+Hypothèses!$C$13)^2</f>
        <v/>
      </c>
      <c r="AC6" s="22">
        <f>Hypothèses!$C$4*$B6*Hypothèses!E$18*(1+Hypothèses!$C$13)^2</f>
        <v/>
      </c>
      <c r="AD6" s="22">
        <f>Hypothèses!$C$4*$B6*Hypothèses!F$18*(1+Hypothèses!$C$13)^2</f>
        <v/>
      </c>
      <c r="AE6" s="22">
        <f>Hypothèses!$C$4*$B6*Hypothèses!G$18*(1+Hypothèses!$C$13)^2</f>
        <v/>
      </c>
      <c r="AF6" s="22">
        <f>Hypothèses!$C$4*$B6*Hypothèses!H$18*(1+Hypothèses!$C$13)^2</f>
        <v/>
      </c>
      <c r="AG6" s="22">
        <f>Hypothèses!$C$4*$B6*Hypothèses!I$18*(1+Hypothèses!$C$13)^2</f>
        <v/>
      </c>
      <c r="AH6" s="22">
        <f>Hypothèses!$C$4*$B6*Hypothèses!J$18*(1+Hypothèses!$C$13)^2</f>
        <v/>
      </c>
      <c r="AI6" s="22">
        <f>Hypothèses!$C$4*$B6*Hypothèses!K$18*(1+Hypothèses!$C$13)^2</f>
        <v/>
      </c>
      <c r="AJ6" s="22">
        <f>Hypothèses!$C$4*$B6*Hypothèses!L$18*(1+Hypothèses!$C$13)^2</f>
        <v/>
      </c>
      <c r="AK6" s="22">
        <f>Hypothèses!$C$4*$B6*Hypothèses!M$18*(1+Hypothèses!$C$13)^2</f>
        <v/>
      </c>
      <c r="AL6" s="22">
        <f>Hypothèses!$C$4*$B6*Hypothèses!N$18*(1+Hypothèses!$C$13)^2</f>
        <v/>
      </c>
      <c r="AM6" s="23">
        <f>SUM(C6:N6)</f>
        <v/>
      </c>
      <c r="AN6" s="23">
        <f>SUM(O6:Z6)</f>
        <v/>
      </c>
      <c r="AO6" s="23">
        <f>SUM(AA6:AL6)</f>
        <v/>
      </c>
      <c r="AP6" s="23">
        <f>SUM(AM6:AO6)</f>
        <v/>
      </c>
    </row>
    <row r="7">
      <c r="A7" s="3" t="inlineStr">
        <is>
          <t>Pâtisserie</t>
        </is>
      </c>
      <c r="B7" s="5" t="n">
        <v>0.15</v>
      </c>
      <c r="C7" s="22">
        <f>Hypothèses!$C$4*$B7*Hypothèses!C$18*(1+Hypothèses!$C$13)^0</f>
        <v/>
      </c>
      <c r="D7" s="22">
        <f>Hypothèses!$C$4*$B7*Hypothèses!D$18*(1+Hypothèses!$C$13)^0</f>
        <v/>
      </c>
      <c r="E7" s="22">
        <f>Hypothèses!$C$4*$B7*Hypothèses!E$18*(1+Hypothèses!$C$13)^0</f>
        <v/>
      </c>
      <c r="F7" s="22">
        <f>Hypothèses!$C$4*$B7*Hypothèses!F$18*(1+Hypothèses!$C$13)^0</f>
        <v/>
      </c>
      <c r="G7" s="22">
        <f>Hypothèses!$C$4*$B7*Hypothèses!G$18*(1+Hypothèses!$C$13)^0</f>
        <v/>
      </c>
      <c r="H7" s="22">
        <f>Hypothèses!$C$4*$B7*Hypothèses!H$18*(1+Hypothèses!$C$13)^0</f>
        <v/>
      </c>
      <c r="I7" s="22">
        <f>Hypothèses!$C$4*$B7*Hypothèses!I$18*(1+Hypothèses!$C$13)^0</f>
        <v/>
      </c>
      <c r="J7" s="22">
        <f>Hypothèses!$C$4*$B7*Hypothèses!J$18*(1+Hypothèses!$C$13)^0</f>
        <v/>
      </c>
      <c r="K7" s="22">
        <f>Hypothèses!$C$4*$B7*Hypothèses!K$18*(1+Hypothèses!$C$13)^0</f>
        <v/>
      </c>
      <c r="L7" s="22">
        <f>Hypothèses!$C$4*$B7*Hypothèses!L$18*(1+Hypothèses!$C$13)^0</f>
        <v/>
      </c>
      <c r="M7" s="22">
        <f>Hypothèses!$C$4*$B7*Hypothèses!M$18*(1+Hypothèses!$C$13)^0</f>
        <v/>
      </c>
      <c r="N7" s="22">
        <f>Hypothèses!$C$4*$B7*Hypothèses!N$18*(1+Hypothèses!$C$13)^0</f>
        <v/>
      </c>
      <c r="O7" s="22">
        <f>Hypothèses!$C$4*$B7*Hypothèses!C$18*(1+Hypothèses!$C$13)^1</f>
        <v/>
      </c>
      <c r="P7" s="22">
        <f>Hypothèses!$C$4*$B7*Hypothèses!D$18*(1+Hypothèses!$C$13)^1</f>
        <v/>
      </c>
      <c r="Q7" s="22">
        <f>Hypothèses!$C$4*$B7*Hypothèses!E$18*(1+Hypothèses!$C$13)^1</f>
        <v/>
      </c>
      <c r="R7" s="22">
        <f>Hypothèses!$C$4*$B7*Hypothèses!F$18*(1+Hypothèses!$C$13)^1</f>
        <v/>
      </c>
      <c r="S7" s="22">
        <f>Hypothèses!$C$4*$B7*Hypothèses!G$18*(1+Hypothèses!$C$13)^1</f>
        <v/>
      </c>
      <c r="T7" s="22">
        <f>Hypothèses!$C$4*$B7*Hypothèses!H$18*(1+Hypothèses!$C$13)^1</f>
        <v/>
      </c>
      <c r="U7" s="22">
        <f>Hypothèses!$C$4*$B7*Hypothèses!I$18*(1+Hypothèses!$C$13)^1</f>
        <v/>
      </c>
      <c r="V7" s="22">
        <f>Hypothèses!$C$4*$B7*Hypothèses!J$18*(1+Hypothèses!$C$13)^1</f>
        <v/>
      </c>
      <c r="W7" s="22">
        <f>Hypothèses!$C$4*$B7*Hypothèses!K$18*(1+Hypothèses!$C$13)^1</f>
        <v/>
      </c>
      <c r="X7" s="22">
        <f>Hypothèses!$C$4*$B7*Hypothèses!L$18*(1+Hypothèses!$C$13)^1</f>
        <v/>
      </c>
      <c r="Y7" s="22">
        <f>Hypothèses!$C$4*$B7*Hypothèses!M$18*(1+Hypothèses!$C$13)^1</f>
        <v/>
      </c>
      <c r="Z7" s="22">
        <f>Hypothèses!$C$4*$B7*Hypothèses!N$18*(1+Hypothèses!$C$13)^1</f>
        <v/>
      </c>
      <c r="AA7" s="22">
        <f>Hypothèses!$C$4*$B7*Hypothèses!C$18*(1+Hypothèses!$C$13)^2</f>
        <v/>
      </c>
      <c r="AB7" s="22">
        <f>Hypothèses!$C$4*$B7*Hypothèses!D$18*(1+Hypothèses!$C$13)^2</f>
        <v/>
      </c>
      <c r="AC7" s="22">
        <f>Hypothèses!$C$4*$B7*Hypothèses!E$18*(1+Hypothèses!$C$13)^2</f>
        <v/>
      </c>
      <c r="AD7" s="22">
        <f>Hypothèses!$C$4*$B7*Hypothèses!F$18*(1+Hypothèses!$C$13)^2</f>
        <v/>
      </c>
      <c r="AE7" s="22">
        <f>Hypothèses!$C$4*$B7*Hypothèses!G$18*(1+Hypothèses!$C$13)^2</f>
        <v/>
      </c>
      <c r="AF7" s="22">
        <f>Hypothèses!$C$4*$B7*Hypothèses!H$18*(1+Hypothèses!$C$13)^2</f>
        <v/>
      </c>
      <c r="AG7" s="22">
        <f>Hypothèses!$C$4*$B7*Hypothèses!I$18*(1+Hypothèses!$C$13)^2</f>
        <v/>
      </c>
      <c r="AH7" s="22">
        <f>Hypothèses!$C$4*$B7*Hypothèses!J$18*(1+Hypothèses!$C$13)^2</f>
        <v/>
      </c>
      <c r="AI7" s="22">
        <f>Hypothèses!$C$4*$B7*Hypothèses!K$18*(1+Hypothèses!$C$13)^2</f>
        <v/>
      </c>
      <c r="AJ7" s="22">
        <f>Hypothèses!$C$4*$B7*Hypothèses!L$18*(1+Hypothèses!$C$13)^2</f>
        <v/>
      </c>
      <c r="AK7" s="22">
        <f>Hypothèses!$C$4*$B7*Hypothèses!M$18*(1+Hypothèses!$C$13)^2</f>
        <v/>
      </c>
      <c r="AL7" s="22">
        <f>Hypothèses!$C$4*$B7*Hypothèses!N$18*(1+Hypothèses!$C$13)^2</f>
        <v/>
      </c>
      <c r="AM7" s="23">
        <f>SUM(C7:N7)</f>
        <v/>
      </c>
      <c r="AN7" s="23">
        <f>SUM(O7:Z7)</f>
        <v/>
      </c>
      <c r="AO7" s="23">
        <f>SUM(AA7:AL7)</f>
        <v/>
      </c>
      <c r="AP7" s="23">
        <f>SUM(AM7:AO7)</f>
        <v/>
      </c>
    </row>
    <row r="8">
      <c r="A8" s="3" t="inlineStr">
        <is>
          <t>Snacking &amp; traiteur (sandwichs, quiches...)</t>
        </is>
      </c>
      <c r="B8" s="5" t="n">
        <v>0.15</v>
      </c>
      <c r="C8" s="22">
        <f>Hypothèses!$C$4*$B8*Hypothèses!C$18*(1+Hypothèses!$C$13)^0</f>
        <v/>
      </c>
      <c r="D8" s="22">
        <f>Hypothèses!$C$4*$B8*Hypothèses!D$18*(1+Hypothèses!$C$13)^0</f>
        <v/>
      </c>
      <c r="E8" s="22">
        <f>Hypothèses!$C$4*$B8*Hypothèses!E$18*(1+Hypothèses!$C$13)^0</f>
        <v/>
      </c>
      <c r="F8" s="22">
        <f>Hypothèses!$C$4*$B8*Hypothèses!F$18*(1+Hypothèses!$C$13)^0</f>
        <v/>
      </c>
      <c r="G8" s="22">
        <f>Hypothèses!$C$4*$B8*Hypothèses!G$18*(1+Hypothèses!$C$13)^0</f>
        <v/>
      </c>
      <c r="H8" s="22">
        <f>Hypothèses!$C$4*$B8*Hypothèses!H$18*(1+Hypothèses!$C$13)^0</f>
        <v/>
      </c>
      <c r="I8" s="22">
        <f>Hypothèses!$C$4*$B8*Hypothèses!I$18*(1+Hypothèses!$C$13)^0</f>
        <v/>
      </c>
      <c r="J8" s="22">
        <f>Hypothèses!$C$4*$B8*Hypothèses!J$18*(1+Hypothèses!$C$13)^0</f>
        <v/>
      </c>
      <c r="K8" s="22">
        <f>Hypothèses!$C$4*$B8*Hypothèses!K$18*(1+Hypothèses!$C$13)^0</f>
        <v/>
      </c>
      <c r="L8" s="22">
        <f>Hypothèses!$C$4*$B8*Hypothèses!L$18*(1+Hypothèses!$C$13)^0</f>
        <v/>
      </c>
      <c r="M8" s="22">
        <f>Hypothèses!$C$4*$B8*Hypothèses!M$18*(1+Hypothèses!$C$13)^0</f>
        <v/>
      </c>
      <c r="N8" s="22">
        <f>Hypothèses!$C$4*$B8*Hypothèses!N$18*(1+Hypothèses!$C$13)^0</f>
        <v/>
      </c>
      <c r="O8" s="22">
        <f>Hypothèses!$C$4*$B8*Hypothèses!C$18*(1+Hypothèses!$C$13)^1</f>
        <v/>
      </c>
      <c r="P8" s="22">
        <f>Hypothèses!$C$4*$B8*Hypothèses!D$18*(1+Hypothèses!$C$13)^1</f>
        <v/>
      </c>
      <c r="Q8" s="22">
        <f>Hypothèses!$C$4*$B8*Hypothèses!E$18*(1+Hypothèses!$C$13)^1</f>
        <v/>
      </c>
      <c r="R8" s="22">
        <f>Hypothèses!$C$4*$B8*Hypothèses!F$18*(1+Hypothèses!$C$13)^1</f>
        <v/>
      </c>
      <c r="S8" s="22">
        <f>Hypothèses!$C$4*$B8*Hypothèses!G$18*(1+Hypothèses!$C$13)^1</f>
        <v/>
      </c>
      <c r="T8" s="22">
        <f>Hypothèses!$C$4*$B8*Hypothèses!H$18*(1+Hypothèses!$C$13)^1</f>
        <v/>
      </c>
      <c r="U8" s="22">
        <f>Hypothèses!$C$4*$B8*Hypothèses!I$18*(1+Hypothèses!$C$13)^1</f>
        <v/>
      </c>
      <c r="V8" s="22">
        <f>Hypothèses!$C$4*$B8*Hypothèses!J$18*(1+Hypothèses!$C$13)^1</f>
        <v/>
      </c>
      <c r="W8" s="22">
        <f>Hypothèses!$C$4*$B8*Hypothèses!K$18*(1+Hypothèses!$C$13)^1</f>
        <v/>
      </c>
      <c r="X8" s="22">
        <f>Hypothèses!$C$4*$B8*Hypothèses!L$18*(1+Hypothèses!$C$13)^1</f>
        <v/>
      </c>
      <c r="Y8" s="22">
        <f>Hypothèses!$C$4*$B8*Hypothèses!M$18*(1+Hypothèses!$C$13)^1</f>
        <v/>
      </c>
      <c r="Z8" s="22">
        <f>Hypothèses!$C$4*$B8*Hypothèses!N$18*(1+Hypothèses!$C$13)^1</f>
        <v/>
      </c>
      <c r="AA8" s="22">
        <f>Hypothèses!$C$4*$B8*Hypothèses!C$18*(1+Hypothèses!$C$13)^2</f>
        <v/>
      </c>
      <c r="AB8" s="22">
        <f>Hypothèses!$C$4*$B8*Hypothèses!D$18*(1+Hypothèses!$C$13)^2</f>
        <v/>
      </c>
      <c r="AC8" s="22">
        <f>Hypothèses!$C$4*$B8*Hypothèses!E$18*(1+Hypothèses!$C$13)^2</f>
        <v/>
      </c>
      <c r="AD8" s="22">
        <f>Hypothèses!$C$4*$B8*Hypothèses!F$18*(1+Hypothèses!$C$13)^2</f>
        <v/>
      </c>
      <c r="AE8" s="22">
        <f>Hypothèses!$C$4*$B8*Hypothèses!G$18*(1+Hypothèses!$C$13)^2</f>
        <v/>
      </c>
      <c r="AF8" s="22">
        <f>Hypothèses!$C$4*$B8*Hypothèses!H$18*(1+Hypothèses!$C$13)^2</f>
        <v/>
      </c>
      <c r="AG8" s="22">
        <f>Hypothèses!$C$4*$B8*Hypothèses!I$18*(1+Hypothèses!$C$13)^2</f>
        <v/>
      </c>
      <c r="AH8" s="22">
        <f>Hypothèses!$C$4*$B8*Hypothèses!J$18*(1+Hypothèses!$C$13)^2</f>
        <v/>
      </c>
      <c r="AI8" s="22">
        <f>Hypothèses!$C$4*$B8*Hypothèses!K$18*(1+Hypothèses!$C$13)^2</f>
        <v/>
      </c>
      <c r="AJ8" s="22">
        <f>Hypothèses!$C$4*$B8*Hypothèses!L$18*(1+Hypothèses!$C$13)^2</f>
        <v/>
      </c>
      <c r="AK8" s="22">
        <f>Hypothèses!$C$4*$B8*Hypothèses!M$18*(1+Hypothèses!$C$13)^2</f>
        <v/>
      </c>
      <c r="AL8" s="22">
        <f>Hypothèses!$C$4*$B8*Hypothèses!N$18*(1+Hypothèses!$C$13)^2</f>
        <v/>
      </c>
      <c r="AM8" s="23">
        <f>SUM(C8:N8)</f>
        <v/>
      </c>
      <c r="AN8" s="23">
        <f>SUM(O8:Z8)</f>
        <v/>
      </c>
      <c r="AO8" s="23">
        <f>SUM(AA8:AL8)</f>
        <v/>
      </c>
      <c r="AP8" s="23">
        <f>SUM(AM8:AO8)</f>
        <v/>
      </c>
    </row>
    <row r="9">
      <c r="A9" s="3" t="inlineStr">
        <is>
          <t>Boissons &amp; divers</t>
        </is>
      </c>
      <c r="B9" s="5" t="n">
        <v>0.05</v>
      </c>
      <c r="C9" s="22">
        <f>Hypothèses!$C$4*$B9*Hypothèses!C$18*(1+Hypothèses!$C$13)^0</f>
        <v/>
      </c>
      <c r="D9" s="22">
        <f>Hypothèses!$C$4*$B9*Hypothèses!D$18*(1+Hypothèses!$C$13)^0</f>
        <v/>
      </c>
      <c r="E9" s="22">
        <f>Hypothèses!$C$4*$B9*Hypothèses!E$18*(1+Hypothèses!$C$13)^0</f>
        <v/>
      </c>
      <c r="F9" s="22">
        <f>Hypothèses!$C$4*$B9*Hypothèses!F$18*(1+Hypothèses!$C$13)^0</f>
        <v/>
      </c>
      <c r="G9" s="22">
        <f>Hypothèses!$C$4*$B9*Hypothèses!G$18*(1+Hypothèses!$C$13)^0</f>
        <v/>
      </c>
      <c r="H9" s="22">
        <f>Hypothèses!$C$4*$B9*Hypothèses!H$18*(1+Hypothèses!$C$13)^0</f>
        <v/>
      </c>
      <c r="I9" s="22">
        <f>Hypothèses!$C$4*$B9*Hypothèses!I$18*(1+Hypothèses!$C$13)^0</f>
        <v/>
      </c>
      <c r="J9" s="22">
        <f>Hypothèses!$C$4*$B9*Hypothèses!J$18*(1+Hypothèses!$C$13)^0</f>
        <v/>
      </c>
      <c r="K9" s="22">
        <f>Hypothèses!$C$4*$B9*Hypothèses!K$18*(1+Hypothèses!$C$13)^0</f>
        <v/>
      </c>
      <c r="L9" s="22">
        <f>Hypothèses!$C$4*$B9*Hypothèses!L$18*(1+Hypothèses!$C$13)^0</f>
        <v/>
      </c>
      <c r="M9" s="22">
        <f>Hypothèses!$C$4*$B9*Hypothèses!M$18*(1+Hypothèses!$C$13)^0</f>
        <v/>
      </c>
      <c r="N9" s="22">
        <f>Hypothèses!$C$4*$B9*Hypothèses!N$18*(1+Hypothèses!$C$13)^0</f>
        <v/>
      </c>
      <c r="O9" s="22">
        <f>Hypothèses!$C$4*$B9*Hypothèses!C$18*(1+Hypothèses!$C$13)^1</f>
        <v/>
      </c>
      <c r="P9" s="22">
        <f>Hypothèses!$C$4*$B9*Hypothèses!D$18*(1+Hypothèses!$C$13)^1</f>
        <v/>
      </c>
      <c r="Q9" s="22">
        <f>Hypothèses!$C$4*$B9*Hypothèses!E$18*(1+Hypothèses!$C$13)^1</f>
        <v/>
      </c>
      <c r="R9" s="22">
        <f>Hypothèses!$C$4*$B9*Hypothèses!F$18*(1+Hypothèses!$C$13)^1</f>
        <v/>
      </c>
      <c r="S9" s="22">
        <f>Hypothèses!$C$4*$B9*Hypothèses!G$18*(1+Hypothèses!$C$13)^1</f>
        <v/>
      </c>
      <c r="T9" s="22">
        <f>Hypothèses!$C$4*$B9*Hypothèses!H$18*(1+Hypothèses!$C$13)^1</f>
        <v/>
      </c>
      <c r="U9" s="22">
        <f>Hypothèses!$C$4*$B9*Hypothèses!I$18*(1+Hypothèses!$C$13)^1</f>
        <v/>
      </c>
      <c r="V9" s="22">
        <f>Hypothèses!$C$4*$B9*Hypothèses!J$18*(1+Hypothèses!$C$13)^1</f>
        <v/>
      </c>
      <c r="W9" s="22">
        <f>Hypothèses!$C$4*$B9*Hypothèses!K$18*(1+Hypothèses!$C$13)^1</f>
        <v/>
      </c>
      <c r="X9" s="22">
        <f>Hypothèses!$C$4*$B9*Hypothèses!L$18*(1+Hypothèses!$C$13)^1</f>
        <v/>
      </c>
      <c r="Y9" s="22">
        <f>Hypothèses!$C$4*$B9*Hypothèses!M$18*(1+Hypothèses!$C$13)^1</f>
        <v/>
      </c>
      <c r="Z9" s="22">
        <f>Hypothèses!$C$4*$B9*Hypothèses!N$18*(1+Hypothèses!$C$13)^1</f>
        <v/>
      </c>
      <c r="AA9" s="22">
        <f>Hypothèses!$C$4*$B9*Hypothèses!C$18*(1+Hypothèses!$C$13)^2</f>
        <v/>
      </c>
      <c r="AB9" s="22">
        <f>Hypothèses!$C$4*$B9*Hypothèses!D$18*(1+Hypothèses!$C$13)^2</f>
        <v/>
      </c>
      <c r="AC9" s="22">
        <f>Hypothèses!$C$4*$B9*Hypothèses!E$18*(1+Hypothèses!$C$13)^2</f>
        <v/>
      </c>
      <c r="AD9" s="22">
        <f>Hypothèses!$C$4*$B9*Hypothèses!F$18*(1+Hypothèses!$C$13)^2</f>
        <v/>
      </c>
      <c r="AE9" s="22">
        <f>Hypothèses!$C$4*$B9*Hypothèses!G$18*(1+Hypothèses!$C$13)^2</f>
        <v/>
      </c>
      <c r="AF9" s="22">
        <f>Hypothèses!$C$4*$B9*Hypothèses!H$18*(1+Hypothèses!$C$13)^2</f>
        <v/>
      </c>
      <c r="AG9" s="22">
        <f>Hypothèses!$C$4*$B9*Hypothèses!I$18*(1+Hypothèses!$C$13)^2</f>
        <v/>
      </c>
      <c r="AH9" s="22">
        <f>Hypothèses!$C$4*$B9*Hypothèses!J$18*(1+Hypothèses!$C$13)^2</f>
        <v/>
      </c>
      <c r="AI9" s="22">
        <f>Hypothèses!$C$4*$B9*Hypothèses!K$18*(1+Hypothèses!$C$13)^2</f>
        <v/>
      </c>
      <c r="AJ9" s="22">
        <f>Hypothèses!$C$4*$B9*Hypothèses!L$18*(1+Hypothèses!$C$13)^2</f>
        <v/>
      </c>
      <c r="AK9" s="22">
        <f>Hypothèses!$C$4*$B9*Hypothèses!M$18*(1+Hypothèses!$C$13)^2</f>
        <v/>
      </c>
      <c r="AL9" s="22">
        <f>Hypothèses!$C$4*$B9*Hypothèses!N$18*(1+Hypothèses!$C$13)^2</f>
        <v/>
      </c>
      <c r="AM9" s="23">
        <f>SUM(C9:N9)</f>
        <v/>
      </c>
      <c r="AN9" s="23">
        <f>SUM(O9:Z9)</f>
        <v/>
      </c>
      <c r="AO9" s="23">
        <f>SUM(AA9:AL9)</f>
        <v/>
      </c>
      <c r="AP9" s="23">
        <f>SUM(AM9:AO9)</f>
        <v/>
      </c>
    </row>
    <row r="10">
      <c r="A10" s="24" t="inlineStr">
        <is>
          <t>TOTAL CA HT</t>
        </is>
      </c>
      <c r="C10" s="25">
        <f>SUM(C5:C9)</f>
        <v/>
      </c>
      <c r="D10" s="25">
        <f>SUM(D5:D9)</f>
        <v/>
      </c>
      <c r="E10" s="25">
        <f>SUM(E5:E9)</f>
        <v/>
      </c>
      <c r="F10" s="25">
        <f>SUM(F5:F9)</f>
        <v/>
      </c>
      <c r="G10" s="25">
        <f>SUM(G5:G9)</f>
        <v/>
      </c>
      <c r="H10" s="25">
        <f>SUM(H5:H9)</f>
        <v/>
      </c>
      <c r="I10" s="25">
        <f>SUM(I5:I9)</f>
        <v/>
      </c>
      <c r="J10" s="25">
        <f>SUM(J5:J9)</f>
        <v/>
      </c>
      <c r="K10" s="25">
        <f>SUM(K5:K9)</f>
        <v/>
      </c>
      <c r="L10" s="25">
        <f>SUM(L5:L9)</f>
        <v/>
      </c>
      <c r="M10" s="25">
        <f>SUM(M5:M9)</f>
        <v/>
      </c>
      <c r="N10" s="25">
        <f>SUM(N5:N9)</f>
        <v/>
      </c>
      <c r="O10" s="25">
        <f>SUM(O5:O9)</f>
        <v/>
      </c>
      <c r="P10" s="25">
        <f>SUM(P5:P9)</f>
        <v/>
      </c>
      <c r="Q10" s="25">
        <f>SUM(Q5:Q9)</f>
        <v/>
      </c>
      <c r="R10" s="25">
        <f>SUM(R5:R9)</f>
        <v/>
      </c>
      <c r="S10" s="25">
        <f>SUM(S5:S9)</f>
        <v/>
      </c>
      <c r="T10" s="25">
        <f>SUM(T5:T9)</f>
        <v/>
      </c>
      <c r="U10" s="25">
        <f>SUM(U5:U9)</f>
        <v/>
      </c>
      <c r="V10" s="25">
        <f>SUM(V5:V9)</f>
        <v/>
      </c>
      <c r="W10" s="25">
        <f>SUM(W5:W9)</f>
        <v/>
      </c>
      <c r="X10" s="25">
        <f>SUM(X5:X9)</f>
        <v/>
      </c>
      <c r="Y10" s="25">
        <f>SUM(Y5:Y9)</f>
        <v/>
      </c>
      <c r="Z10" s="25">
        <f>SUM(Z5:Z9)</f>
        <v/>
      </c>
      <c r="AA10" s="25">
        <f>SUM(AA5:AA9)</f>
        <v/>
      </c>
      <c r="AB10" s="25">
        <f>SUM(AB5:AB9)</f>
        <v/>
      </c>
      <c r="AC10" s="25">
        <f>SUM(AC5:AC9)</f>
        <v/>
      </c>
      <c r="AD10" s="25">
        <f>SUM(AD5:AD9)</f>
        <v/>
      </c>
      <c r="AE10" s="25">
        <f>SUM(AE5:AE9)</f>
        <v/>
      </c>
      <c r="AF10" s="25">
        <f>SUM(AF5:AF9)</f>
        <v/>
      </c>
      <c r="AG10" s="25">
        <f>SUM(AG5:AG9)</f>
        <v/>
      </c>
      <c r="AH10" s="25">
        <f>SUM(AH5:AH9)</f>
        <v/>
      </c>
      <c r="AI10" s="25">
        <f>SUM(AI5:AI9)</f>
        <v/>
      </c>
      <c r="AJ10" s="25">
        <f>SUM(AJ5:AJ9)</f>
        <v/>
      </c>
      <c r="AK10" s="25">
        <f>SUM(AK5:AK9)</f>
        <v/>
      </c>
      <c r="AL10" s="25">
        <f>SUM(AL5:AL9)</f>
        <v/>
      </c>
      <c r="AM10" s="25">
        <f>SUM(C10:N10)</f>
        <v/>
      </c>
      <c r="AN10" s="25">
        <f>SUM(O10:Z10)</f>
        <v/>
      </c>
      <c r="AO10" s="25">
        <f>SUM(AA10:AL10)</f>
        <v/>
      </c>
      <c r="AP10" s="25">
        <f>SUM(AM10:AO10)</f>
        <v/>
      </c>
    </row>
    <row r="11">
      <c r="A11" s="6" t="inlineStr">
        <is>
          <t>Contrôle Σ % répartition (doit = 100%)</t>
        </is>
      </c>
      <c r="B11" s="26">
        <f>SUM(B5:B9)</f>
        <v/>
      </c>
    </row>
    <row r="12">
      <c r="A12" s="3" t="inlineStr">
        <is>
          <t>TVA collectée sur les ventes</t>
        </is>
      </c>
      <c r="C12" s="22">
        <f>C10*Hypothèses!$C$5</f>
        <v/>
      </c>
      <c r="D12" s="22">
        <f>D10*Hypothèses!$C$5</f>
        <v/>
      </c>
      <c r="E12" s="22">
        <f>E10*Hypothèses!$C$5</f>
        <v/>
      </c>
      <c r="F12" s="22">
        <f>F10*Hypothèses!$C$5</f>
        <v/>
      </c>
      <c r="G12" s="22">
        <f>G10*Hypothèses!$C$5</f>
        <v/>
      </c>
      <c r="H12" s="22">
        <f>H10*Hypothèses!$C$5</f>
        <v/>
      </c>
      <c r="I12" s="22">
        <f>I10*Hypothèses!$C$5</f>
        <v/>
      </c>
      <c r="J12" s="22">
        <f>J10*Hypothèses!$C$5</f>
        <v/>
      </c>
      <c r="K12" s="22">
        <f>K10*Hypothèses!$C$5</f>
        <v/>
      </c>
      <c r="L12" s="22">
        <f>L10*Hypothèses!$C$5</f>
        <v/>
      </c>
      <c r="M12" s="22">
        <f>M10*Hypothèses!$C$5</f>
        <v/>
      </c>
      <c r="N12" s="22">
        <f>N10*Hypothèses!$C$5</f>
        <v/>
      </c>
      <c r="O12" s="22">
        <f>O10*Hypothèses!$C$5</f>
        <v/>
      </c>
      <c r="P12" s="22">
        <f>P10*Hypothèses!$C$5</f>
        <v/>
      </c>
      <c r="Q12" s="22">
        <f>Q10*Hypothèses!$C$5</f>
        <v/>
      </c>
      <c r="R12" s="22">
        <f>R10*Hypothèses!$C$5</f>
        <v/>
      </c>
      <c r="S12" s="22">
        <f>S10*Hypothèses!$C$5</f>
        <v/>
      </c>
      <c r="T12" s="22">
        <f>T10*Hypothèses!$C$5</f>
        <v/>
      </c>
      <c r="U12" s="22">
        <f>U10*Hypothèses!$C$5</f>
        <v/>
      </c>
      <c r="V12" s="22">
        <f>V10*Hypothèses!$C$5</f>
        <v/>
      </c>
      <c r="W12" s="22">
        <f>W10*Hypothèses!$C$5</f>
        <v/>
      </c>
      <c r="X12" s="22">
        <f>X10*Hypothèses!$C$5</f>
        <v/>
      </c>
      <c r="Y12" s="22">
        <f>Y10*Hypothèses!$C$5</f>
        <v/>
      </c>
      <c r="Z12" s="22">
        <f>Z10*Hypothèses!$C$5</f>
        <v/>
      </c>
      <c r="AA12" s="22">
        <f>AA10*Hypothèses!$C$5</f>
        <v/>
      </c>
      <c r="AB12" s="22">
        <f>AB10*Hypothèses!$C$5</f>
        <v/>
      </c>
      <c r="AC12" s="22">
        <f>AC10*Hypothèses!$C$5</f>
        <v/>
      </c>
      <c r="AD12" s="22">
        <f>AD10*Hypothèses!$C$5</f>
        <v/>
      </c>
      <c r="AE12" s="22">
        <f>AE10*Hypothèses!$C$5</f>
        <v/>
      </c>
      <c r="AF12" s="22">
        <f>AF10*Hypothèses!$C$5</f>
        <v/>
      </c>
      <c r="AG12" s="22">
        <f>AG10*Hypothèses!$C$5</f>
        <v/>
      </c>
      <c r="AH12" s="22">
        <f>AH10*Hypothèses!$C$5</f>
        <v/>
      </c>
      <c r="AI12" s="22">
        <f>AI10*Hypothèses!$C$5</f>
        <v/>
      </c>
      <c r="AJ12" s="22">
        <f>AJ10*Hypothèses!$C$5</f>
        <v/>
      </c>
      <c r="AK12" s="22">
        <f>AK10*Hypothèses!$C$5</f>
        <v/>
      </c>
      <c r="AL12" s="22">
        <f>AL10*Hypothèses!$C$5</f>
        <v/>
      </c>
      <c r="AM12" s="23">
        <f>SUM(C12:N12)</f>
        <v/>
      </c>
      <c r="AN12" s="23">
        <f>SUM(O12:Z12)</f>
        <v/>
      </c>
      <c r="AO12" s="23">
        <f>SUM(AA12:AL12)</f>
        <v/>
      </c>
      <c r="AP12" s="23">
        <f>SUM(AM12:AO12)</f>
        <v/>
      </c>
    </row>
    <row r="13">
      <c r="A13" s="24" t="inlineStr">
        <is>
          <t>CA TTC (encaissable)</t>
        </is>
      </c>
      <c r="C13" s="25">
        <f>C10+C12</f>
        <v/>
      </c>
      <c r="D13" s="25">
        <f>D10+D12</f>
        <v/>
      </c>
      <c r="E13" s="25">
        <f>E10+E12</f>
        <v/>
      </c>
      <c r="F13" s="25">
        <f>F10+F12</f>
        <v/>
      </c>
      <c r="G13" s="25">
        <f>G10+G12</f>
        <v/>
      </c>
      <c r="H13" s="25">
        <f>H10+H12</f>
        <v/>
      </c>
      <c r="I13" s="25">
        <f>I10+I12</f>
        <v/>
      </c>
      <c r="J13" s="25">
        <f>J10+J12</f>
        <v/>
      </c>
      <c r="K13" s="25">
        <f>K10+K12</f>
        <v/>
      </c>
      <c r="L13" s="25">
        <f>L10+L12</f>
        <v/>
      </c>
      <c r="M13" s="25">
        <f>M10+M12</f>
        <v/>
      </c>
      <c r="N13" s="25">
        <f>N10+N12</f>
        <v/>
      </c>
      <c r="O13" s="25">
        <f>O10+O12</f>
        <v/>
      </c>
      <c r="P13" s="25">
        <f>P10+P12</f>
        <v/>
      </c>
      <c r="Q13" s="25">
        <f>Q10+Q12</f>
        <v/>
      </c>
      <c r="R13" s="25">
        <f>R10+R12</f>
        <v/>
      </c>
      <c r="S13" s="25">
        <f>S10+S12</f>
        <v/>
      </c>
      <c r="T13" s="25">
        <f>T10+T12</f>
        <v/>
      </c>
      <c r="U13" s="25">
        <f>U10+U12</f>
        <v/>
      </c>
      <c r="V13" s="25">
        <f>V10+V12</f>
        <v/>
      </c>
      <c r="W13" s="25">
        <f>W10+W12</f>
        <v/>
      </c>
      <c r="X13" s="25">
        <f>X10+X12</f>
        <v/>
      </c>
      <c r="Y13" s="25">
        <f>Y10+Y12</f>
        <v/>
      </c>
      <c r="Z13" s="25">
        <f>Z10+Z12</f>
        <v/>
      </c>
      <c r="AA13" s="25">
        <f>AA10+AA12</f>
        <v/>
      </c>
      <c r="AB13" s="25">
        <f>AB10+AB12</f>
        <v/>
      </c>
      <c r="AC13" s="25">
        <f>AC10+AC12</f>
        <v/>
      </c>
      <c r="AD13" s="25">
        <f>AD10+AD12</f>
        <v/>
      </c>
      <c r="AE13" s="25">
        <f>AE10+AE12</f>
        <v/>
      </c>
      <c r="AF13" s="25">
        <f>AF10+AF12</f>
        <v/>
      </c>
      <c r="AG13" s="25">
        <f>AG10+AG12</f>
        <v/>
      </c>
      <c r="AH13" s="25">
        <f>AH10+AH12</f>
        <v/>
      </c>
      <c r="AI13" s="25">
        <f>AI10+AI12</f>
        <v/>
      </c>
      <c r="AJ13" s="25">
        <f>AJ10+AJ12</f>
        <v/>
      </c>
      <c r="AK13" s="25">
        <f>AK10+AK12</f>
        <v/>
      </c>
      <c r="AL13" s="25">
        <f>AL10+AL12</f>
        <v/>
      </c>
      <c r="AM13" s="25">
        <f>SUM(C13:N13)</f>
        <v/>
      </c>
      <c r="AN13" s="25">
        <f>SUM(O13:Z13)</f>
        <v/>
      </c>
      <c r="AO13" s="25">
        <f>SUM(AA13:AL13)</f>
        <v/>
      </c>
      <c r="AP13" s="25">
        <f>SUM(AM13:AO13)</f>
        <v/>
      </c>
    </row>
  </sheetData>
  <mergeCells count="5">
    <mergeCell ref="AA3:AL3"/>
    <mergeCell ref="O3:Z3"/>
    <mergeCell ref="A2:O2"/>
    <mergeCell ref="A1:O1"/>
    <mergeCell ref="C3:N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8" customWidth="1" min="2" max="2"/>
    <col width="13" customWidth="1" min="3" max="3"/>
    <col width="10" customWidth="1" min="4" max="4"/>
    <col width="13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</cols>
  <sheetData>
    <row r="1" ht="22" customHeight="1">
      <c r="A1" s="1" t="inlineStr">
        <is>
          <t>Boulangerie — Dépenses détaillées (3 ans, mois par mois)</t>
        </is>
      </c>
    </row>
    <row r="2" ht="16" customHeight="1">
      <c r="A2" s="2" t="inlineStr">
        <is>
          <t>Quantité de base × indice de saisonnalité × Prix de base × (1+inflation)^année = Coût du mois. Chaque ligne suit sa propre évolution mensuelle.</t>
        </is>
      </c>
    </row>
    <row r="3" ht="14" customHeight="1">
      <c r="G3" s="15" t="inlineStr">
        <is>
          <t>ANNÉE 1</t>
        </is>
      </c>
      <c r="S3" s="16" t="inlineStr">
        <is>
          <t>ANNÉE 2</t>
        </is>
      </c>
      <c r="AE3" s="17" t="inlineStr">
        <is>
          <t>ANNÉE 3</t>
        </is>
      </c>
    </row>
    <row r="4" ht="30" customHeight="1">
      <c r="A4" s="21" t="inlineStr">
        <is>
          <t>Catégorie</t>
        </is>
      </c>
      <c r="B4" s="21" t="inlineStr">
        <is>
          <t>Poste</t>
        </is>
      </c>
      <c r="C4" s="21" t="inlineStr">
        <is>
          <t>Qté base/mois (A1)</t>
        </is>
      </c>
      <c r="D4" s="21" t="inlineStr">
        <is>
          <t>Unité</t>
        </is>
      </c>
      <c r="E4" s="21" t="inlineStr">
        <is>
          <t>Prix unitaire base (A1, €)</t>
        </is>
      </c>
      <c r="F4" s="21" t="inlineStr">
        <is>
          <t>Source prix</t>
        </is>
      </c>
      <c r="G4" s="20" t="inlineStr">
        <is>
          <t>Jan A1</t>
        </is>
      </c>
      <c r="H4" s="20" t="inlineStr">
        <is>
          <t>Fév A1</t>
        </is>
      </c>
      <c r="I4" s="20" t="inlineStr">
        <is>
          <t>Mar A1</t>
        </is>
      </c>
      <c r="J4" s="20" t="inlineStr">
        <is>
          <t>Avr A1</t>
        </is>
      </c>
      <c r="K4" s="20" t="inlineStr">
        <is>
          <t>Mai A1</t>
        </is>
      </c>
      <c r="L4" s="20" t="inlineStr">
        <is>
          <t>Jui A1</t>
        </is>
      </c>
      <c r="M4" s="20" t="inlineStr">
        <is>
          <t>Jui A1</t>
        </is>
      </c>
      <c r="N4" s="20" t="inlineStr">
        <is>
          <t>Aoû A1</t>
        </is>
      </c>
      <c r="O4" s="20" t="inlineStr">
        <is>
          <t>Sep A1</t>
        </is>
      </c>
      <c r="P4" s="20" t="inlineStr">
        <is>
          <t>Oct A1</t>
        </is>
      </c>
      <c r="Q4" s="20" t="inlineStr">
        <is>
          <t>Nov A1</t>
        </is>
      </c>
      <c r="R4" s="20" t="inlineStr">
        <is>
          <t>Déc A1</t>
        </is>
      </c>
      <c r="S4" s="20" t="inlineStr">
        <is>
          <t>Jan A2</t>
        </is>
      </c>
      <c r="T4" s="20" t="inlineStr">
        <is>
          <t>Fév A2</t>
        </is>
      </c>
      <c r="U4" s="20" t="inlineStr">
        <is>
          <t>Mar A2</t>
        </is>
      </c>
      <c r="V4" s="20" t="inlineStr">
        <is>
          <t>Avr A2</t>
        </is>
      </c>
      <c r="W4" s="20" t="inlineStr">
        <is>
          <t>Mai A2</t>
        </is>
      </c>
      <c r="X4" s="20" t="inlineStr">
        <is>
          <t>Jui A2</t>
        </is>
      </c>
      <c r="Y4" s="20" t="inlineStr">
        <is>
          <t>Jui A2</t>
        </is>
      </c>
      <c r="Z4" s="20" t="inlineStr">
        <is>
          <t>Aoû A2</t>
        </is>
      </c>
      <c r="AA4" s="20" t="inlineStr">
        <is>
          <t>Sep A2</t>
        </is>
      </c>
      <c r="AB4" s="20" t="inlineStr">
        <is>
          <t>Oct A2</t>
        </is>
      </c>
      <c r="AC4" s="20" t="inlineStr">
        <is>
          <t>Nov A2</t>
        </is>
      </c>
      <c r="AD4" s="20" t="inlineStr">
        <is>
          <t>Déc A2</t>
        </is>
      </c>
      <c r="AE4" s="20" t="inlineStr">
        <is>
          <t>Jan A3</t>
        </is>
      </c>
      <c r="AF4" s="20" t="inlineStr">
        <is>
          <t>Fév A3</t>
        </is>
      </c>
      <c r="AG4" s="20" t="inlineStr">
        <is>
          <t>Mar A3</t>
        </is>
      </c>
      <c r="AH4" s="20" t="inlineStr">
        <is>
          <t>Avr A3</t>
        </is>
      </c>
      <c r="AI4" s="20" t="inlineStr">
        <is>
          <t>Mai A3</t>
        </is>
      </c>
      <c r="AJ4" s="20" t="inlineStr">
        <is>
          <t>Jui A3</t>
        </is>
      </c>
      <c r="AK4" s="20" t="inlineStr">
        <is>
          <t>Jui A3</t>
        </is>
      </c>
      <c r="AL4" s="20" t="inlineStr">
        <is>
          <t>Aoû A3</t>
        </is>
      </c>
      <c r="AM4" s="20" t="inlineStr">
        <is>
          <t>Sep A3</t>
        </is>
      </c>
      <c r="AN4" s="20" t="inlineStr">
        <is>
          <t>Oct A3</t>
        </is>
      </c>
      <c r="AO4" s="20" t="inlineStr">
        <is>
          <t>Nov A3</t>
        </is>
      </c>
      <c r="AP4" s="20" t="inlineStr">
        <is>
          <t>Déc A3</t>
        </is>
      </c>
      <c r="AQ4" s="21" t="inlineStr">
        <is>
          <t>Total A1</t>
        </is>
      </c>
      <c r="AR4" s="21" t="inlineStr">
        <is>
          <t>Total A2</t>
        </is>
      </c>
      <c r="AS4" s="21" t="inlineStr">
        <is>
          <t>Total A3</t>
        </is>
      </c>
      <c r="AT4" s="21" t="inlineStr">
        <is>
          <t>Total 3 ans</t>
        </is>
      </c>
    </row>
    <row r="5">
      <c r="A5" s="27" t="inlineStr">
        <is>
          <t>Matières premières</t>
        </is>
      </c>
      <c r="B5" s="28" t="inlineStr">
        <is>
          <t>Farine de blé T55/T65 (meunier) — prix de marché simulé (€/unité)</t>
        </is>
      </c>
      <c r="C5" s="29" t="n"/>
      <c r="D5" s="28" t="inlineStr">
        <is>
          <t>kg</t>
        </is>
      </c>
      <c r="E5" s="30">
        <f>AVERAGE(G5:AP5)</f>
        <v/>
      </c>
      <c r="F5" s="31" t="inlineStr">
        <is>
          <t>API marché (WHEAT, Alpha Vantage) — simulation calibrée, à remplacer par un fetch live</t>
        </is>
      </c>
      <c r="G5" s="32" t="n">
        <v>0.5356</v>
      </c>
      <c r="H5" s="32" t="n">
        <v>0.5283</v>
      </c>
      <c r="I5" s="32" t="n">
        <v>0.5881999999999999</v>
      </c>
      <c r="J5" s="32" t="n">
        <v>0.5752</v>
      </c>
      <c r="K5" s="32" t="n">
        <v>0.5351</v>
      </c>
      <c r="L5" s="32" t="n">
        <v>0.5445</v>
      </c>
      <c r="M5" s="32" t="n">
        <v>0.5501</v>
      </c>
      <c r="N5" s="32" t="n">
        <v>0.5705</v>
      </c>
      <c r="O5" s="32" t="n">
        <v>0.5614</v>
      </c>
      <c r="P5" s="32" t="n">
        <v>0.6047</v>
      </c>
      <c r="Q5" s="32" t="n">
        <v>0.625</v>
      </c>
      <c r="R5" s="32" t="n">
        <v>0.7075</v>
      </c>
      <c r="S5" s="32" t="n">
        <v>0.7302</v>
      </c>
      <c r="T5" s="32" t="n">
        <v>0.7423</v>
      </c>
      <c r="U5" s="32" t="n">
        <v>0.7981</v>
      </c>
      <c r="V5" s="32" t="n">
        <v>0.8363</v>
      </c>
      <c r="W5" s="32" t="n">
        <v>0.8069</v>
      </c>
      <c r="X5" s="32" t="n">
        <v>0.8428</v>
      </c>
      <c r="Y5" s="32" t="n">
        <v>0.8173</v>
      </c>
      <c r="Z5" s="32" t="n">
        <v>0.871</v>
      </c>
      <c r="AA5" s="32" t="n">
        <v>0.8487</v>
      </c>
      <c r="AB5" s="32" t="n">
        <v>0.8673</v>
      </c>
      <c r="AC5" s="32" t="n">
        <v>0.836</v>
      </c>
      <c r="AD5" s="32" t="n">
        <v>0.8532</v>
      </c>
      <c r="AE5" s="32" t="n">
        <v>0.9163</v>
      </c>
      <c r="AF5" s="32" t="n">
        <v>0.9733000000000001</v>
      </c>
      <c r="AG5" s="32" t="n">
        <v>0.9452</v>
      </c>
      <c r="AH5" s="32" t="n">
        <v>0.8843</v>
      </c>
      <c r="AI5" s="32" t="n">
        <v>0.9193</v>
      </c>
      <c r="AJ5" s="32" t="n">
        <v>0.8905999999999999</v>
      </c>
      <c r="AK5" s="32" t="n">
        <v>0.8589</v>
      </c>
      <c r="AL5" s="32" t="n">
        <v>0.892</v>
      </c>
      <c r="AM5" s="32" t="n">
        <v>0.8395</v>
      </c>
      <c r="AN5" s="32" t="n">
        <v>0.8768</v>
      </c>
      <c r="AO5" s="32" t="n">
        <v>0.9278999999999999</v>
      </c>
      <c r="AP5" s="32" t="n">
        <v>0.9324</v>
      </c>
    </row>
    <row r="6">
      <c r="A6" s="27" t="inlineStr">
        <is>
          <t>Matières premières</t>
        </is>
      </c>
      <c r="B6" s="27" t="inlineStr">
        <is>
          <t>↳ Coût (Farine de blé T55/T65 (meunier))</t>
        </is>
      </c>
      <c r="C6" s="33" t="n">
        <v>5000</v>
      </c>
      <c r="D6" s="27" t="inlineStr">
        <is>
          <t>kg</t>
        </is>
      </c>
      <c r="E6" s="29" t="n"/>
      <c r="F6" s="28" t="inlineStr">
        <is>
          <t>Coût = Qté de base × saisonnalité × prix simulé ci-dessus</t>
        </is>
      </c>
      <c r="G6" s="23">
        <f>$C6*Hypothèses!C$17*G5</f>
        <v/>
      </c>
      <c r="H6" s="23">
        <f>$C6*Hypothèses!D$17*H5</f>
        <v/>
      </c>
      <c r="I6" s="23">
        <f>$C6*Hypothèses!E$17*I5</f>
        <v/>
      </c>
      <c r="J6" s="23">
        <f>$C6*Hypothèses!F$17*J5</f>
        <v/>
      </c>
      <c r="K6" s="23">
        <f>$C6*Hypothèses!G$17*K5</f>
        <v/>
      </c>
      <c r="L6" s="23">
        <f>$C6*Hypothèses!H$17*L5</f>
        <v/>
      </c>
      <c r="M6" s="23">
        <f>$C6*Hypothèses!I$17*M5</f>
        <v/>
      </c>
      <c r="N6" s="23">
        <f>$C6*Hypothèses!J$17*N5</f>
        <v/>
      </c>
      <c r="O6" s="23">
        <f>$C6*Hypothèses!K$17*O5</f>
        <v/>
      </c>
      <c r="P6" s="23">
        <f>$C6*Hypothèses!L$17*P5</f>
        <v/>
      </c>
      <c r="Q6" s="23">
        <f>$C6*Hypothèses!M$17*Q5</f>
        <v/>
      </c>
      <c r="R6" s="23">
        <f>$C6*Hypothèses!N$17*R5</f>
        <v/>
      </c>
      <c r="S6" s="23">
        <f>$C6*Hypothèses!C$17*S5</f>
        <v/>
      </c>
      <c r="T6" s="23">
        <f>$C6*Hypothèses!D$17*T5</f>
        <v/>
      </c>
      <c r="U6" s="23">
        <f>$C6*Hypothèses!E$17*U5</f>
        <v/>
      </c>
      <c r="V6" s="23">
        <f>$C6*Hypothèses!F$17*V5</f>
        <v/>
      </c>
      <c r="W6" s="23">
        <f>$C6*Hypothèses!G$17*W5</f>
        <v/>
      </c>
      <c r="X6" s="23">
        <f>$C6*Hypothèses!H$17*X5</f>
        <v/>
      </c>
      <c r="Y6" s="23">
        <f>$C6*Hypothèses!I$17*Y5</f>
        <v/>
      </c>
      <c r="Z6" s="23">
        <f>$C6*Hypothèses!J$17*Z5</f>
        <v/>
      </c>
      <c r="AA6" s="23">
        <f>$C6*Hypothèses!K$17*AA5</f>
        <v/>
      </c>
      <c r="AB6" s="23">
        <f>$C6*Hypothèses!L$17*AB5</f>
        <v/>
      </c>
      <c r="AC6" s="23">
        <f>$C6*Hypothèses!M$17*AC5</f>
        <v/>
      </c>
      <c r="AD6" s="23">
        <f>$C6*Hypothèses!N$17*AD5</f>
        <v/>
      </c>
      <c r="AE6" s="23">
        <f>$C6*Hypothèses!C$17*AE5</f>
        <v/>
      </c>
      <c r="AF6" s="23">
        <f>$C6*Hypothèses!D$17*AF5</f>
        <v/>
      </c>
      <c r="AG6" s="23">
        <f>$C6*Hypothèses!E$17*AG5</f>
        <v/>
      </c>
      <c r="AH6" s="23">
        <f>$C6*Hypothèses!F$17*AH5</f>
        <v/>
      </c>
      <c r="AI6" s="23">
        <f>$C6*Hypothèses!G$17*AI5</f>
        <v/>
      </c>
      <c r="AJ6" s="23">
        <f>$C6*Hypothèses!H$17*AJ5</f>
        <v/>
      </c>
      <c r="AK6" s="23">
        <f>$C6*Hypothèses!I$17*AK5</f>
        <v/>
      </c>
      <c r="AL6" s="23">
        <f>$C6*Hypothèses!J$17*AL5</f>
        <v/>
      </c>
      <c r="AM6" s="23">
        <f>$C6*Hypothèses!K$17*AM5</f>
        <v/>
      </c>
      <c r="AN6" s="23">
        <f>$C6*Hypothèses!L$17*AN5</f>
        <v/>
      </c>
      <c r="AO6" s="23">
        <f>$C6*Hypothèses!M$17*AO5</f>
        <v/>
      </c>
      <c r="AP6" s="23">
        <f>$C6*Hypothèses!N$17*AP5</f>
        <v/>
      </c>
      <c r="AQ6" s="23">
        <f>SUM(G6:R6)</f>
        <v/>
      </c>
      <c r="AR6" s="23">
        <f>SUM(S6:AD6)</f>
        <v/>
      </c>
      <c r="AS6" s="23">
        <f>SUM(AE6:AP6)</f>
        <v/>
      </c>
      <c r="AT6" s="23">
        <f>SUM(AQ6:AS6)</f>
        <v/>
      </c>
    </row>
    <row r="7">
      <c r="A7" s="27" t="inlineStr">
        <is>
          <t>Matières premières</t>
        </is>
      </c>
      <c r="B7" s="27" t="inlineStr">
        <is>
          <t>Beurre de tourage (feuilletage)</t>
        </is>
      </c>
      <c r="C7" s="33" t="n">
        <v>280</v>
      </c>
      <c r="D7" s="27" t="inlineStr">
        <is>
          <t>kg</t>
        </is>
      </c>
      <c r="E7" s="9" t="n">
        <v>6.2</v>
      </c>
      <c r="F7" s="31" t="inlineStr">
        <is>
          <t>Estimé — grossiste matières premières BVP</t>
        </is>
      </c>
      <c r="G7" s="23">
        <f>$C7*Hypothèses!C$17*$E7*(1+Hypothèses!$C$14)^0</f>
        <v/>
      </c>
      <c r="H7" s="23">
        <f>$C7*Hypothèses!D$17*$E7*(1+Hypothèses!$C$14)^0</f>
        <v/>
      </c>
      <c r="I7" s="23">
        <f>$C7*Hypothèses!E$17*$E7*(1+Hypothèses!$C$14)^0</f>
        <v/>
      </c>
      <c r="J7" s="23">
        <f>$C7*Hypothèses!F$17*$E7*(1+Hypothèses!$C$14)^0</f>
        <v/>
      </c>
      <c r="K7" s="23">
        <f>$C7*Hypothèses!G$17*$E7*(1+Hypothèses!$C$14)^0</f>
        <v/>
      </c>
      <c r="L7" s="23">
        <f>$C7*Hypothèses!H$17*$E7*(1+Hypothèses!$C$14)^0</f>
        <v/>
      </c>
      <c r="M7" s="23">
        <f>$C7*Hypothèses!I$17*$E7*(1+Hypothèses!$C$14)^0</f>
        <v/>
      </c>
      <c r="N7" s="23">
        <f>$C7*Hypothèses!J$17*$E7*(1+Hypothèses!$C$14)^0</f>
        <v/>
      </c>
      <c r="O7" s="23">
        <f>$C7*Hypothèses!K$17*$E7*(1+Hypothèses!$C$14)^0</f>
        <v/>
      </c>
      <c r="P7" s="23">
        <f>$C7*Hypothèses!L$17*$E7*(1+Hypothèses!$C$14)^0</f>
        <v/>
      </c>
      <c r="Q7" s="23">
        <f>$C7*Hypothèses!M$17*$E7*(1+Hypothèses!$C$14)^0</f>
        <v/>
      </c>
      <c r="R7" s="23">
        <f>$C7*Hypothèses!N$17*$E7*(1+Hypothèses!$C$14)^0</f>
        <v/>
      </c>
      <c r="S7" s="23">
        <f>$C7*Hypothèses!C$17*$E7*(1+Hypothèses!$C$14)^1</f>
        <v/>
      </c>
      <c r="T7" s="23">
        <f>$C7*Hypothèses!D$17*$E7*(1+Hypothèses!$C$14)^1</f>
        <v/>
      </c>
      <c r="U7" s="23">
        <f>$C7*Hypothèses!E$17*$E7*(1+Hypothèses!$C$14)^1</f>
        <v/>
      </c>
      <c r="V7" s="23">
        <f>$C7*Hypothèses!F$17*$E7*(1+Hypothèses!$C$14)^1</f>
        <v/>
      </c>
      <c r="W7" s="23">
        <f>$C7*Hypothèses!G$17*$E7*(1+Hypothèses!$C$14)^1</f>
        <v/>
      </c>
      <c r="X7" s="23">
        <f>$C7*Hypothèses!H$17*$E7*(1+Hypothèses!$C$14)^1</f>
        <v/>
      </c>
      <c r="Y7" s="23">
        <f>$C7*Hypothèses!I$17*$E7*(1+Hypothèses!$C$14)^1</f>
        <v/>
      </c>
      <c r="Z7" s="23">
        <f>$C7*Hypothèses!J$17*$E7*(1+Hypothèses!$C$14)^1</f>
        <v/>
      </c>
      <c r="AA7" s="23">
        <f>$C7*Hypothèses!K$17*$E7*(1+Hypothèses!$C$14)^1</f>
        <v/>
      </c>
      <c r="AB7" s="23">
        <f>$C7*Hypothèses!L$17*$E7*(1+Hypothèses!$C$14)^1</f>
        <v/>
      </c>
      <c r="AC7" s="23">
        <f>$C7*Hypothèses!M$17*$E7*(1+Hypothèses!$C$14)^1</f>
        <v/>
      </c>
      <c r="AD7" s="23">
        <f>$C7*Hypothèses!N$17*$E7*(1+Hypothèses!$C$14)^1</f>
        <v/>
      </c>
      <c r="AE7" s="23">
        <f>$C7*Hypothèses!C$17*$E7*(1+Hypothèses!$C$14)^2</f>
        <v/>
      </c>
      <c r="AF7" s="23">
        <f>$C7*Hypothèses!D$17*$E7*(1+Hypothèses!$C$14)^2</f>
        <v/>
      </c>
      <c r="AG7" s="23">
        <f>$C7*Hypothèses!E$17*$E7*(1+Hypothèses!$C$14)^2</f>
        <v/>
      </c>
      <c r="AH7" s="23">
        <f>$C7*Hypothèses!F$17*$E7*(1+Hypothèses!$C$14)^2</f>
        <v/>
      </c>
      <c r="AI7" s="23">
        <f>$C7*Hypothèses!G$17*$E7*(1+Hypothèses!$C$14)^2</f>
        <v/>
      </c>
      <c r="AJ7" s="23">
        <f>$C7*Hypothèses!H$17*$E7*(1+Hypothèses!$C$14)^2</f>
        <v/>
      </c>
      <c r="AK7" s="23">
        <f>$C7*Hypothèses!I$17*$E7*(1+Hypothèses!$C$14)^2</f>
        <v/>
      </c>
      <c r="AL7" s="23">
        <f>$C7*Hypothèses!J$17*$E7*(1+Hypothèses!$C$14)^2</f>
        <v/>
      </c>
      <c r="AM7" s="23">
        <f>$C7*Hypothèses!K$17*$E7*(1+Hypothèses!$C$14)^2</f>
        <v/>
      </c>
      <c r="AN7" s="23">
        <f>$C7*Hypothèses!L$17*$E7*(1+Hypothèses!$C$14)^2</f>
        <v/>
      </c>
      <c r="AO7" s="23">
        <f>$C7*Hypothèses!M$17*$E7*(1+Hypothèses!$C$14)^2</f>
        <v/>
      </c>
      <c r="AP7" s="23">
        <f>$C7*Hypothèses!N$17*$E7*(1+Hypothèses!$C$14)^2</f>
        <v/>
      </c>
      <c r="AQ7" s="23">
        <f>SUM(G7:R7)</f>
        <v/>
      </c>
      <c r="AR7" s="23">
        <f>SUM(S7:AD7)</f>
        <v/>
      </c>
      <c r="AS7" s="23">
        <f>SUM(AE7:AP7)</f>
        <v/>
      </c>
      <c r="AT7" s="23">
        <f>SUM(AQ7:AS7)</f>
        <v/>
      </c>
    </row>
    <row r="8">
      <c r="A8" s="27" t="inlineStr">
        <is>
          <t>Matières premières</t>
        </is>
      </c>
      <c r="B8" s="27" t="inlineStr">
        <is>
          <t>Beurre d'incorporation</t>
        </is>
      </c>
      <c r="C8" s="33" t="n">
        <v>110</v>
      </c>
      <c r="D8" s="27" t="inlineStr">
        <is>
          <t>kg</t>
        </is>
      </c>
      <c r="E8" s="9" t="n">
        <v>5.1</v>
      </c>
      <c r="F8" s="31" t="inlineStr">
        <is>
          <t>Estimé — grossiste matières premières BVP</t>
        </is>
      </c>
      <c r="G8" s="23">
        <f>$C8*Hypothèses!C$17*$E8*(1+Hypothèses!$C$14)^0</f>
        <v/>
      </c>
      <c r="H8" s="23">
        <f>$C8*Hypothèses!D$17*$E8*(1+Hypothèses!$C$14)^0</f>
        <v/>
      </c>
      <c r="I8" s="23">
        <f>$C8*Hypothèses!E$17*$E8*(1+Hypothèses!$C$14)^0</f>
        <v/>
      </c>
      <c r="J8" s="23">
        <f>$C8*Hypothèses!F$17*$E8*(1+Hypothèses!$C$14)^0</f>
        <v/>
      </c>
      <c r="K8" s="23">
        <f>$C8*Hypothèses!G$17*$E8*(1+Hypothèses!$C$14)^0</f>
        <v/>
      </c>
      <c r="L8" s="23">
        <f>$C8*Hypothèses!H$17*$E8*(1+Hypothèses!$C$14)^0</f>
        <v/>
      </c>
      <c r="M8" s="23">
        <f>$C8*Hypothèses!I$17*$E8*(1+Hypothèses!$C$14)^0</f>
        <v/>
      </c>
      <c r="N8" s="23">
        <f>$C8*Hypothèses!J$17*$E8*(1+Hypothèses!$C$14)^0</f>
        <v/>
      </c>
      <c r="O8" s="23">
        <f>$C8*Hypothèses!K$17*$E8*(1+Hypothèses!$C$14)^0</f>
        <v/>
      </c>
      <c r="P8" s="23">
        <f>$C8*Hypothèses!L$17*$E8*(1+Hypothèses!$C$14)^0</f>
        <v/>
      </c>
      <c r="Q8" s="23">
        <f>$C8*Hypothèses!M$17*$E8*(1+Hypothèses!$C$14)^0</f>
        <v/>
      </c>
      <c r="R8" s="23">
        <f>$C8*Hypothèses!N$17*$E8*(1+Hypothèses!$C$14)^0</f>
        <v/>
      </c>
      <c r="S8" s="23">
        <f>$C8*Hypothèses!C$17*$E8*(1+Hypothèses!$C$14)^1</f>
        <v/>
      </c>
      <c r="T8" s="23">
        <f>$C8*Hypothèses!D$17*$E8*(1+Hypothèses!$C$14)^1</f>
        <v/>
      </c>
      <c r="U8" s="23">
        <f>$C8*Hypothèses!E$17*$E8*(1+Hypothèses!$C$14)^1</f>
        <v/>
      </c>
      <c r="V8" s="23">
        <f>$C8*Hypothèses!F$17*$E8*(1+Hypothèses!$C$14)^1</f>
        <v/>
      </c>
      <c r="W8" s="23">
        <f>$C8*Hypothèses!G$17*$E8*(1+Hypothèses!$C$14)^1</f>
        <v/>
      </c>
      <c r="X8" s="23">
        <f>$C8*Hypothèses!H$17*$E8*(1+Hypothèses!$C$14)^1</f>
        <v/>
      </c>
      <c r="Y8" s="23">
        <f>$C8*Hypothèses!I$17*$E8*(1+Hypothèses!$C$14)^1</f>
        <v/>
      </c>
      <c r="Z8" s="23">
        <f>$C8*Hypothèses!J$17*$E8*(1+Hypothèses!$C$14)^1</f>
        <v/>
      </c>
      <c r="AA8" s="23">
        <f>$C8*Hypothèses!K$17*$E8*(1+Hypothèses!$C$14)^1</f>
        <v/>
      </c>
      <c r="AB8" s="23">
        <f>$C8*Hypothèses!L$17*$E8*(1+Hypothèses!$C$14)^1</f>
        <v/>
      </c>
      <c r="AC8" s="23">
        <f>$C8*Hypothèses!M$17*$E8*(1+Hypothèses!$C$14)^1</f>
        <v/>
      </c>
      <c r="AD8" s="23">
        <f>$C8*Hypothèses!N$17*$E8*(1+Hypothèses!$C$14)^1</f>
        <v/>
      </c>
      <c r="AE8" s="23">
        <f>$C8*Hypothèses!C$17*$E8*(1+Hypothèses!$C$14)^2</f>
        <v/>
      </c>
      <c r="AF8" s="23">
        <f>$C8*Hypothèses!D$17*$E8*(1+Hypothèses!$C$14)^2</f>
        <v/>
      </c>
      <c r="AG8" s="23">
        <f>$C8*Hypothèses!E$17*$E8*(1+Hypothèses!$C$14)^2</f>
        <v/>
      </c>
      <c r="AH8" s="23">
        <f>$C8*Hypothèses!F$17*$E8*(1+Hypothèses!$C$14)^2</f>
        <v/>
      </c>
      <c r="AI8" s="23">
        <f>$C8*Hypothèses!G$17*$E8*(1+Hypothèses!$C$14)^2</f>
        <v/>
      </c>
      <c r="AJ8" s="23">
        <f>$C8*Hypothèses!H$17*$E8*(1+Hypothèses!$C$14)^2</f>
        <v/>
      </c>
      <c r="AK8" s="23">
        <f>$C8*Hypothèses!I$17*$E8*(1+Hypothèses!$C$14)^2</f>
        <v/>
      </c>
      <c r="AL8" s="23">
        <f>$C8*Hypothèses!J$17*$E8*(1+Hypothèses!$C$14)^2</f>
        <v/>
      </c>
      <c r="AM8" s="23">
        <f>$C8*Hypothèses!K$17*$E8*(1+Hypothèses!$C$14)^2</f>
        <v/>
      </c>
      <c r="AN8" s="23">
        <f>$C8*Hypothèses!L$17*$E8*(1+Hypothèses!$C$14)^2</f>
        <v/>
      </c>
      <c r="AO8" s="23">
        <f>$C8*Hypothèses!M$17*$E8*(1+Hypothèses!$C$14)^2</f>
        <v/>
      </c>
      <c r="AP8" s="23">
        <f>$C8*Hypothèses!N$17*$E8*(1+Hypothèses!$C$14)^2</f>
        <v/>
      </c>
      <c r="AQ8" s="23">
        <f>SUM(G8:R8)</f>
        <v/>
      </c>
      <c r="AR8" s="23">
        <f>SUM(S8:AD8)</f>
        <v/>
      </c>
      <c r="AS8" s="23">
        <f>SUM(AE8:AP8)</f>
        <v/>
      </c>
      <c r="AT8" s="23">
        <f>SUM(AQ8:AS8)</f>
        <v/>
      </c>
    </row>
    <row r="9">
      <c r="A9" s="27" t="inlineStr">
        <is>
          <t>Matières premières</t>
        </is>
      </c>
      <c r="B9" s="27" t="inlineStr">
        <is>
          <t>Levure boulangère</t>
        </is>
      </c>
      <c r="C9" s="33" t="n">
        <v>65</v>
      </c>
      <c r="D9" s="27" t="inlineStr">
        <is>
          <t>kg</t>
        </is>
      </c>
      <c r="E9" s="9" t="n">
        <v>3.6</v>
      </c>
      <c r="F9" s="31" t="inlineStr">
        <is>
          <t>Estimé — fournisseur boulangerie</t>
        </is>
      </c>
      <c r="G9" s="23">
        <f>$C9*Hypothèses!C$17*$E9*(1+Hypothèses!$C$14)^0</f>
        <v/>
      </c>
      <c r="H9" s="23">
        <f>$C9*Hypothèses!D$17*$E9*(1+Hypothèses!$C$14)^0</f>
        <v/>
      </c>
      <c r="I9" s="23">
        <f>$C9*Hypothèses!E$17*$E9*(1+Hypothèses!$C$14)^0</f>
        <v/>
      </c>
      <c r="J9" s="23">
        <f>$C9*Hypothèses!F$17*$E9*(1+Hypothèses!$C$14)^0</f>
        <v/>
      </c>
      <c r="K9" s="23">
        <f>$C9*Hypothèses!G$17*$E9*(1+Hypothèses!$C$14)^0</f>
        <v/>
      </c>
      <c r="L9" s="23">
        <f>$C9*Hypothèses!H$17*$E9*(1+Hypothèses!$C$14)^0</f>
        <v/>
      </c>
      <c r="M9" s="23">
        <f>$C9*Hypothèses!I$17*$E9*(1+Hypothèses!$C$14)^0</f>
        <v/>
      </c>
      <c r="N9" s="23">
        <f>$C9*Hypothèses!J$17*$E9*(1+Hypothèses!$C$14)^0</f>
        <v/>
      </c>
      <c r="O9" s="23">
        <f>$C9*Hypothèses!K$17*$E9*(1+Hypothèses!$C$14)^0</f>
        <v/>
      </c>
      <c r="P9" s="23">
        <f>$C9*Hypothèses!L$17*$E9*(1+Hypothèses!$C$14)^0</f>
        <v/>
      </c>
      <c r="Q9" s="23">
        <f>$C9*Hypothèses!M$17*$E9*(1+Hypothèses!$C$14)^0</f>
        <v/>
      </c>
      <c r="R9" s="23">
        <f>$C9*Hypothèses!N$17*$E9*(1+Hypothèses!$C$14)^0</f>
        <v/>
      </c>
      <c r="S9" s="23">
        <f>$C9*Hypothèses!C$17*$E9*(1+Hypothèses!$C$14)^1</f>
        <v/>
      </c>
      <c r="T9" s="23">
        <f>$C9*Hypothèses!D$17*$E9*(1+Hypothèses!$C$14)^1</f>
        <v/>
      </c>
      <c r="U9" s="23">
        <f>$C9*Hypothèses!E$17*$E9*(1+Hypothèses!$C$14)^1</f>
        <v/>
      </c>
      <c r="V9" s="23">
        <f>$C9*Hypothèses!F$17*$E9*(1+Hypothèses!$C$14)^1</f>
        <v/>
      </c>
      <c r="W9" s="23">
        <f>$C9*Hypothèses!G$17*$E9*(1+Hypothèses!$C$14)^1</f>
        <v/>
      </c>
      <c r="X9" s="23">
        <f>$C9*Hypothèses!H$17*$E9*(1+Hypothèses!$C$14)^1</f>
        <v/>
      </c>
      <c r="Y9" s="23">
        <f>$C9*Hypothèses!I$17*$E9*(1+Hypothèses!$C$14)^1</f>
        <v/>
      </c>
      <c r="Z9" s="23">
        <f>$C9*Hypothèses!J$17*$E9*(1+Hypothèses!$C$14)^1</f>
        <v/>
      </c>
      <c r="AA9" s="23">
        <f>$C9*Hypothèses!K$17*$E9*(1+Hypothèses!$C$14)^1</f>
        <v/>
      </c>
      <c r="AB9" s="23">
        <f>$C9*Hypothèses!L$17*$E9*(1+Hypothèses!$C$14)^1</f>
        <v/>
      </c>
      <c r="AC9" s="23">
        <f>$C9*Hypothèses!M$17*$E9*(1+Hypothèses!$C$14)^1</f>
        <v/>
      </c>
      <c r="AD9" s="23">
        <f>$C9*Hypothèses!N$17*$E9*(1+Hypothèses!$C$14)^1</f>
        <v/>
      </c>
      <c r="AE9" s="23">
        <f>$C9*Hypothèses!C$17*$E9*(1+Hypothèses!$C$14)^2</f>
        <v/>
      </c>
      <c r="AF9" s="23">
        <f>$C9*Hypothèses!D$17*$E9*(1+Hypothèses!$C$14)^2</f>
        <v/>
      </c>
      <c r="AG9" s="23">
        <f>$C9*Hypothèses!E$17*$E9*(1+Hypothèses!$C$14)^2</f>
        <v/>
      </c>
      <c r="AH9" s="23">
        <f>$C9*Hypothèses!F$17*$E9*(1+Hypothèses!$C$14)^2</f>
        <v/>
      </c>
      <c r="AI9" s="23">
        <f>$C9*Hypothèses!G$17*$E9*(1+Hypothèses!$C$14)^2</f>
        <v/>
      </c>
      <c r="AJ9" s="23">
        <f>$C9*Hypothèses!H$17*$E9*(1+Hypothèses!$C$14)^2</f>
        <v/>
      </c>
      <c r="AK9" s="23">
        <f>$C9*Hypothèses!I$17*$E9*(1+Hypothèses!$C$14)^2</f>
        <v/>
      </c>
      <c r="AL9" s="23">
        <f>$C9*Hypothèses!J$17*$E9*(1+Hypothèses!$C$14)^2</f>
        <v/>
      </c>
      <c r="AM9" s="23">
        <f>$C9*Hypothèses!K$17*$E9*(1+Hypothèses!$C$14)^2</f>
        <v/>
      </c>
      <c r="AN9" s="23">
        <f>$C9*Hypothèses!L$17*$E9*(1+Hypothèses!$C$14)^2</f>
        <v/>
      </c>
      <c r="AO9" s="23">
        <f>$C9*Hypothèses!M$17*$E9*(1+Hypothèses!$C$14)^2</f>
        <v/>
      </c>
      <c r="AP9" s="23">
        <f>$C9*Hypothèses!N$17*$E9*(1+Hypothèses!$C$14)^2</f>
        <v/>
      </c>
      <c r="AQ9" s="23">
        <f>SUM(G9:R9)</f>
        <v/>
      </c>
      <c r="AR9" s="23">
        <f>SUM(S9:AD9)</f>
        <v/>
      </c>
      <c r="AS9" s="23">
        <f>SUM(AE9:AP9)</f>
        <v/>
      </c>
      <c r="AT9" s="23">
        <f>SUM(AQ9:AS9)</f>
        <v/>
      </c>
    </row>
    <row r="10">
      <c r="A10" s="27" t="inlineStr">
        <is>
          <t>Matières premières</t>
        </is>
      </c>
      <c r="B10" s="27" t="inlineStr">
        <is>
          <t>Sel</t>
        </is>
      </c>
      <c r="C10" s="33" t="n">
        <v>55</v>
      </c>
      <c r="D10" s="27" t="inlineStr">
        <is>
          <t>kg</t>
        </is>
      </c>
      <c r="E10" s="9" t="n">
        <v>0.65</v>
      </c>
      <c r="F10" s="31" t="inlineStr">
        <is>
          <t>Estimé — fournisseur boulangerie</t>
        </is>
      </c>
      <c r="G10" s="23">
        <f>$C10*Hypothèses!C$17*$E10*(1+Hypothèses!$C$14)^0</f>
        <v/>
      </c>
      <c r="H10" s="23">
        <f>$C10*Hypothèses!D$17*$E10*(1+Hypothèses!$C$14)^0</f>
        <v/>
      </c>
      <c r="I10" s="23">
        <f>$C10*Hypothèses!E$17*$E10*(1+Hypothèses!$C$14)^0</f>
        <v/>
      </c>
      <c r="J10" s="23">
        <f>$C10*Hypothèses!F$17*$E10*(1+Hypothèses!$C$14)^0</f>
        <v/>
      </c>
      <c r="K10" s="23">
        <f>$C10*Hypothèses!G$17*$E10*(1+Hypothèses!$C$14)^0</f>
        <v/>
      </c>
      <c r="L10" s="23">
        <f>$C10*Hypothèses!H$17*$E10*(1+Hypothèses!$C$14)^0</f>
        <v/>
      </c>
      <c r="M10" s="23">
        <f>$C10*Hypothèses!I$17*$E10*(1+Hypothèses!$C$14)^0</f>
        <v/>
      </c>
      <c r="N10" s="23">
        <f>$C10*Hypothèses!J$17*$E10*(1+Hypothèses!$C$14)^0</f>
        <v/>
      </c>
      <c r="O10" s="23">
        <f>$C10*Hypothèses!K$17*$E10*(1+Hypothèses!$C$14)^0</f>
        <v/>
      </c>
      <c r="P10" s="23">
        <f>$C10*Hypothèses!L$17*$E10*(1+Hypothèses!$C$14)^0</f>
        <v/>
      </c>
      <c r="Q10" s="23">
        <f>$C10*Hypothèses!M$17*$E10*(1+Hypothèses!$C$14)^0</f>
        <v/>
      </c>
      <c r="R10" s="23">
        <f>$C10*Hypothèses!N$17*$E10*(1+Hypothèses!$C$14)^0</f>
        <v/>
      </c>
      <c r="S10" s="23">
        <f>$C10*Hypothèses!C$17*$E10*(1+Hypothèses!$C$14)^1</f>
        <v/>
      </c>
      <c r="T10" s="23">
        <f>$C10*Hypothèses!D$17*$E10*(1+Hypothèses!$C$14)^1</f>
        <v/>
      </c>
      <c r="U10" s="23">
        <f>$C10*Hypothèses!E$17*$E10*(1+Hypothèses!$C$14)^1</f>
        <v/>
      </c>
      <c r="V10" s="23">
        <f>$C10*Hypothèses!F$17*$E10*(1+Hypothèses!$C$14)^1</f>
        <v/>
      </c>
      <c r="W10" s="23">
        <f>$C10*Hypothèses!G$17*$E10*(1+Hypothèses!$C$14)^1</f>
        <v/>
      </c>
      <c r="X10" s="23">
        <f>$C10*Hypothèses!H$17*$E10*(1+Hypothèses!$C$14)^1</f>
        <v/>
      </c>
      <c r="Y10" s="23">
        <f>$C10*Hypothèses!I$17*$E10*(1+Hypothèses!$C$14)^1</f>
        <v/>
      </c>
      <c r="Z10" s="23">
        <f>$C10*Hypothèses!J$17*$E10*(1+Hypothèses!$C$14)^1</f>
        <v/>
      </c>
      <c r="AA10" s="23">
        <f>$C10*Hypothèses!K$17*$E10*(1+Hypothèses!$C$14)^1</f>
        <v/>
      </c>
      <c r="AB10" s="23">
        <f>$C10*Hypothèses!L$17*$E10*(1+Hypothèses!$C$14)^1</f>
        <v/>
      </c>
      <c r="AC10" s="23">
        <f>$C10*Hypothèses!M$17*$E10*(1+Hypothèses!$C$14)^1</f>
        <v/>
      </c>
      <c r="AD10" s="23">
        <f>$C10*Hypothèses!N$17*$E10*(1+Hypothèses!$C$14)^1</f>
        <v/>
      </c>
      <c r="AE10" s="23">
        <f>$C10*Hypothèses!C$17*$E10*(1+Hypothèses!$C$14)^2</f>
        <v/>
      </c>
      <c r="AF10" s="23">
        <f>$C10*Hypothèses!D$17*$E10*(1+Hypothèses!$C$14)^2</f>
        <v/>
      </c>
      <c r="AG10" s="23">
        <f>$C10*Hypothèses!E$17*$E10*(1+Hypothèses!$C$14)^2</f>
        <v/>
      </c>
      <c r="AH10" s="23">
        <f>$C10*Hypothèses!F$17*$E10*(1+Hypothèses!$C$14)^2</f>
        <v/>
      </c>
      <c r="AI10" s="23">
        <f>$C10*Hypothèses!G$17*$E10*(1+Hypothèses!$C$14)^2</f>
        <v/>
      </c>
      <c r="AJ10" s="23">
        <f>$C10*Hypothèses!H$17*$E10*(1+Hypothèses!$C$14)^2</f>
        <v/>
      </c>
      <c r="AK10" s="23">
        <f>$C10*Hypothèses!I$17*$E10*(1+Hypothèses!$C$14)^2</f>
        <v/>
      </c>
      <c r="AL10" s="23">
        <f>$C10*Hypothèses!J$17*$E10*(1+Hypothèses!$C$14)^2</f>
        <v/>
      </c>
      <c r="AM10" s="23">
        <f>$C10*Hypothèses!K$17*$E10*(1+Hypothèses!$C$14)^2</f>
        <v/>
      </c>
      <c r="AN10" s="23">
        <f>$C10*Hypothèses!L$17*$E10*(1+Hypothèses!$C$14)^2</f>
        <v/>
      </c>
      <c r="AO10" s="23">
        <f>$C10*Hypothèses!M$17*$E10*(1+Hypothèses!$C$14)^2</f>
        <v/>
      </c>
      <c r="AP10" s="23">
        <f>$C10*Hypothèses!N$17*$E10*(1+Hypothèses!$C$14)^2</f>
        <v/>
      </c>
      <c r="AQ10" s="23">
        <f>SUM(G10:R10)</f>
        <v/>
      </c>
      <c r="AR10" s="23">
        <f>SUM(S10:AD10)</f>
        <v/>
      </c>
      <c r="AS10" s="23">
        <f>SUM(AE10:AP10)</f>
        <v/>
      </c>
      <c r="AT10" s="23">
        <f>SUM(AQ10:AS10)</f>
        <v/>
      </c>
    </row>
    <row r="11">
      <c r="A11" s="27" t="inlineStr">
        <is>
          <t>Matières premières</t>
        </is>
      </c>
      <c r="B11" s="27" t="inlineStr">
        <is>
          <t>Œufs</t>
        </is>
      </c>
      <c r="C11" s="33" t="n">
        <v>2200</v>
      </c>
      <c r="D11" s="27" t="inlineStr">
        <is>
          <t>unité</t>
        </is>
      </c>
      <c r="E11" s="9" t="n">
        <v>0.25</v>
      </c>
      <c r="F11" s="31" t="inlineStr">
        <is>
          <t>Estimé — grossiste alimentaire</t>
        </is>
      </c>
      <c r="G11" s="23">
        <f>$C11*Hypothèses!C$17*$E11*(1+Hypothèses!$C$14)^0</f>
        <v/>
      </c>
      <c r="H11" s="23">
        <f>$C11*Hypothèses!D$17*$E11*(1+Hypothèses!$C$14)^0</f>
        <v/>
      </c>
      <c r="I11" s="23">
        <f>$C11*Hypothèses!E$17*$E11*(1+Hypothèses!$C$14)^0</f>
        <v/>
      </c>
      <c r="J11" s="23">
        <f>$C11*Hypothèses!F$17*$E11*(1+Hypothèses!$C$14)^0</f>
        <v/>
      </c>
      <c r="K11" s="23">
        <f>$C11*Hypothèses!G$17*$E11*(1+Hypothèses!$C$14)^0</f>
        <v/>
      </c>
      <c r="L11" s="23">
        <f>$C11*Hypothèses!H$17*$E11*(1+Hypothèses!$C$14)^0</f>
        <v/>
      </c>
      <c r="M11" s="23">
        <f>$C11*Hypothèses!I$17*$E11*(1+Hypothèses!$C$14)^0</f>
        <v/>
      </c>
      <c r="N11" s="23">
        <f>$C11*Hypothèses!J$17*$E11*(1+Hypothèses!$C$14)^0</f>
        <v/>
      </c>
      <c r="O11" s="23">
        <f>$C11*Hypothèses!K$17*$E11*(1+Hypothèses!$C$14)^0</f>
        <v/>
      </c>
      <c r="P11" s="23">
        <f>$C11*Hypothèses!L$17*$E11*(1+Hypothèses!$C$14)^0</f>
        <v/>
      </c>
      <c r="Q11" s="23">
        <f>$C11*Hypothèses!M$17*$E11*(1+Hypothèses!$C$14)^0</f>
        <v/>
      </c>
      <c r="R11" s="23">
        <f>$C11*Hypothèses!N$17*$E11*(1+Hypothèses!$C$14)^0</f>
        <v/>
      </c>
      <c r="S11" s="23">
        <f>$C11*Hypothèses!C$17*$E11*(1+Hypothèses!$C$14)^1</f>
        <v/>
      </c>
      <c r="T11" s="23">
        <f>$C11*Hypothèses!D$17*$E11*(1+Hypothèses!$C$14)^1</f>
        <v/>
      </c>
      <c r="U11" s="23">
        <f>$C11*Hypothèses!E$17*$E11*(1+Hypothèses!$C$14)^1</f>
        <v/>
      </c>
      <c r="V11" s="23">
        <f>$C11*Hypothèses!F$17*$E11*(1+Hypothèses!$C$14)^1</f>
        <v/>
      </c>
      <c r="W11" s="23">
        <f>$C11*Hypothèses!G$17*$E11*(1+Hypothèses!$C$14)^1</f>
        <v/>
      </c>
      <c r="X11" s="23">
        <f>$C11*Hypothèses!H$17*$E11*(1+Hypothèses!$C$14)^1</f>
        <v/>
      </c>
      <c r="Y11" s="23">
        <f>$C11*Hypothèses!I$17*$E11*(1+Hypothèses!$C$14)^1</f>
        <v/>
      </c>
      <c r="Z11" s="23">
        <f>$C11*Hypothèses!J$17*$E11*(1+Hypothèses!$C$14)^1</f>
        <v/>
      </c>
      <c r="AA11" s="23">
        <f>$C11*Hypothèses!K$17*$E11*(1+Hypothèses!$C$14)^1</f>
        <v/>
      </c>
      <c r="AB11" s="23">
        <f>$C11*Hypothèses!L$17*$E11*(1+Hypothèses!$C$14)^1</f>
        <v/>
      </c>
      <c r="AC11" s="23">
        <f>$C11*Hypothèses!M$17*$E11*(1+Hypothèses!$C$14)^1</f>
        <v/>
      </c>
      <c r="AD11" s="23">
        <f>$C11*Hypothèses!N$17*$E11*(1+Hypothèses!$C$14)^1</f>
        <v/>
      </c>
      <c r="AE11" s="23">
        <f>$C11*Hypothèses!C$17*$E11*(1+Hypothèses!$C$14)^2</f>
        <v/>
      </c>
      <c r="AF11" s="23">
        <f>$C11*Hypothèses!D$17*$E11*(1+Hypothèses!$C$14)^2</f>
        <v/>
      </c>
      <c r="AG11" s="23">
        <f>$C11*Hypothèses!E$17*$E11*(1+Hypothèses!$C$14)^2</f>
        <v/>
      </c>
      <c r="AH11" s="23">
        <f>$C11*Hypothèses!F$17*$E11*(1+Hypothèses!$C$14)^2</f>
        <v/>
      </c>
      <c r="AI11" s="23">
        <f>$C11*Hypothèses!G$17*$E11*(1+Hypothèses!$C$14)^2</f>
        <v/>
      </c>
      <c r="AJ11" s="23">
        <f>$C11*Hypothèses!H$17*$E11*(1+Hypothèses!$C$14)^2</f>
        <v/>
      </c>
      <c r="AK11" s="23">
        <f>$C11*Hypothèses!I$17*$E11*(1+Hypothèses!$C$14)^2</f>
        <v/>
      </c>
      <c r="AL11" s="23">
        <f>$C11*Hypothèses!J$17*$E11*(1+Hypothèses!$C$14)^2</f>
        <v/>
      </c>
      <c r="AM11" s="23">
        <f>$C11*Hypothèses!K$17*$E11*(1+Hypothèses!$C$14)^2</f>
        <v/>
      </c>
      <c r="AN11" s="23">
        <f>$C11*Hypothèses!L$17*$E11*(1+Hypothèses!$C$14)^2</f>
        <v/>
      </c>
      <c r="AO11" s="23">
        <f>$C11*Hypothèses!M$17*$E11*(1+Hypothèses!$C$14)^2</f>
        <v/>
      </c>
      <c r="AP11" s="23">
        <f>$C11*Hypothèses!N$17*$E11*(1+Hypothèses!$C$14)^2</f>
        <v/>
      </c>
      <c r="AQ11" s="23">
        <f>SUM(G11:R11)</f>
        <v/>
      </c>
      <c r="AR11" s="23">
        <f>SUM(S11:AD11)</f>
        <v/>
      </c>
      <c r="AS11" s="23">
        <f>SUM(AE11:AP11)</f>
        <v/>
      </c>
      <c r="AT11" s="23">
        <f>SUM(AQ11:AS11)</f>
        <v/>
      </c>
    </row>
    <row r="12">
      <c r="A12" s="27" t="inlineStr">
        <is>
          <t>Matières premières</t>
        </is>
      </c>
      <c r="B12" s="28" t="inlineStr">
        <is>
          <t>Sucre — prix de marché simulé (€/unité)</t>
        </is>
      </c>
      <c r="C12" s="29" t="n"/>
      <c r="D12" s="28" t="inlineStr">
        <is>
          <t>kg</t>
        </is>
      </c>
      <c r="E12" s="30">
        <f>AVERAGE(G12:AP12)</f>
        <v/>
      </c>
      <c r="F12" s="31" t="inlineStr">
        <is>
          <t>API marché (SUGAR, Alpha Vantage) — simulation calibrée, à remplacer par un fetch live</t>
        </is>
      </c>
      <c r="G12" s="32" t="n">
        <v>0.999</v>
      </c>
      <c r="H12" s="32" t="n">
        <v>1.0675</v>
      </c>
      <c r="I12" s="32" t="n">
        <v>1.1185</v>
      </c>
      <c r="J12" s="32" t="n">
        <v>1.2135</v>
      </c>
      <c r="K12" s="32" t="n">
        <v>1.1601</v>
      </c>
      <c r="L12" s="32" t="n">
        <v>1.1194</v>
      </c>
      <c r="M12" s="32" t="n">
        <v>1.0575</v>
      </c>
      <c r="N12" s="32" t="n">
        <v>1.0044</v>
      </c>
      <c r="O12" s="32" t="n">
        <v>1.0777</v>
      </c>
      <c r="P12" s="32" t="n">
        <v>1.1012</v>
      </c>
      <c r="Q12" s="32" t="n">
        <v>1.045</v>
      </c>
      <c r="R12" s="32" t="n">
        <v>0.9952</v>
      </c>
      <c r="S12" s="32" t="n">
        <v>1.0679</v>
      </c>
      <c r="T12" s="32" t="n">
        <v>0.9983</v>
      </c>
      <c r="U12" s="32" t="n">
        <v>0.9695</v>
      </c>
      <c r="V12" s="32" t="n">
        <v>1.0006</v>
      </c>
      <c r="W12" s="32" t="n">
        <v>1.0785</v>
      </c>
      <c r="X12" s="32" t="n">
        <v>1.1656</v>
      </c>
      <c r="Y12" s="32" t="n">
        <v>1.1325</v>
      </c>
      <c r="Z12" s="32" t="n">
        <v>1.0482</v>
      </c>
      <c r="AA12" s="32" t="n">
        <v>0.9811</v>
      </c>
      <c r="AB12" s="32" t="n">
        <v>1.0079</v>
      </c>
      <c r="AC12" s="32" t="n">
        <v>1.0229</v>
      </c>
      <c r="AD12" s="32" t="n">
        <v>1.0992</v>
      </c>
      <c r="AE12" s="32" t="n">
        <v>1.1576</v>
      </c>
      <c r="AF12" s="32" t="n">
        <v>1.2365</v>
      </c>
      <c r="AG12" s="32" t="n">
        <v>1.1634</v>
      </c>
      <c r="AH12" s="32" t="n">
        <v>1.0899</v>
      </c>
      <c r="AI12" s="32" t="n">
        <v>1.0927</v>
      </c>
      <c r="AJ12" s="32" t="n">
        <v>1.1237</v>
      </c>
      <c r="AK12" s="32" t="n">
        <v>1.0747</v>
      </c>
      <c r="AL12" s="32" t="n">
        <v>1.1621</v>
      </c>
      <c r="AM12" s="32" t="n">
        <v>1.049</v>
      </c>
      <c r="AN12" s="32" t="n">
        <v>1.0446</v>
      </c>
      <c r="AO12" s="32" t="n">
        <v>0.9893</v>
      </c>
      <c r="AP12" s="32" t="n">
        <v>1.0164</v>
      </c>
    </row>
    <row r="13">
      <c r="A13" s="27" t="inlineStr">
        <is>
          <t>Matières premières</t>
        </is>
      </c>
      <c r="B13" s="27" t="inlineStr">
        <is>
          <t>↳ Coût (Sucre)</t>
        </is>
      </c>
      <c r="C13" s="33" t="n">
        <v>320</v>
      </c>
      <c r="D13" s="27" t="inlineStr">
        <is>
          <t>kg</t>
        </is>
      </c>
      <c r="E13" s="29" t="n"/>
      <c r="F13" s="28" t="inlineStr">
        <is>
          <t>Coût = Qté de base × saisonnalité × prix simulé ci-dessus</t>
        </is>
      </c>
      <c r="G13" s="23">
        <f>$C13*Hypothèses!C$17*G12</f>
        <v/>
      </c>
      <c r="H13" s="23">
        <f>$C13*Hypothèses!D$17*H12</f>
        <v/>
      </c>
      <c r="I13" s="23">
        <f>$C13*Hypothèses!E$17*I12</f>
        <v/>
      </c>
      <c r="J13" s="23">
        <f>$C13*Hypothèses!F$17*J12</f>
        <v/>
      </c>
      <c r="K13" s="23">
        <f>$C13*Hypothèses!G$17*K12</f>
        <v/>
      </c>
      <c r="L13" s="23">
        <f>$C13*Hypothèses!H$17*L12</f>
        <v/>
      </c>
      <c r="M13" s="23">
        <f>$C13*Hypothèses!I$17*M12</f>
        <v/>
      </c>
      <c r="N13" s="23">
        <f>$C13*Hypothèses!J$17*N12</f>
        <v/>
      </c>
      <c r="O13" s="23">
        <f>$C13*Hypothèses!K$17*O12</f>
        <v/>
      </c>
      <c r="P13" s="23">
        <f>$C13*Hypothèses!L$17*P12</f>
        <v/>
      </c>
      <c r="Q13" s="23">
        <f>$C13*Hypothèses!M$17*Q12</f>
        <v/>
      </c>
      <c r="R13" s="23">
        <f>$C13*Hypothèses!N$17*R12</f>
        <v/>
      </c>
      <c r="S13" s="23">
        <f>$C13*Hypothèses!C$17*S12</f>
        <v/>
      </c>
      <c r="T13" s="23">
        <f>$C13*Hypothèses!D$17*T12</f>
        <v/>
      </c>
      <c r="U13" s="23">
        <f>$C13*Hypothèses!E$17*U12</f>
        <v/>
      </c>
      <c r="V13" s="23">
        <f>$C13*Hypothèses!F$17*V12</f>
        <v/>
      </c>
      <c r="W13" s="23">
        <f>$C13*Hypothèses!G$17*W12</f>
        <v/>
      </c>
      <c r="X13" s="23">
        <f>$C13*Hypothèses!H$17*X12</f>
        <v/>
      </c>
      <c r="Y13" s="23">
        <f>$C13*Hypothèses!I$17*Y12</f>
        <v/>
      </c>
      <c r="Z13" s="23">
        <f>$C13*Hypothèses!J$17*Z12</f>
        <v/>
      </c>
      <c r="AA13" s="23">
        <f>$C13*Hypothèses!K$17*AA12</f>
        <v/>
      </c>
      <c r="AB13" s="23">
        <f>$C13*Hypothèses!L$17*AB12</f>
        <v/>
      </c>
      <c r="AC13" s="23">
        <f>$C13*Hypothèses!M$17*AC12</f>
        <v/>
      </c>
      <c r="AD13" s="23">
        <f>$C13*Hypothèses!N$17*AD12</f>
        <v/>
      </c>
      <c r="AE13" s="23">
        <f>$C13*Hypothèses!C$17*AE12</f>
        <v/>
      </c>
      <c r="AF13" s="23">
        <f>$C13*Hypothèses!D$17*AF12</f>
        <v/>
      </c>
      <c r="AG13" s="23">
        <f>$C13*Hypothèses!E$17*AG12</f>
        <v/>
      </c>
      <c r="AH13" s="23">
        <f>$C13*Hypothèses!F$17*AH12</f>
        <v/>
      </c>
      <c r="AI13" s="23">
        <f>$C13*Hypothèses!G$17*AI12</f>
        <v/>
      </c>
      <c r="AJ13" s="23">
        <f>$C13*Hypothèses!H$17*AJ12</f>
        <v/>
      </c>
      <c r="AK13" s="23">
        <f>$C13*Hypothèses!I$17*AK12</f>
        <v/>
      </c>
      <c r="AL13" s="23">
        <f>$C13*Hypothèses!J$17*AL12</f>
        <v/>
      </c>
      <c r="AM13" s="23">
        <f>$C13*Hypothèses!K$17*AM12</f>
        <v/>
      </c>
      <c r="AN13" s="23">
        <f>$C13*Hypothèses!L$17*AN12</f>
        <v/>
      </c>
      <c r="AO13" s="23">
        <f>$C13*Hypothèses!M$17*AO12</f>
        <v/>
      </c>
      <c r="AP13" s="23">
        <f>$C13*Hypothèses!N$17*AP12</f>
        <v/>
      </c>
      <c r="AQ13" s="23">
        <f>SUM(G13:R13)</f>
        <v/>
      </c>
      <c r="AR13" s="23">
        <f>SUM(S13:AD13)</f>
        <v/>
      </c>
      <c r="AS13" s="23">
        <f>SUM(AE13:AP13)</f>
        <v/>
      </c>
      <c r="AT13" s="23">
        <f>SUM(AQ13:AS13)</f>
        <v/>
      </c>
    </row>
    <row r="14">
      <c r="A14" s="27" t="inlineStr">
        <is>
          <t>Matières premières</t>
        </is>
      </c>
      <c r="B14" s="28" t="inlineStr">
        <is>
          <t>Chocolat de couverture — prix de marché simulé (€/unité)</t>
        </is>
      </c>
      <c r="C14" s="29" t="n"/>
      <c r="D14" s="28" t="inlineStr">
        <is>
          <t>kg</t>
        </is>
      </c>
      <c r="E14" s="30">
        <f>AVERAGE(G14:AP14)</f>
        <v/>
      </c>
      <c r="F14" s="31" t="inlineStr">
        <is>
          <t>API marché (proxy cacao, Banque Mondiale Pink Sheet) — simulation calibrée sur la hausse réelle du cacao</t>
        </is>
      </c>
      <c r="G14" s="32" t="n">
        <v>7.4498</v>
      </c>
      <c r="H14" s="32" t="n">
        <v>7.423</v>
      </c>
      <c r="I14" s="32" t="n">
        <v>7.2942</v>
      </c>
      <c r="J14" s="32" t="n">
        <v>6.4198</v>
      </c>
      <c r="K14" s="32" t="n">
        <v>6.5165</v>
      </c>
      <c r="L14" s="32" t="n">
        <v>6.7737</v>
      </c>
      <c r="M14" s="32" t="n">
        <v>6.6071</v>
      </c>
      <c r="N14" s="32" t="n">
        <v>6.4978</v>
      </c>
      <c r="O14" s="32" t="n">
        <v>5.7438</v>
      </c>
      <c r="P14" s="32" t="n">
        <v>6.4403</v>
      </c>
      <c r="Q14" s="32" t="n">
        <v>6.6716</v>
      </c>
      <c r="R14" s="32" t="n">
        <v>6.5319</v>
      </c>
      <c r="S14" s="32" t="n">
        <v>6.9065</v>
      </c>
      <c r="T14" s="32" t="n">
        <v>7.1554</v>
      </c>
      <c r="U14" s="32" t="n">
        <v>7.273</v>
      </c>
      <c r="V14" s="32" t="n">
        <v>7.2164</v>
      </c>
      <c r="W14" s="32" t="n">
        <v>7.3168</v>
      </c>
      <c r="X14" s="32" t="n">
        <v>7.6507</v>
      </c>
      <c r="Y14" s="32" t="n">
        <v>8.2301</v>
      </c>
      <c r="Z14" s="32" t="n">
        <v>8.872</v>
      </c>
      <c r="AA14" s="32" t="n">
        <v>9.238899999999999</v>
      </c>
      <c r="AB14" s="32" t="n">
        <v>10.006</v>
      </c>
      <c r="AC14" s="32" t="n">
        <v>9.950799999999999</v>
      </c>
      <c r="AD14" s="32" t="n">
        <v>8.761900000000001</v>
      </c>
      <c r="AE14" s="32" t="n">
        <v>7.7722</v>
      </c>
      <c r="AF14" s="32" t="n">
        <v>8.3901</v>
      </c>
      <c r="AG14" s="32" t="n">
        <v>7.3282</v>
      </c>
      <c r="AH14" s="32" t="n">
        <v>6.9037</v>
      </c>
      <c r="AI14" s="32" t="n">
        <v>6.9626</v>
      </c>
      <c r="AJ14" s="32" t="n">
        <v>7.5529</v>
      </c>
      <c r="AK14" s="32" t="n">
        <v>6.336</v>
      </c>
      <c r="AL14" s="32" t="n">
        <v>5.7946</v>
      </c>
      <c r="AM14" s="32" t="n">
        <v>5.4538</v>
      </c>
      <c r="AN14" s="32" t="n">
        <v>5.1623</v>
      </c>
      <c r="AO14" s="32" t="n">
        <v>5.2016</v>
      </c>
      <c r="AP14" s="32" t="n">
        <v>5.5814</v>
      </c>
    </row>
    <row r="15">
      <c r="A15" s="27" t="inlineStr">
        <is>
          <t>Matières premières</t>
        </is>
      </c>
      <c r="B15" s="27" t="inlineStr">
        <is>
          <t>↳ Coût (Chocolat de couverture)</t>
        </is>
      </c>
      <c r="C15" s="33" t="n">
        <v>160</v>
      </c>
      <c r="D15" s="27" t="inlineStr">
        <is>
          <t>kg</t>
        </is>
      </c>
      <c r="E15" s="29" t="n"/>
      <c r="F15" s="28" t="inlineStr">
        <is>
          <t>Coût = Qté de base × saisonnalité × prix simulé ci-dessus</t>
        </is>
      </c>
      <c r="G15" s="23">
        <f>$C15*Hypothèses!C$17*G14</f>
        <v/>
      </c>
      <c r="H15" s="23">
        <f>$C15*Hypothèses!D$17*H14</f>
        <v/>
      </c>
      <c r="I15" s="23">
        <f>$C15*Hypothèses!E$17*I14</f>
        <v/>
      </c>
      <c r="J15" s="23">
        <f>$C15*Hypothèses!F$17*J14</f>
        <v/>
      </c>
      <c r="K15" s="23">
        <f>$C15*Hypothèses!G$17*K14</f>
        <v/>
      </c>
      <c r="L15" s="23">
        <f>$C15*Hypothèses!H$17*L14</f>
        <v/>
      </c>
      <c r="M15" s="23">
        <f>$C15*Hypothèses!I$17*M14</f>
        <v/>
      </c>
      <c r="N15" s="23">
        <f>$C15*Hypothèses!J$17*N14</f>
        <v/>
      </c>
      <c r="O15" s="23">
        <f>$C15*Hypothèses!K$17*O14</f>
        <v/>
      </c>
      <c r="P15" s="23">
        <f>$C15*Hypothèses!L$17*P14</f>
        <v/>
      </c>
      <c r="Q15" s="23">
        <f>$C15*Hypothèses!M$17*Q14</f>
        <v/>
      </c>
      <c r="R15" s="23">
        <f>$C15*Hypothèses!N$17*R14</f>
        <v/>
      </c>
      <c r="S15" s="23">
        <f>$C15*Hypothèses!C$17*S14</f>
        <v/>
      </c>
      <c r="T15" s="23">
        <f>$C15*Hypothèses!D$17*T14</f>
        <v/>
      </c>
      <c r="U15" s="23">
        <f>$C15*Hypothèses!E$17*U14</f>
        <v/>
      </c>
      <c r="V15" s="23">
        <f>$C15*Hypothèses!F$17*V14</f>
        <v/>
      </c>
      <c r="W15" s="23">
        <f>$C15*Hypothèses!G$17*W14</f>
        <v/>
      </c>
      <c r="X15" s="23">
        <f>$C15*Hypothèses!H$17*X14</f>
        <v/>
      </c>
      <c r="Y15" s="23">
        <f>$C15*Hypothèses!I$17*Y14</f>
        <v/>
      </c>
      <c r="Z15" s="23">
        <f>$C15*Hypothèses!J$17*Z14</f>
        <v/>
      </c>
      <c r="AA15" s="23">
        <f>$C15*Hypothèses!K$17*AA14</f>
        <v/>
      </c>
      <c r="AB15" s="23">
        <f>$C15*Hypothèses!L$17*AB14</f>
        <v/>
      </c>
      <c r="AC15" s="23">
        <f>$C15*Hypothèses!M$17*AC14</f>
        <v/>
      </c>
      <c r="AD15" s="23">
        <f>$C15*Hypothèses!N$17*AD14</f>
        <v/>
      </c>
      <c r="AE15" s="23">
        <f>$C15*Hypothèses!C$17*AE14</f>
        <v/>
      </c>
      <c r="AF15" s="23">
        <f>$C15*Hypothèses!D$17*AF14</f>
        <v/>
      </c>
      <c r="AG15" s="23">
        <f>$C15*Hypothèses!E$17*AG14</f>
        <v/>
      </c>
      <c r="AH15" s="23">
        <f>$C15*Hypothèses!F$17*AH14</f>
        <v/>
      </c>
      <c r="AI15" s="23">
        <f>$C15*Hypothèses!G$17*AI14</f>
        <v/>
      </c>
      <c r="AJ15" s="23">
        <f>$C15*Hypothèses!H$17*AJ14</f>
        <v/>
      </c>
      <c r="AK15" s="23">
        <f>$C15*Hypothèses!I$17*AK14</f>
        <v/>
      </c>
      <c r="AL15" s="23">
        <f>$C15*Hypothèses!J$17*AL14</f>
        <v/>
      </c>
      <c r="AM15" s="23">
        <f>$C15*Hypothèses!K$17*AM14</f>
        <v/>
      </c>
      <c r="AN15" s="23">
        <f>$C15*Hypothèses!L$17*AN14</f>
        <v/>
      </c>
      <c r="AO15" s="23">
        <f>$C15*Hypothèses!M$17*AO14</f>
        <v/>
      </c>
      <c r="AP15" s="23">
        <f>$C15*Hypothèses!N$17*AP14</f>
        <v/>
      </c>
      <c r="AQ15" s="23">
        <f>SUM(G15:R15)</f>
        <v/>
      </c>
      <c r="AR15" s="23">
        <f>SUM(S15:AD15)</f>
        <v/>
      </c>
      <c r="AS15" s="23">
        <f>SUM(AE15:AP15)</f>
        <v/>
      </c>
      <c r="AT15" s="23">
        <f>SUM(AQ15:AS15)</f>
        <v/>
      </c>
    </row>
    <row r="16">
      <c r="A16" s="27" t="inlineStr">
        <is>
          <t>Matières premières</t>
        </is>
      </c>
      <c r="B16" s="27" t="inlineStr">
        <is>
          <t>Lait</t>
        </is>
      </c>
      <c r="C16" s="33" t="n">
        <v>420</v>
      </c>
      <c r="D16" s="27" t="inlineStr">
        <is>
          <t>L</t>
        </is>
      </c>
      <c r="E16" s="9" t="n">
        <v>1.05</v>
      </c>
      <c r="F16" s="31" t="inlineStr">
        <is>
          <t>Estimé — grossiste alimentaire</t>
        </is>
      </c>
      <c r="G16" s="23">
        <f>$C16*Hypothèses!C$17*$E16*(1+Hypothèses!$C$14)^0</f>
        <v/>
      </c>
      <c r="H16" s="23">
        <f>$C16*Hypothèses!D$17*$E16*(1+Hypothèses!$C$14)^0</f>
        <v/>
      </c>
      <c r="I16" s="23">
        <f>$C16*Hypothèses!E$17*$E16*(1+Hypothèses!$C$14)^0</f>
        <v/>
      </c>
      <c r="J16" s="23">
        <f>$C16*Hypothèses!F$17*$E16*(1+Hypothèses!$C$14)^0</f>
        <v/>
      </c>
      <c r="K16" s="23">
        <f>$C16*Hypothèses!G$17*$E16*(1+Hypothèses!$C$14)^0</f>
        <v/>
      </c>
      <c r="L16" s="23">
        <f>$C16*Hypothèses!H$17*$E16*(1+Hypothèses!$C$14)^0</f>
        <v/>
      </c>
      <c r="M16" s="23">
        <f>$C16*Hypothèses!I$17*$E16*(1+Hypothèses!$C$14)^0</f>
        <v/>
      </c>
      <c r="N16" s="23">
        <f>$C16*Hypothèses!J$17*$E16*(1+Hypothèses!$C$14)^0</f>
        <v/>
      </c>
      <c r="O16" s="23">
        <f>$C16*Hypothèses!K$17*$E16*(1+Hypothèses!$C$14)^0</f>
        <v/>
      </c>
      <c r="P16" s="23">
        <f>$C16*Hypothèses!L$17*$E16*(1+Hypothèses!$C$14)^0</f>
        <v/>
      </c>
      <c r="Q16" s="23">
        <f>$C16*Hypothèses!M$17*$E16*(1+Hypothèses!$C$14)^0</f>
        <v/>
      </c>
      <c r="R16" s="23">
        <f>$C16*Hypothèses!N$17*$E16*(1+Hypothèses!$C$14)^0</f>
        <v/>
      </c>
      <c r="S16" s="23">
        <f>$C16*Hypothèses!C$17*$E16*(1+Hypothèses!$C$14)^1</f>
        <v/>
      </c>
      <c r="T16" s="23">
        <f>$C16*Hypothèses!D$17*$E16*(1+Hypothèses!$C$14)^1</f>
        <v/>
      </c>
      <c r="U16" s="23">
        <f>$C16*Hypothèses!E$17*$E16*(1+Hypothèses!$C$14)^1</f>
        <v/>
      </c>
      <c r="V16" s="23">
        <f>$C16*Hypothèses!F$17*$E16*(1+Hypothèses!$C$14)^1</f>
        <v/>
      </c>
      <c r="W16" s="23">
        <f>$C16*Hypothèses!G$17*$E16*(1+Hypothèses!$C$14)^1</f>
        <v/>
      </c>
      <c r="X16" s="23">
        <f>$C16*Hypothèses!H$17*$E16*(1+Hypothèses!$C$14)^1</f>
        <v/>
      </c>
      <c r="Y16" s="23">
        <f>$C16*Hypothèses!I$17*$E16*(1+Hypothèses!$C$14)^1</f>
        <v/>
      </c>
      <c r="Z16" s="23">
        <f>$C16*Hypothèses!J$17*$E16*(1+Hypothèses!$C$14)^1</f>
        <v/>
      </c>
      <c r="AA16" s="23">
        <f>$C16*Hypothèses!K$17*$E16*(1+Hypothèses!$C$14)^1</f>
        <v/>
      </c>
      <c r="AB16" s="23">
        <f>$C16*Hypothèses!L$17*$E16*(1+Hypothèses!$C$14)^1</f>
        <v/>
      </c>
      <c r="AC16" s="23">
        <f>$C16*Hypothèses!M$17*$E16*(1+Hypothèses!$C$14)^1</f>
        <v/>
      </c>
      <c r="AD16" s="23">
        <f>$C16*Hypothèses!N$17*$E16*(1+Hypothèses!$C$14)^1</f>
        <v/>
      </c>
      <c r="AE16" s="23">
        <f>$C16*Hypothèses!C$17*$E16*(1+Hypothèses!$C$14)^2</f>
        <v/>
      </c>
      <c r="AF16" s="23">
        <f>$C16*Hypothèses!D$17*$E16*(1+Hypothèses!$C$14)^2</f>
        <v/>
      </c>
      <c r="AG16" s="23">
        <f>$C16*Hypothèses!E$17*$E16*(1+Hypothèses!$C$14)^2</f>
        <v/>
      </c>
      <c r="AH16" s="23">
        <f>$C16*Hypothèses!F$17*$E16*(1+Hypothèses!$C$14)^2</f>
        <v/>
      </c>
      <c r="AI16" s="23">
        <f>$C16*Hypothèses!G$17*$E16*(1+Hypothèses!$C$14)^2</f>
        <v/>
      </c>
      <c r="AJ16" s="23">
        <f>$C16*Hypothèses!H$17*$E16*(1+Hypothèses!$C$14)^2</f>
        <v/>
      </c>
      <c r="AK16" s="23">
        <f>$C16*Hypothèses!I$17*$E16*(1+Hypothèses!$C$14)^2</f>
        <v/>
      </c>
      <c r="AL16" s="23">
        <f>$C16*Hypothèses!J$17*$E16*(1+Hypothèses!$C$14)^2</f>
        <v/>
      </c>
      <c r="AM16" s="23">
        <f>$C16*Hypothèses!K$17*$E16*(1+Hypothèses!$C$14)^2</f>
        <v/>
      </c>
      <c r="AN16" s="23">
        <f>$C16*Hypothèses!L$17*$E16*(1+Hypothèses!$C$14)^2</f>
        <v/>
      </c>
      <c r="AO16" s="23">
        <f>$C16*Hypothèses!M$17*$E16*(1+Hypothèses!$C$14)^2</f>
        <v/>
      </c>
      <c r="AP16" s="23">
        <f>$C16*Hypothèses!N$17*$E16*(1+Hypothèses!$C$14)^2</f>
        <v/>
      </c>
      <c r="AQ16" s="23">
        <f>SUM(G16:R16)</f>
        <v/>
      </c>
      <c r="AR16" s="23">
        <f>SUM(S16:AD16)</f>
        <v/>
      </c>
      <c r="AS16" s="23">
        <f>SUM(AE16:AP16)</f>
        <v/>
      </c>
      <c r="AT16" s="23">
        <f>SUM(AQ16:AS16)</f>
        <v/>
      </c>
    </row>
    <row r="17">
      <c r="A17" s="27" t="inlineStr">
        <is>
          <t>Matières premières</t>
        </is>
      </c>
      <c r="B17" s="27" t="inlineStr">
        <is>
          <t>Crème fraîche/liquide</t>
        </is>
      </c>
      <c r="C17" s="33" t="n">
        <v>160</v>
      </c>
      <c r="D17" s="27" t="inlineStr">
        <is>
          <t>L</t>
        </is>
      </c>
      <c r="E17" s="9" t="n">
        <v>3.6</v>
      </c>
      <c r="F17" s="31" t="inlineStr">
        <is>
          <t>Estimé — grossiste alimentaire</t>
        </is>
      </c>
      <c r="G17" s="23">
        <f>$C17*Hypothèses!C$17*$E17*(1+Hypothèses!$C$14)^0</f>
        <v/>
      </c>
      <c r="H17" s="23">
        <f>$C17*Hypothèses!D$17*$E17*(1+Hypothèses!$C$14)^0</f>
        <v/>
      </c>
      <c r="I17" s="23">
        <f>$C17*Hypothèses!E$17*$E17*(1+Hypothèses!$C$14)^0</f>
        <v/>
      </c>
      <c r="J17" s="23">
        <f>$C17*Hypothèses!F$17*$E17*(1+Hypothèses!$C$14)^0</f>
        <v/>
      </c>
      <c r="K17" s="23">
        <f>$C17*Hypothèses!G$17*$E17*(1+Hypothèses!$C$14)^0</f>
        <v/>
      </c>
      <c r="L17" s="23">
        <f>$C17*Hypothèses!H$17*$E17*(1+Hypothèses!$C$14)^0</f>
        <v/>
      </c>
      <c r="M17" s="23">
        <f>$C17*Hypothèses!I$17*$E17*(1+Hypothèses!$C$14)^0</f>
        <v/>
      </c>
      <c r="N17" s="23">
        <f>$C17*Hypothèses!J$17*$E17*(1+Hypothèses!$C$14)^0</f>
        <v/>
      </c>
      <c r="O17" s="23">
        <f>$C17*Hypothèses!K$17*$E17*(1+Hypothèses!$C$14)^0</f>
        <v/>
      </c>
      <c r="P17" s="23">
        <f>$C17*Hypothèses!L$17*$E17*(1+Hypothèses!$C$14)^0</f>
        <v/>
      </c>
      <c r="Q17" s="23">
        <f>$C17*Hypothèses!M$17*$E17*(1+Hypothèses!$C$14)^0</f>
        <v/>
      </c>
      <c r="R17" s="23">
        <f>$C17*Hypothèses!N$17*$E17*(1+Hypothèses!$C$14)^0</f>
        <v/>
      </c>
      <c r="S17" s="23">
        <f>$C17*Hypothèses!C$17*$E17*(1+Hypothèses!$C$14)^1</f>
        <v/>
      </c>
      <c r="T17" s="23">
        <f>$C17*Hypothèses!D$17*$E17*(1+Hypothèses!$C$14)^1</f>
        <v/>
      </c>
      <c r="U17" s="23">
        <f>$C17*Hypothèses!E$17*$E17*(1+Hypothèses!$C$14)^1</f>
        <v/>
      </c>
      <c r="V17" s="23">
        <f>$C17*Hypothèses!F$17*$E17*(1+Hypothèses!$C$14)^1</f>
        <v/>
      </c>
      <c r="W17" s="23">
        <f>$C17*Hypothèses!G$17*$E17*(1+Hypothèses!$C$14)^1</f>
        <v/>
      </c>
      <c r="X17" s="23">
        <f>$C17*Hypothèses!H$17*$E17*(1+Hypothèses!$C$14)^1</f>
        <v/>
      </c>
      <c r="Y17" s="23">
        <f>$C17*Hypothèses!I$17*$E17*(1+Hypothèses!$C$14)^1</f>
        <v/>
      </c>
      <c r="Z17" s="23">
        <f>$C17*Hypothèses!J$17*$E17*(1+Hypothèses!$C$14)^1</f>
        <v/>
      </c>
      <c r="AA17" s="23">
        <f>$C17*Hypothèses!K$17*$E17*(1+Hypothèses!$C$14)^1</f>
        <v/>
      </c>
      <c r="AB17" s="23">
        <f>$C17*Hypothèses!L$17*$E17*(1+Hypothèses!$C$14)^1</f>
        <v/>
      </c>
      <c r="AC17" s="23">
        <f>$C17*Hypothèses!M$17*$E17*(1+Hypothèses!$C$14)^1</f>
        <v/>
      </c>
      <c r="AD17" s="23">
        <f>$C17*Hypothèses!N$17*$E17*(1+Hypothèses!$C$14)^1</f>
        <v/>
      </c>
      <c r="AE17" s="23">
        <f>$C17*Hypothèses!C$17*$E17*(1+Hypothèses!$C$14)^2</f>
        <v/>
      </c>
      <c r="AF17" s="23">
        <f>$C17*Hypothèses!D$17*$E17*(1+Hypothèses!$C$14)^2</f>
        <v/>
      </c>
      <c r="AG17" s="23">
        <f>$C17*Hypothèses!E$17*$E17*(1+Hypothèses!$C$14)^2</f>
        <v/>
      </c>
      <c r="AH17" s="23">
        <f>$C17*Hypothèses!F$17*$E17*(1+Hypothèses!$C$14)^2</f>
        <v/>
      </c>
      <c r="AI17" s="23">
        <f>$C17*Hypothèses!G$17*$E17*(1+Hypothèses!$C$14)^2</f>
        <v/>
      </c>
      <c r="AJ17" s="23">
        <f>$C17*Hypothèses!H$17*$E17*(1+Hypothèses!$C$14)^2</f>
        <v/>
      </c>
      <c r="AK17" s="23">
        <f>$C17*Hypothèses!I$17*$E17*(1+Hypothèses!$C$14)^2</f>
        <v/>
      </c>
      <c r="AL17" s="23">
        <f>$C17*Hypothèses!J$17*$E17*(1+Hypothèses!$C$14)^2</f>
        <v/>
      </c>
      <c r="AM17" s="23">
        <f>$C17*Hypothèses!K$17*$E17*(1+Hypothèses!$C$14)^2</f>
        <v/>
      </c>
      <c r="AN17" s="23">
        <f>$C17*Hypothèses!L$17*$E17*(1+Hypothèses!$C$14)^2</f>
        <v/>
      </c>
      <c r="AO17" s="23">
        <f>$C17*Hypothèses!M$17*$E17*(1+Hypothèses!$C$14)^2</f>
        <v/>
      </c>
      <c r="AP17" s="23">
        <f>$C17*Hypothèses!N$17*$E17*(1+Hypothèses!$C$14)^2</f>
        <v/>
      </c>
      <c r="AQ17" s="23">
        <f>SUM(G17:R17)</f>
        <v/>
      </c>
      <c r="AR17" s="23">
        <f>SUM(S17:AD17)</f>
        <v/>
      </c>
      <c r="AS17" s="23">
        <f>SUM(AE17:AP17)</f>
        <v/>
      </c>
      <c r="AT17" s="23">
        <f>SUM(AQ17:AS17)</f>
        <v/>
      </c>
    </row>
    <row r="18">
      <c r="A18" s="27" t="inlineStr">
        <is>
          <t>Matières premières</t>
        </is>
      </c>
      <c r="B18" s="27" t="inlineStr">
        <is>
          <t>Fruits (garnitures, frais/surgelés)</t>
        </is>
      </c>
      <c r="C18" s="33" t="n">
        <v>220</v>
      </c>
      <c r="D18" s="27" t="inlineStr">
        <is>
          <t>kg</t>
        </is>
      </c>
      <c r="E18" s="9" t="n">
        <v>2.6</v>
      </c>
      <c r="F18" s="31" t="inlineStr">
        <is>
          <t>Estimé — grossiste/marché</t>
        </is>
      </c>
      <c r="G18" s="23">
        <f>$C18*Hypothèses!C$17*$E18*(1+Hypothèses!$C$14)^0</f>
        <v/>
      </c>
      <c r="H18" s="23">
        <f>$C18*Hypothèses!D$17*$E18*(1+Hypothèses!$C$14)^0</f>
        <v/>
      </c>
      <c r="I18" s="23">
        <f>$C18*Hypothèses!E$17*$E18*(1+Hypothèses!$C$14)^0</f>
        <v/>
      </c>
      <c r="J18" s="23">
        <f>$C18*Hypothèses!F$17*$E18*(1+Hypothèses!$C$14)^0</f>
        <v/>
      </c>
      <c r="K18" s="23">
        <f>$C18*Hypothèses!G$17*$E18*(1+Hypothèses!$C$14)^0</f>
        <v/>
      </c>
      <c r="L18" s="23">
        <f>$C18*Hypothèses!H$17*$E18*(1+Hypothèses!$C$14)^0</f>
        <v/>
      </c>
      <c r="M18" s="23">
        <f>$C18*Hypothèses!I$17*$E18*(1+Hypothèses!$C$14)^0</f>
        <v/>
      </c>
      <c r="N18" s="23">
        <f>$C18*Hypothèses!J$17*$E18*(1+Hypothèses!$C$14)^0</f>
        <v/>
      </c>
      <c r="O18" s="23">
        <f>$C18*Hypothèses!K$17*$E18*(1+Hypothèses!$C$14)^0</f>
        <v/>
      </c>
      <c r="P18" s="23">
        <f>$C18*Hypothèses!L$17*$E18*(1+Hypothèses!$C$14)^0</f>
        <v/>
      </c>
      <c r="Q18" s="23">
        <f>$C18*Hypothèses!M$17*$E18*(1+Hypothèses!$C$14)^0</f>
        <v/>
      </c>
      <c r="R18" s="23">
        <f>$C18*Hypothèses!N$17*$E18*(1+Hypothèses!$C$14)^0</f>
        <v/>
      </c>
      <c r="S18" s="23">
        <f>$C18*Hypothèses!C$17*$E18*(1+Hypothèses!$C$14)^1</f>
        <v/>
      </c>
      <c r="T18" s="23">
        <f>$C18*Hypothèses!D$17*$E18*(1+Hypothèses!$C$14)^1</f>
        <v/>
      </c>
      <c r="U18" s="23">
        <f>$C18*Hypothèses!E$17*$E18*(1+Hypothèses!$C$14)^1</f>
        <v/>
      </c>
      <c r="V18" s="23">
        <f>$C18*Hypothèses!F$17*$E18*(1+Hypothèses!$C$14)^1</f>
        <v/>
      </c>
      <c r="W18" s="23">
        <f>$C18*Hypothèses!G$17*$E18*(1+Hypothèses!$C$14)^1</f>
        <v/>
      </c>
      <c r="X18" s="23">
        <f>$C18*Hypothèses!H$17*$E18*(1+Hypothèses!$C$14)^1</f>
        <v/>
      </c>
      <c r="Y18" s="23">
        <f>$C18*Hypothèses!I$17*$E18*(1+Hypothèses!$C$14)^1</f>
        <v/>
      </c>
      <c r="Z18" s="23">
        <f>$C18*Hypothèses!J$17*$E18*(1+Hypothèses!$C$14)^1</f>
        <v/>
      </c>
      <c r="AA18" s="23">
        <f>$C18*Hypothèses!K$17*$E18*(1+Hypothèses!$C$14)^1</f>
        <v/>
      </c>
      <c r="AB18" s="23">
        <f>$C18*Hypothèses!L$17*$E18*(1+Hypothèses!$C$14)^1</f>
        <v/>
      </c>
      <c r="AC18" s="23">
        <f>$C18*Hypothèses!M$17*$E18*(1+Hypothèses!$C$14)^1</f>
        <v/>
      </c>
      <c r="AD18" s="23">
        <f>$C18*Hypothèses!N$17*$E18*(1+Hypothèses!$C$14)^1</f>
        <v/>
      </c>
      <c r="AE18" s="23">
        <f>$C18*Hypothèses!C$17*$E18*(1+Hypothèses!$C$14)^2</f>
        <v/>
      </c>
      <c r="AF18" s="23">
        <f>$C18*Hypothèses!D$17*$E18*(1+Hypothèses!$C$14)^2</f>
        <v/>
      </c>
      <c r="AG18" s="23">
        <f>$C18*Hypothèses!E$17*$E18*(1+Hypothèses!$C$14)^2</f>
        <v/>
      </c>
      <c r="AH18" s="23">
        <f>$C18*Hypothèses!F$17*$E18*(1+Hypothèses!$C$14)^2</f>
        <v/>
      </c>
      <c r="AI18" s="23">
        <f>$C18*Hypothèses!G$17*$E18*(1+Hypothèses!$C$14)^2</f>
        <v/>
      </c>
      <c r="AJ18" s="23">
        <f>$C18*Hypothèses!H$17*$E18*(1+Hypothèses!$C$14)^2</f>
        <v/>
      </c>
      <c r="AK18" s="23">
        <f>$C18*Hypothèses!I$17*$E18*(1+Hypothèses!$C$14)^2</f>
        <v/>
      </c>
      <c r="AL18" s="23">
        <f>$C18*Hypothèses!J$17*$E18*(1+Hypothèses!$C$14)^2</f>
        <v/>
      </c>
      <c r="AM18" s="23">
        <f>$C18*Hypothèses!K$17*$E18*(1+Hypothèses!$C$14)^2</f>
        <v/>
      </c>
      <c r="AN18" s="23">
        <f>$C18*Hypothèses!L$17*$E18*(1+Hypothèses!$C$14)^2</f>
        <v/>
      </c>
      <c r="AO18" s="23">
        <f>$C18*Hypothèses!M$17*$E18*(1+Hypothèses!$C$14)^2</f>
        <v/>
      </c>
      <c r="AP18" s="23">
        <f>$C18*Hypothèses!N$17*$E18*(1+Hypothèses!$C$14)^2</f>
        <v/>
      </c>
      <c r="AQ18" s="23">
        <f>SUM(G18:R18)</f>
        <v/>
      </c>
      <c r="AR18" s="23">
        <f>SUM(S18:AD18)</f>
        <v/>
      </c>
      <c r="AS18" s="23">
        <f>SUM(AE18:AP18)</f>
        <v/>
      </c>
      <c r="AT18" s="23">
        <f>SUM(AQ18:AS18)</f>
        <v/>
      </c>
    </row>
    <row r="19">
      <c r="A19" s="27" t="inlineStr">
        <is>
          <t>Matières premières</t>
        </is>
      </c>
      <c r="B19" s="27" t="inlineStr">
        <is>
          <t>Emballages (sacs, boîtes, étiquettes)</t>
        </is>
      </c>
      <c r="C19" s="33" t="n">
        <v>13000</v>
      </c>
      <c r="D19" s="27" t="inlineStr">
        <is>
          <t>unité</t>
        </is>
      </c>
      <c r="E19" s="9" t="n">
        <v>0.06</v>
      </c>
      <c r="F19" s="31" t="inlineStr">
        <is>
          <t>Estimé — fournisseur emballage</t>
        </is>
      </c>
      <c r="G19" s="23">
        <f>$C19*Hypothèses!C$17*$E19*(1+Hypothèses!$C$14)^0</f>
        <v/>
      </c>
      <c r="H19" s="23">
        <f>$C19*Hypothèses!D$17*$E19*(1+Hypothèses!$C$14)^0</f>
        <v/>
      </c>
      <c r="I19" s="23">
        <f>$C19*Hypothèses!E$17*$E19*(1+Hypothèses!$C$14)^0</f>
        <v/>
      </c>
      <c r="J19" s="23">
        <f>$C19*Hypothèses!F$17*$E19*(1+Hypothèses!$C$14)^0</f>
        <v/>
      </c>
      <c r="K19" s="23">
        <f>$C19*Hypothèses!G$17*$E19*(1+Hypothèses!$C$14)^0</f>
        <v/>
      </c>
      <c r="L19" s="23">
        <f>$C19*Hypothèses!H$17*$E19*(1+Hypothèses!$C$14)^0</f>
        <v/>
      </c>
      <c r="M19" s="23">
        <f>$C19*Hypothèses!I$17*$E19*(1+Hypothèses!$C$14)^0</f>
        <v/>
      </c>
      <c r="N19" s="23">
        <f>$C19*Hypothèses!J$17*$E19*(1+Hypothèses!$C$14)^0</f>
        <v/>
      </c>
      <c r="O19" s="23">
        <f>$C19*Hypothèses!K$17*$E19*(1+Hypothèses!$C$14)^0</f>
        <v/>
      </c>
      <c r="P19" s="23">
        <f>$C19*Hypothèses!L$17*$E19*(1+Hypothèses!$C$14)^0</f>
        <v/>
      </c>
      <c r="Q19" s="23">
        <f>$C19*Hypothèses!M$17*$E19*(1+Hypothèses!$C$14)^0</f>
        <v/>
      </c>
      <c r="R19" s="23">
        <f>$C19*Hypothèses!N$17*$E19*(1+Hypothèses!$C$14)^0</f>
        <v/>
      </c>
      <c r="S19" s="23">
        <f>$C19*Hypothèses!C$17*$E19*(1+Hypothèses!$C$14)^1</f>
        <v/>
      </c>
      <c r="T19" s="23">
        <f>$C19*Hypothèses!D$17*$E19*(1+Hypothèses!$C$14)^1</f>
        <v/>
      </c>
      <c r="U19" s="23">
        <f>$C19*Hypothèses!E$17*$E19*(1+Hypothèses!$C$14)^1</f>
        <v/>
      </c>
      <c r="V19" s="23">
        <f>$C19*Hypothèses!F$17*$E19*(1+Hypothèses!$C$14)^1</f>
        <v/>
      </c>
      <c r="W19" s="23">
        <f>$C19*Hypothèses!G$17*$E19*(1+Hypothèses!$C$14)^1</f>
        <v/>
      </c>
      <c r="X19" s="23">
        <f>$C19*Hypothèses!H$17*$E19*(1+Hypothèses!$C$14)^1</f>
        <v/>
      </c>
      <c r="Y19" s="23">
        <f>$C19*Hypothèses!I$17*$E19*(1+Hypothèses!$C$14)^1</f>
        <v/>
      </c>
      <c r="Z19" s="23">
        <f>$C19*Hypothèses!J$17*$E19*(1+Hypothèses!$C$14)^1</f>
        <v/>
      </c>
      <c r="AA19" s="23">
        <f>$C19*Hypothèses!K$17*$E19*(1+Hypothèses!$C$14)^1</f>
        <v/>
      </c>
      <c r="AB19" s="23">
        <f>$C19*Hypothèses!L$17*$E19*(1+Hypothèses!$C$14)^1</f>
        <v/>
      </c>
      <c r="AC19" s="23">
        <f>$C19*Hypothèses!M$17*$E19*(1+Hypothèses!$C$14)^1</f>
        <v/>
      </c>
      <c r="AD19" s="23">
        <f>$C19*Hypothèses!N$17*$E19*(1+Hypothèses!$C$14)^1</f>
        <v/>
      </c>
      <c r="AE19" s="23">
        <f>$C19*Hypothèses!C$17*$E19*(1+Hypothèses!$C$14)^2</f>
        <v/>
      </c>
      <c r="AF19" s="23">
        <f>$C19*Hypothèses!D$17*$E19*(1+Hypothèses!$C$14)^2</f>
        <v/>
      </c>
      <c r="AG19" s="23">
        <f>$C19*Hypothèses!E$17*$E19*(1+Hypothèses!$C$14)^2</f>
        <v/>
      </c>
      <c r="AH19" s="23">
        <f>$C19*Hypothèses!F$17*$E19*(1+Hypothèses!$C$14)^2</f>
        <v/>
      </c>
      <c r="AI19" s="23">
        <f>$C19*Hypothèses!G$17*$E19*(1+Hypothèses!$C$14)^2</f>
        <v/>
      </c>
      <c r="AJ19" s="23">
        <f>$C19*Hypothèses!H$17*$E19*(1+Hypothèses!$C$14)^2</f>
        <v/>
      </c>
      <c r="AK19" s="23">
        <f>$C19*Hypothèses!I$17*$E19*(1+Hypothèses!$C$14)^2</f>
        <v/>
      </c>
      <c r="AL19" s="23">
        <f>$C19*Hypothèses!J$17*$E19*(1+Hypothèses!$C$14)^2</f>
        <v/>
      </c>
      <c r="AM19" s="23">
        <f>$C19*Hypothèses!K$17*$E19*(1+Hypothèses!$C$14)^2</f>
        <v/>
      </c>
      <c r="AN19" s="23">
        <f>$C19*Hypothèses!L$17*$E19*(1+Hypothèses!$C$14)^2</f>
        <v/>
      </c>
      <c r="AO19" s="23">
        <f>$C19*Hypothèses!M$17*$E19*(1+Hypothèses!$C$14)^2</f>
        <v/>
      </c>
      <c r="AP19" s="23">
        <f>$C19*Hypothèses!N$17*$E19*(1+Hypothèses!$C$14)^2</f>
        <v/>
      </c>
      <c r="AQ19" s="23">
        <f>SUM(G19:R19)</f>
        <v/>
      </c>
      <c r="AR19" s="23">
        <f>SUM(S19:AD19)</f>
        <v/>
      </c>
      <c r="AS19" s="23">
        <f>SUM(AE19:AP19)</f>
        <v/>
      </c>
      <c r="AT19" s="23">
        <f>SUM(AQ19:AS19)</f>
        <v/>
      </c>
    </row>
    <row r="20">
      <c r="A20" s="24" t="inlineStr">
        <is>
          <t>SOUS-TOTAL Matières premières</t>
        </is>
      </c>
      <c r="C20" s="34" t="n"/>
      <c r="D20" s="34" t="n"/>
      <c r="E20" s="34" t="n"/>
      <c r="F20" s="34" t="n"/>
      <c r="G20" s="25">
        <f>G6+G7+G8+G9+G10+G11+G13+G15+G16+G17+G18+G19</f>
        <v/>
      </c>
      <c r="H20" s="25">
        <f>H6+H7+H8+H9+H10+H11+H13+H15+H16+H17+H18+H19</f>
        <v/>
      </c>
      <c r="I20" s="25">
        <f>I6+I7+I8+I9+I10+I11+I13+I15+I16+I17+I18+I19</f>
        <v/>
      </c>
      <c r="J20" s="25">
        <f>J6+J7+J8+J9+J10+J11+J13+J15+J16+J17+J18+J19</f>
        <v/>
      </c>
      <c r="K20" s="25">
        <f>K6+K7+K8+K9+K10+K11+K13+K15+K16+K17+K18+K19</f>
        <v/>
      </c>
      <c r="L20" s="25">
        <f>L6+L7+L8+L9+L10+L11+L13+L15+L16+L17+L18+L19</f>
        <v/>
      </c>
      <c r="M20" s="25">
        <f>M6+M7+M8+M9+M10+M11+M13+M15+M16+M17+M18+M19</f>
        <v/>
      </c>
      <c r="N20" s="25">
        <f>N6+N7+N8+N9+N10+N11+N13+N15+N16+N17+N18+N19</f>
        <v/>
      </c>
      <c r="O20" s="25">
        <f>O6+O7+O8+O9+O10+O11+O13+O15+O16+O17+O18+O19</f>
        <v/>
      </c>
      <c r="P20" s="25">
        <f>P6+P7+P8+P9+P10+P11+P13+P15+P16+P17+P18+P19</f>
        <v/>
      </c>
      <c r="Q20" s="25">
        <f>Q6+Q7+Q8+Q9+Q10+Q11+Q13+Q15+Q16+Q17+Q18+Q19</f>
        <v/>
      </c>
      <c r="R20" s="25">
        <f>R6+R7+R8+R9+R10+R11+R13+R15+R16+R17+R18+R19</f>
        <v/>
      </c>
      <c r="S20" s="25">
        <f>S6+S7+S8+S9+S10+S11+S13+S15+S16+S17+S18+S19</f>
        <v/>
      </c>
      <c r="T20" s="25">
        <f>T6+T7+T8+T9+T10+T11+T13+T15+T16+T17+T18+T19</f>
        <v/>
      </c>
      <c r="U20" s="25">
        <f>U6+U7+U8+U9+U10+U11+U13+U15+U16+U17+U18+U19</f>
        <v/>
      </c>
      <c r="V20" s="25">
        <f>V6+V7+V8+V9+V10+V11+V13+V15+V16+V17+V18+V19</f>
        <v/>
      </c>
      <c r="W20" s="25">
        <f>W6+W7+W8+W9+W10+W11+W13+W15+W16+W17+W18+W19</f>
        <v/>
      </c>
      <c r="X20" s="25">
        <f>X6+X7+X8+X9+X10+X11+X13+X15+X16+X17+X18+X19</f>
        <v/>
      </c>
      <c r="Y20" s="25">
        <f>Y6+Y7+Y8+Y9+Y10+Y11+Y13+Y15+Y16+Y17+Y18+Y19</f>
        <v/>
      </c>
      <c r="Z20" s="25">
        <f>Z6+Z7+Z8+Z9+Z10+Z11+Z13+Z15+Z16+Z17+Z18+Z19</f>
        <v/>
      </c>
      <c r="AA20" s="25">
        <f>AA6+AA7+AA8+AA9+AA10+AA11+AA13+AA15+AA16+AA17+AA18+AA19</f>
        <v/>
      </c>
      <c r="AB20" s="25">
        <f>AB6+AB7+AB8+AB9+AB10+AB11+AB13+AB15+AB16+AB17+AB18+AB19</f>
        <v/>
      </c>
      <c r="AC20" s="25">
        <f>AC6+AC7+AC8+AC9+AC10+AC11+AC13+AC15+AC16+AC17+AC18+AC19</f>
        <v/>
      </c>
      <c r="AD20" s="25">
        <f>AD6+AD7+AD8+AD9+AD10+AD11+AD13+AD15+AD16+AD17+AD18+AD19</f>
        <v/>
      </c>
      <c r="AE20" s="25">
        <f>AE6+AE7+AE8+AE9+AE10+AE11+AE13+AE15+AE16+AE17+AE18+AE19</f>
        <v/>
      </c>
      <c r="AF20" s="25">
        <f>AF6+AF7+AF8+AF9+AF10+AF11+AF13+AF15+AF16+AF17+AF18+AF19</f>
        <v/>
      </c>
      <c r="AG20" s="25">
        <f>AG6+AG7+AG8+AG9+AG10+AG11+AG13+AG15+AG16+AG17+AG18+AG19</f>
        <v/>
      </c>
      <c r="AH20" s="25">
        <f>AH6+AH7+AH8+AH9+AH10+AH11+AH13+AH15+AH16+AH17+AH18+AH19</f>
        <v/>
      </c>
      <c r="AI20" s="25">
        <f>AI6+AI7+AI8+AI9+AI10+AI11+AI13+AI15+AI16+AI17+AI18+AI19</f>
        <v/>
      </c>
      <c r="AJ20" s="25">
        <f>AJ6+AJ7+AJ8+AJ9+AJ10+AJ11+AJ13+AJ15+AJ16+AJ17+AJ18+AJ19</f>
        <v/>
      </c>
      <c r="AK20" s="25">
        <f>AK6+AK7+AK8+AK9+AK10+AK11+AK13+AK15+AK16+AK17+AK18+AK19</f>
        <v/>
      </c>
      <c r="AL20" s="25">
        <f>AL6+AL7+AL8+AL9+AL10+AL11+AL13+AL15+AL16+AL17+AL18+AL19</f>
        <v/>
      </c>
      <c r="AM20" s="25">
        <f>AM6+AM7+AM8+AM9+AM10+AM11+AM13+AM15+AM16+AM17+AM18+AM19</f>
        <v/>
      </c>
      <c r="AN20" s="25">
        <f>AN6+AN7+AN8+AN9+AN10+AN11+AN13+AN15+AN16+AN17+AN18+AN19</f>
        <v/>
      </c>
      <c r="AO20" s="25">
        <f>AO6+AO7+AO8+AO9+AO10+AO11+AO13+AO15+AO16+AO17+AO18+AO19</f>
        <v/>
      </c>
      <c r="AP20" s="25">
        <f>AP6+AP7+AP8+AP9+AP10+AP11+AP13+AP15+AP16+AP17+AP18+AP19</f>
        <v/>
      </c>
      <c r="AQ20" s="25">
        <f>SUM(G20:R20)</f>
        <v/>
      </c>
      <c r="AR20" s="25">
        <f>SUM(S20:AD20)</f>
        <v/>
      </c>
      <c r="AS20" s="25">
        <f>SUM(AE20:AP20)</f>
        <v/>
      </c>
      <c r="AT20" s="25">
        <f>SUM(AQ20:AS20)</f>
        <v/>
      </c>
    </row>
    <row r="21">
      <c r="A21" s="27" t="inlineStr">
        <is>
          <t>Énergie</t>
        </is>
      </c>
      <c r="B21" s="28" t="inlineStr">
        <is>
          <t>Électricité (four, vitrines, labo) — prix de marché simulé (€/unité)</t>
        </is>
      </c>
      <c r="C21" s="29" t="n"/>
      <c r="D21" s="28" t="inlineStr">
        <is>
          <t>kWh</t>
        </is>
      </c>
      <c r="E21" s="30">
        <f>AVERAGE(G21:AP21)</f>
        <v/>
      </c>
      <c r="F21" s="31" t="inlineStr">
        <is>
          <t>API/marché (Tarif Bleu Pro EDF — simulation calibrée, à actualiser via SDES)</t>
        </is>
      </c>
      <c r="G21" s="32" t="n">
        <v>0.1631</v>
      </c>
      <c r="H21" s="32" t="n">
        <v>0.162</v>
      </c>
      <c r="I21" s="32" t="n">
        <v>0.162</v>
      </c>
      <c r="J21" s="32" t="n">
        <v>0.1604</v>
      </c>
      <c r="K21" s="32" t="n">
        <v>0.1588</v>
      </c>
      <c r="L21" s="32" t="n">
        <v>0.1573</v>
      </c>
      <c r="M21" s="32" t="n">
        <v>0.1584</v>
      </c>
      <c r="N21" s="32" t="n">
        <v>0.158</v>
      </c>
      <c r="O21" s="32" t="n">
        <v>0.1587</v>
      </c>
      <c r="P21" s="32" t="n">
        <v>0.1597</v>
      </c>
      <c r="Q21" s="32" t="n">
        <v>0.1599</v>
      </c>
      <c r="R21" s="32" t="n">
        <v>0.153</v>
      </c>
      <c r="S21" s="32" t="n">
        <v>0.1551</v>
      </c>
      <c r="T21" s="32" t="n">
        <v>0.1529</v>
      </c>
      <c r="U21" s="32" t="n">
        <v>0.1515</v>
      </c>
      <c r="V21" s="32" t="n">
        <v>0.1529</v>
      </c>
      <c r="W21" s="32" t="n">
        <v>0.1508</v>
      </c>
      <c r="X21" s="32" t="n">
        <v>0.1532</v>
      </c>
      <c r="Y21" s="32" t="n">
        <v>0.1557</v>
      </c>
      <c r="Z21" s="32" t="n">
        <v>0.1565</v>
      </c>
      <c r="AA21" s="32" t="n">
        <v>0.1569</v>
      </c>
      <c r="AB21" s="32" t="n">
        <v>0.1631</v>
      </c>
      <c r="AC21" s="32" t="n">
        <v>0.1637</v>
      </c>
      <c r="AD21" s="32" t="n">
        <v>0.1584</v>
      </c>
      <c r="AE21" s="32" t="n">
        <v>0.1551</v>
      </c>
      <c r="AF21" s="32" t="n">
        <v>0.1528</v>
      </c>
      <c r="AG21" s="32" t="n">
        <v>0.1538</v>
      </c>
      <c r="AH21" s="32" t="n">
        <v>0.1524</v>
      </c>
      <c r="AI21" s="32" t="n">
        <v>0.1481</v>
      </c>
      <c r="AJ21" s="32" t="n">
        <v>0.1553</v>
      </c>
      <c r="AK21" s="32" t="n">
        <v>0.1534</v>
      </c>
      <c r="AL21" s="32" t="n">
        <v>0.1516</v>
      </c>
      <c r="AM21" s="32" t="n">
        <v>0.1521</v>
      </c>
      <c r="AN21" s="32" t="n">
        <v>0.1513</v>
      </c>
      <c r="AO21" s="32" t="n">
        <v>0.151</v>
      </c>
      <c r="AP21" s="32" t="n">
        <v>0.1532</v>
      </c>
    </row>
    <row r="22">
      <c r="A22" s="27" t="inlineStr">
        <is>
          <t>Énergie</t>
        </is>
      </c>
      <c r="B22" s="27" t="inlineStr">
        <is>
          <t>↳ Coût (Électricité (four, vitrines, labo))</t>
        </is>
      </c>
      <c r="C22" s="33" t="n">
        <v>5800</v>
      </c>
      <c r="D22" s="27" t="inlineStr">
        <is>
          <t>kWh</t>
        </is>
      </c>
      <c r="E22" s="29" t="n"/>
      <c r="F22" s="28" t="inlineStr">
        <is>
          <t>Coût = Qté de base × saisonnalité × prix simulé ci-dessus</t>
        </is>
      </c>
      <c r="G22" s="23">
        <f>$C22*Hypothèses!C$17*G21</f>
        <v/>
      </c>
      <c r="H22" s="23">
        <f>$C22*Hypothèses!D$17*H21</f>
        <v/>
      </c>
      <c r="I22" s="23">
        <f>$C22*Hypothèses!E$17*I21</f>
        <v/>
      </c>
      <c r="J22" s="23">
        <f>$C22*Hypothèses!F$17*J21</f>
        <v/>
      </c>
      <c r="K22" s="23">
        <f>$C22*Hypothèses!G$17*K21</f>
        <v/>
      </c>
      <c r="L22" s="23">
        <f>$C22*Hypothèses!H$17*L21</f>
        <v/>
      </c>
      <c r="M22" s="23">
        <f>$C22*Hypothèses!I$17*M21</f>
        <v/>
      </c>
      <c r="N22" s="23">
        <f>$C22*Hypothèses!J$17*N21</f>
        <v/>
      </c>
      <c r="O22" s="23">
        <f>$C22*Hypothèses!K$17*O21</f>
        <v/>
      </c>
      <c r="P22" s="23">
        <f>$C22*Hypothèses!L$17*P21</f>
        <v/>
      </c>
      <c r="Q22" s="23">
        <f>$C22*Hypothèses!M$17*Q21</f>
        <v/>
      </c>
      <c r="R22" s="23">
        <f>$C22*Hypothèses!N$17*R21</f>
        <v/>
      </c>
      <c r="S22" s="23">
        <f>$C22*Hypothèses!C$17*S21</f>
        <v/>
      </c>
      <c r="T22" s="23">
        <f>$C22*Hypothèses!D$17*T21</f>
        <v/>
      </c>
      <c r="U22" s="23">
        <f>$C22*Hypothèses!E$17*U21</f>
        <v/>
      </c>
      <c r="V22" s="23">
        <f>$C22*Hypothèses!F$17*V21</f>
        <v/>
      </c>
      <c r="W22" s="23">
        <f>$C22*Hypothèses!G$17*W21</f>
        <v/>
      </c>
      <c r="X22" s="23">
        <f>$C22*Hypothèses!H$17*X21</f>
        <v/>
      </c>
      <c r="Y22" s="23">
        <f>$C22*Hypothèses!I$17*Y21</f>
        <v/>
      </c>
      <c r="Z22" s="23">
        <f>$C22*Hypothèses!J$17*Z21</f>
        <v/>
      </c>
      <c r="AA22" s="23">
        <f>$C22*Hypothèses!K$17*AA21</f>
        <v/>
      </c>
      <c r="AB22" s="23">
        <f>$C22*Hypothèses!L$17*AB21</f>
        <v/>
      </c>
      <c r="AC22" s="23">
        <f>$C22*Hypothèses!M$17*AC21</f>
        <v/>
      </c>
      <c r="AD22" s="23">
        <f>$C22*Hypothèses!N$17*AD21</f>
        <v/>
      </c>
      <c r="AE22" s="23">
        <f>$C22*Hypothèses!C$17*AE21</f>
        <v/>
      </c>
      <c r="AF22" s="23">
        <f>$C22*Hypothèses!D$17*AF21</f>
        <v/>
      </c>
      <c r="AG22" s="23">
        <f>$C22*Hypothèses!E$17*AG21</f>
        <v/>
      </c>
      <c r="AH22" s="23">
        <f>$C22*Hypothèses!F$17*AH21</f>
        <v/>
      </c>
      <c r="AI22" s="23">
        <f>$C22*Hypothèses!G$17*AI21</f>
        <v/>
      </c>
      <c r="AJ22" s="23">
        <f>$C22*Hypothèses!H$17*AJ21</f>
        <v/>
      </c>
      <c r="AK22" s="23">
        <f>$C22*Hypothèses!I$17*AK21</f>
        <v/>
      </c>
      <c r="AL22" s="23">
        <f>$C22*Hypothèses!J$17*AL21</f>
        <v/>
      </c>
      <c r="AM22" s="23">
        <f>$C22*Hypothèses!K$17*AM21</f>
        <v/>
      </c>
      <c r="AN22" s="23">
        <f>$C22*Hypothèses!L$17*AN21</f>
        <v/>
      </c>
      <c r="AO22" s="23">
        <f>$C22*Hypothèses!M$17*AO21</f>
        <v/>
      </c>
      <c r="AP22" s="23">
        <f>$C22*Hypothèses!N$17*AP21</f>
        <v/>
      </c>
      <c r="AQ22" s="23">
        <f>SUM(G22:R22)</f>
        <v/>
      </c>
      <c r="AR22" s="23">
        <f>SUM(S22:AD22)</f>
        <v/>
      </c>
      <c r="AS22" s="23">
        <f>SUM(AE22:AP22)</f>
        <v/>
      </c>
      <c r="AT22" s="23">
        <f>SUM(AQ22:AS22)</f>
        <v/>
      </c>
    </row>
    <row r="23">
      <c r="A23" s="27" t="inlineStr">
        <is>
          <t>Énergie</t>
        </is>
      </c>
      <c r="B23" s="28" t="inlineStr">
        <is>
          <t>Gaz (chauffage local) — prix de marché simulé (€/unité)</t>
        </is>
      </c>
      <c r="C23" s="29" t="n"/>
      <c r="D23" s="28" t="inlineStr">
        <is>
          <t>kWh</t>
        </is>
      </c>
      <c r="E23" s="30">
        <f>AVERAGE(G23:AP23)</f>
        <v/>
      </c>
      <c r="F23" s="31" t="inlineStr">
        <is>
          <t>API marché (NATURAL_GAS proxy / SDES) — simulation calibrée</t>
        </is>
      </c>
      <c r="G23" s="32" t="n">
        <v>0.0984</v>
      </c>
      <c r="H23" s="32" t="n">
        <v>0.0954</v>
      </c>
      <c r="I23" s="32" t="n">
        <v>0.09859999999999999</v>
      </c>
      <c r="J23" s="32" t="n">
        <v>0.08699999999999999</v>
      </c>
      <c r="K23" s="32" t="n">
        <v>0.0844</v>
      </c>
      <c r="L23" s="32" t="n">
        <v>0.0912</v>
      </c>
      <c r="M23" s="32" t="n">
        <v>0.09</v>
      </c>
      <c r="N23" s="32" t="n">
        <v>0.0925</v>
      </c>
      <c r="O23" s="32" t="n">
        <v>0.0882</v>
      </c>
      <c r="P23" s="32" t="n">
        <v>0.0944</v>
      </c>
      <c r="Q23" s="32" t="n">
        <v>0.0987</v>
      </c>
      <c r="R23" s="32" t="n">
        <v>0.1047</v>
      </c>
      <c r="S23" s="32" t="n">
        <v>0.103</v>
      </c>
      <c r="T23" s="32" t="n">
        <v>0.1058</v>
      </c>
      <c r="U23" s="32" t="n">
        <v>0.1013</v>
      </c>
      <c r="V23" s="32" t="n">
        <v>0.1036</v>
      </c>
      <c r="W23" s="32" t="n">
        <v>0.0934</v>
      </c>
      <c r="X23" s="32" t="n">
        <v>0.096</v>
      </c>
      <c r="Y23" s="32" t="n">
        <v>0.0992</v>
      </c>
      <c r="Z23" s="32" t="n">
        <v>0.0977</v>
      </c>
      <c r="AA23" s="32" t="n">
        <v>0.1046</v>
      </c>
      <c r="AB23" s="32" t="n">
        <v>0.1043</v>
      </c>
      <c r="AC23" s="32" t="n">
        <v>0.1138</v>
      </c>
      <c r="AD23" s="32" t="n">
        <v>0.1114</v>
      </c>
      <c r="AE23" s="32" t="n">
        <v>0.1074</v>
      </c>
      <c r="AF23" s="32" t="n">
        <v>0.107</v>
      </c>
      <c r="AG23" s="32" t="n">
        <v>0.1253</v>
      </c>
      <c r="AH23" s="32" t="n">
        <v>0.1155</v>
      </c>
      <c r="AI23" s="32" t="n">
        <v>0.1137</v>
      </c>
      <c r="AJ23" s="32" t="n">
        <v>0.1119</v>
      </c>
      <c r="AK23" s="32" t="n">
        <v>0.1164</v>
      </c>
      <c r="AL23" s="32" t="n">
        <v>0.1077</v>
      </c>
      <c r="AM23" s="32" t="n">
        <v>0.1187</v>
      </c>
      <c r="AN23" s="32" t="n">
        <v>0.1078</v>
      </c>
      <c r="AO23" s="32" t="n">
        <v>0.1167</v>
      </c>
      <c r="AP23" s="32" t="n">
        <v>0.1155</v>
      </c>
    </row>
    <row r="24">
      <c r="A24" s="27" t="inlineStr">
        <is>
          <t>Énergie</t>
        </is>
      </c>
      <c r="B24" s="27" t="inlineStr">
        <is>
          <t>↳ Coût (Gaz (chauffage local))</t>
        </is>
      </c>
      <c r="C24" s="33" t="n">
        <v>2600</v>
      </c>
      <c r="D24" s="27" t="inlineStr">
        <is>
          <t>kWh</t>
        </is>
      </c>
      <c r="E24" s="29" t="n"/>
      <c r="F24" s="28" t="inlineStr">
        <is>
          <t>Coût = Qté de base × saisonnalité × prix simulé ci-dessus</t>
        </is>
      </c>
      <c r="G24" s="23">
        <f>$C24*Hypothèses!C$17*G23</f>
        <v/>
      </c>
      <c r="H24" s="23">
        <f>$C24*Hypothèses!D$17*H23</f>
        <v/>
      </c>
      <c r="I24" s="23">
        <f>$C24*Hypothèses!E$17*I23</f>
        <v/>
      </c>
      <c r="J24" s="23">
        <f>$C24*Hypothèses!F$17*J23</f>
        <v/>
      </c>
      <c r="K24" s="23">
        <f>$C24*Hypothèses!G$17*K23</f>
        <v/>
      </c>
      <c r="L24" s="23">
        <f>$C24*Hypothèses!H$17*L23</f>
        <v/>
      </c>
      <c r="M24" s="23">
        <f>$C24*Hypothèses!I$17*M23</f>
        <v/>
      </c>
      <c r="N24" s="23">
        <f>$C24*Hypothèses!J$17*N23</f>
        <v/>
      </c>
      <c r="O24" s="23">
        <f>$C24*Hypothèses!K$17*O23</f>
        <v/>
      </c>
      <c r="P24" s="23">
        <f>$C24*Hypothèses!L$17*P23</f>
        <v/>
      </c>
      <c r="Q24" s="23">
        <f>$C24*Hypothèses!M$17*Q23</f>
        <v/>
      </c>
      <c r="R24" s="23">
        <f>$C24*Hypothèses!N$17*R23</f>
        <v/>
      </c>
      <c r="S24" s="23">
        <f>$C24*Hypothèses!C$17*S23</f>
        <v/>
      </c>
      <c r="T24" s="23">
        <f>$C24*Hypothèses!D$17*T23</f>
        <v/>
      </c>
      <c r="U24" s="23">
        <f>$C24*Hypothèses!E$17*U23</f>
        <v/>
      </c>
      <c r="V24" s="23">
        <f>$C24*Hypothèses!F$17*V23</f>
        <v/>
      </c>
      <c r="W24" s="23">
        <f>$C24*Hypothèses!G$17*W23</f>
        <v/>
      </c>
      <c r="X24" s="23">
        <f>$C24*Hypothèses!H$17*X23</f>
        <v/>
      </c>
      <c r="Y24" s="23">
        <f>$C24*Hypothèses!I$17*Y23</f>
        <v/>
      </c>
      <c r="Z24" s="23">
        <f>$C24*Hypothèses!J$17*Z23</f>
        <v/>
      </c>
      <c r="AA24" s="23">
        <f>$C24*Hypothèses!K$17*AA23</f>
        <v/>
      </c>
      <c r="AB24" s="23">
        <f>$C24*Hypothèses!L$17*AB23</f>
        <v/>
      </c>
      <c r="AC24" s="23">
        <f>$C24*Hypothèses!M$17*AC23</f>
        <v/>
      </c>
      <c r="AD24" s="23">
        <f>$C24*Hypothèses!N$17*AD23</f>
        <v/>
      </c>
      <c r="AE24" s="23">
        <f>$C24*Hypothèses!C$17*AE23</f>
        <v/>
      </c>
      <c r="AF24" s="23">
        <f>$C24*Hypothèses!D$17*AF23</f>
        <v/>
      </c>
      <c r="AG24" s="23">
        <f>$C24*Hypothèses!E$17*AG23</f>
        <v/>
      </c>
      <c r="AH24" s="23">
        <f>$C24*Hypothèses!F$17*AH23</f>
        <v/>
      </c>
      <c r="AI24" s="23">
        <f>$C24*Hypothèses!G$17*AI23</f>
        <v/>
      </c>
      <c r="AJ24" s="23">
        <f>$C24*Hypothèses!H$17*AJ23</f>
        <v/>
      </c>
      <c r="AK24" s="23">
        <f>$C24*Hypothèses!I$17*AK23</f>
        <v/>
      </c>
      <c r="AL24" s="23">
        <f>$C24*Hypothèses!J$17*AL23</f>
        <v/>
      </c>
      <c r="AM24" s="23">
        <f>$C24*Hypothèses!K$17*AM23</f>
        <v/>
      </c>
      <c r="AN24" s="23">
        <f>$C24*Hypothèses!L$17*AN23</f>
        <v/>
      </c>
      <c r="AO24" s="23">
        <f>$C24*Hypothèses!M$17*AO23</f>
        <v/>
      </c>
      <c r="AP24" s="23">
        <f>$C24*Hypothèses!N$17*AP23</f>
        <v/>
      </c>
      <c r="AQ24" s="23">
        <f>SUM(G24:R24)</f>
        <v/>
      </c>
      <c r="AR24" s="23">
        <f>SUM(S24:AD24)</f>
        <v/>
      </c>
      <c r="AS24" s="23">
        <f>SUM(AE24:AP24)</f>
        <v/>
      </c>
      <c r="AT24" s="23">
        <f>SUM(AQ24:AS24)</f>
        <v/>
      </c>
    </row>
    <row r="25">
      <c r="A25" s="24" t="inlineStr">
        <is>
          <t>SOUS-TOTAL Énergie</t>
        </is>
      </c>
      <c r="C25" s="34" t="n"/>
      <c r="D25" s="34" t="n"/>
      <c r="E25" s="34" t="n"/>
      <c r="F25" s="34" t="n"/>
      <c r="G25" s="25">
        <f>G22+G24</f>
        <v/>
      </c>
      <c r="H25" s="25">
        <f>H22+H24</f>
        <v/>
      </c>
      <c r="I25" s="25">
        <f>I22+I24</f>
        <v/>
      </c>
      <c r="J25" s="25">
        <f>J22+J24</f>
        <v/>
      </c>
      <c r="K25" s="25">
        <f>K22+K24</f>
        <v/>
      </c>
      <c r="L25" s="25">
        <f>L22+L24</f>
        <v/>
      </c>
      <c r="M25" s="25">
        <f>M22+M24</f>
        <v/>
      </c>
      <c r="N25" s="25">
        <f>N22+N24</f>
        <v/>
      </c>
      <c r="O25" s="25">
        <f>O22+O24</f>
        <v/>
      </c>
      <c r="P25" s="25">
        <f>P22+P24</f>
        <v/>
      </c>
      <c r="Q25" s="25">
        <f>Q22+Q24</f>
        <v/>
      </c>
      <c r="R25" s="25">
        <f>R22+R24</f>
        <v/>
      </c>
      <c r="S25" s="25">
        <f>S22+S24</f>
        <v/>
      </c>
      <c r="T25" s="25">
        <f>T22+T24</f>
        <v/>
      </c>
      <c r="U25" s="25">
        <f>U22+U24</f>
        <v/>
      </c>
      <c r="V25" s="25">
        <f>V22+V24</f>
        <v/>
      </c>
      <c r="W25" s="25">
        <f>W22+W24</f>
        <v/>
      </c>
      <c r="X25" s="25">
        <f>X22+X24</f>
        <v/>
      </c>
      <c r="Y25" s="25">
        <f>Y22+Y24</f>
        <v/>
      </c>
      <c r="Z25" s="25">
        <f>Z22+Z24</f>
        <v/>
      </c>
      <c r="AA25" s="25">
        <f>AA22+AA24</f>
        <v/>
      </c>
      <c r="AB25" s="25">
        <f>AB22+AB24</f>
        <v/>
      </c>
      <c r="AC25" s="25">
        <f>AC22+AC24</f>
        <v/>
      </c>
      <c r="AD25" s="25">
        <f>AD22+AD24</f>
        <v/>
      </c>
      <c r="AE25" s="25">
        <f>AE22+AE24</f>
        <v/>
      </c>
      <c r="AF25" s="25">
        <f>AF22+AF24</f>
        <v/>
      </c>
      <c r="AG25" s="25">
        <f>AG22+AG24</f>
        <v/>
      </c>
      <c r="AH25" s="25">
        <f>AH22+AH24</f>
        <v/>
      </c>
      <c r="AI25" s="25">
        <f>AI22+AI24</f>
        <v/>
      </c>
      <c r="AJ25" s="25">
        <f>AJ22+AJ24</f>
        <v/>
      </c>
      <c r="AK25" s="25">
        <f>AK22+AK24</f>
        <v/>
      </c>
      <c r="AL25" s="25">
        <f>AL22+AL24</f>
        <v/>
      </c>
      <c r="AM25" s="25">
        <f>AM22+AM24</f>
        <v/>
      </c>
      <c r="AN25" s="25">
        <f>AN22+AN24</f>
        <v/>
      </c>
      <c r="AO25" s="25">
        <f>AO22+AO24</f>
        <v/>
      </c>
      <c r="AP25" s="25">
        <f>AP22+AP24</f>
        <v/>
      </c>
      <c r="AQ25" s="25">
        <f>SUM(G25:R25)</f>
        <v/>
      </c>
      <c r="AR25" s="25">
        <f>SUM(S25:AD25)</f>
        <v/>
      </c>
      <c r="AS25" s="25">
        <f>SUM(AE25:AP25)</f>
        <v/>
      </c>
      <c r="AT25" s="25">
        <f>SUM(AQ25:AS25)</f>
        <v/>
      </c>
    </row>
    <row r="26">
      <c r="A26" s="27" t="inlineStr">
        <is>
          <t>Personnel</t>
        </is>
      </c>
      <c r="B26" s="27" t="inlineStr">
        <is>
          <t>Rémunération nette du dirigeant (boulanger, TNS)</t>
        </is>
      </c>
      <c r="C26" s="33" t="n">
        <v>1</v>
      </c>
      <c r="D26" s="27" t="inlineStr">
        <is>
          <t>forfait/mois</t>
        </is>
      </c>
      <c r="E26" s="9" t="n">
        <v>3400</v>
      </c>
      <c r="F26" s="31" t="inlineStr">
        <is>
          <t>Estimé — niveau de vie artisan installé</t>
        </is>
      </c>
      <c r="G26" s="23">
        <f>$C26*$E26*(1+Hypothèses!$C$14)^0</f>
        <v/>
      </c>
      <c r="H26" s="23">
        <f>$C26*$E26*(1+Hypothèses!$C$14)^0</f>
        <v/>
      </c>
      <c r="I26" s="23">
        <f>$C26*$E26*(1+Hypothèses!$C$14)^0</f>
        <v/>
      </c>
      <c r="J26" s="23">
        <f>$C26*$E26*(1+Hypothèses!$C$14)^0</f>
        <v/>
      </c>
      <c r="K26" s="23">
        <f>$C26*$E26*(1+Hypothèses!$C$14)^0</f>
        <v/>
      </c>
      <c r="L26" s="23">
        <f>$C26*$E26*(1+Hypothèses!$C$14)^0</f>
        <v/>
      </c>
      <c r="M26" s="23">
        <f>$C26*$E26*(1+Hypothèses!$C$14)^0</f>
        <v/>
      </c>
      <c r="N26" s="23">
        <f>$C26*$E26*(1+Hypothèses!$C$14)^0</f>
        <v/>
      </c>
      <c r="O26" s="23">
        <f>$C26*$E26*(1+Hypothèses!$C$14)^0</f>
        <v/>
      </c>
      <c r="P26" s="23">
        <f>$C26*$E26*(1+Hypothèses!$C$14)^0</f>
        <v/>
      </c>
      <c r="Q26" s="23">
        <f>$C26*$E26*(1+Hypothèses!$C$14)^0</f>
        <v/>
      </c>
      <c r="R26" s="23">
        <f>$C26*$E26*(1+Hypothèses!$C$14)^0</f>
        <v/>
      </c>
      <c r="S26" s="23">
        <f>$C26*$E26*(1+Hypothèses!$C$14)^1</f>
        <v/>
      </c>
      <c r="T26" s="23">
        <f>$C26*$E26*(1+Hypothèses!$C$14)^1</f>
        <v/>
      </c>
      <c r="U26" s="23">
        <f>$C26*$E26*(1+Hypothèses!$C$14)^1</f>
        <v/>
      </c>
      <c r="V26" s="23">
        <f>$C26*$E26*(1+Hypothèses!$C$14)^1</f>
        <v/>
      </c>
      <c r="W26" s="23">
        <f>$C26*$E26*(1+Hypothèses!$C$14)^1</f>
        <v/>
      </c>
      <c r="X26" s="23">
        <f>$C26*$E26*(1+Hypothèses!$C$14)^1</f>
        <v/>
      </c>
      <c r="Y26" s="23">
        <f>$C26*$E26*(1+Hypothèses!$C$14)^1</f>
        <v/>
      </c>
      <c r="Z26" s="23">
        <f>$C26*$E26*(1+Hypothèses!$C$14)^1</f>
        <v/>
      </c>
      <c r="AA26" s="23">
        <f>$C26*$E26*(1+Hypothèses!$C$14)^1</f>
        <v/>
      </c>
      <c r="AB26" s="23">
        <f>$C26*$E26*(1+Hypothèses!$C$14)^1</f>
        <v/>
      </c>
      <c r="AC26" s="23">
        <f>$C26*$E26*(1+Hypothèses!$C$14)^1</f>
        <v/>
      </c>
      <c r="AD26" s="23">
        <f>$C26*$E26*(1+Hypothèses!$C$14)^1</f>
        <v/>
      </c>
      <c r="AE26" s="23">
        <f>$C26*$E26*(1+Hypothèses!$C$14)^2</f>
        <v/>
      </c>
      <c r="AF26" s="23">
        <f>$C26*$E26*(1+Hypothèses!$C$14)^2</f>
        <v/>
      </c>
      <c r="AG26" s="23">
        <f>$C26*$E26*(1+Hypothèses!$C$14)^2</f>
        <v/>
      </c>
      <c r="AH26" s="23">
        <f>$C26*$E26*(1+Hypothèses!$C$14)^2</f>
        <v/>
      </c>
      <c r="AI26" s="23">
        <f>$C26*$E26*(1+Hypothèses!$C$14)^2</f>
        <v/>
      </c>
      <c r="AJ26" s="23">
        <f>$C26*$E26*(1+Hypothèses!$C$14)^2</f>
        <v/>
      </c>
      <c r="AK26" s="23">
        <f>$C26*$E26*(1+Hypothèses!$C$14)^2</f>
        <v/>
      </c>
      <c r="AL26" s="23">
        <f>$C26*$E26*(1+Hypothèses!$C$14)^2</f>
        <v/>
      </c>
      <c r="AM26" s="23">
        <f>$C26*$E26*(1+Hypothèses!$C$14)^2</f>
        <v/>
      </c>
      <c r="AN26" s="23">
        <f>$C26*$E26*(1+Hypothèses!$C$14)^2</f>
        <v/>
      </c>
      <c r="AO26" s="23">
        <f>$C26*$E26*(1+Hypothèses!$C$14)^2</f>
        <v/>
      </c>
      <c r="AP26" s="23">
        <f>$C26*$E26*(1+Hypothèses!$C$14)^2</f>
        <v/>
      </c>
      <c r="AQ26" s="23">
        <f>SUM(G26:R26)</f>
        <v/>
      </c>
      <c r="AR26" s="23">
        <f>SUM(S26:AD26)</f>
        <v/>
      </c>
      <c r="AS26" s="23">
        <f>SUM(AE26:AP26)</f>
        <v/>
      </c>
      <c r="AT26" s="23">
        <f>SUM(AQ26:AS26)</f>
        <v/>
      </c>
    </row>
    <row r="27">
      <c r="A27" s="27" t="inlineStr">
        <is>
          <t>Personnel</t>
        </is>
      </c>
      <c r="B27" s="27" t="inlineStr">
        <is>
          <t>Salaires &amp; charges — 1 salarié(e) vente/production</t>
        </is>
      </c>
      <c r="C27" s="33" t="n">
        <v>1</v>
      </c>
      <c r="D27" s="27" t="inlineStr">
        <is>
          <t>forfait/mois</t>
        </is>
      </c>
      <c r="E27" s="9" t="n">
        <v>3000</v>
      </c>
      <c r="F27" s="31" t="inlineStr">
        <is>
          <t>Estimé — convention collective boulangerie</t>
        </is>
      </c>
      <c r="G27" s="23">
        <f>$C27*$E27*(1+Hypothèses!$C$14)^0</f>
        <v/>
      </c>
      <c r="H27" s="23">
        <f>$C27*$E27*(1+Hypothèses!$C$14)^0</f>
        <v/>
      </c>
      <c r="I27" s="23">
        <f>$C27*$E27*(1+Hypothèses!$C$14)^0</f>
        <v/>
      </c>
      <c r="J27" s="23">
        <f>$C27*$E27*(1+Hypothèses!$C$14)^0</f>
        <v/>
      </c>
      <c r="K27" s="23">
        <f>$C27*$E27*(1+Hypothèses!$C$14)^0</f>
        <v/>
      </c>
      <c r="L27" s="23">
        <f>$C27*$E27*(1+Hypothèses!$C$14)^0</f>
        <v/>
      </c>
      <c r="M27" s="23">
        <f>$C27*$E27*(1+Hypothèses!$C$14)^0</f>
        <v/>
      </c>
      <c r="N27" s="23">
        <f>$C27*$E27*(1+Hypothèses!$C$14)^0</f>
        <v/>
      </c>
      <c r="O27" s="23">
        <f>$C27*$E27*(1+Hypothèses!$C$14)^0</f>
        <v/>
      </c>
      <c r="P27" s="23">
        <f>$C27*$E27*(1+Hypothèses!$C$14)^0</f>
        <v/>
      </c>
      <c r="Q27" s="23">
        <f>$C27*$E27*(1+Hypothèses!$C$14)^0</f>
        <v/>
      </c>
      <c r="R27" s="23">
        <f>$C27*$E27*(1+Hypothèses!$C$14)^0</f>
        <v/>
      </c>
      <c r="S27" s="23">
        <f>$C27*$E27*(1+Hypothèses!$C$14)^1</f>
        <v/>
      </c>
      <c r="T27" s="23">
        <f>$C27*$E27*(1+Hypothèses!$C$14)^1</f>
        <v/>
      </c>
      <c r="U27" s="23">
        <f>$C27*$E27*(1+Hypothèses!$C$14)^1</f>
        <v/>
      </c>
      <c r="V27" s="23">
        <f>$C27*$E27*(1+Hypothèses!$C$14)^1</f>
        <v/>
      </c>
      <c r="W27" s="23">
        <f>$C27*$E27*(1+Hypothèses!$C$14)^1</f>
        <v/>
      </c>
      <c r="X27" s="23">
        <f>$C27*$E27*(1+Hypothèses!$C$14)^1</f>
        <v/>
      </c>
      <c r="Y27" s="23">
        <f>$C27*$E27*(1+Hypothèses!$C$14)^1</f>
        <v/>
      </c>
      <c r="Z27" s="23">
        <f>$C27*$E27*(1+Hypothèses!$C$14)^1</f>
        <v/>
      </c>
      <c r="AA27" s="23">
        <f>$C27*$E27*(1+Hypothèses!$C$14)^1</f>
        <v/>
      </c>
      <c r="AB27" s="23">
        <f>$C27*$E27*(1+Hypothèses!$C$14)^1</f>
        <v/>
      </c>
      <c r="AC27" s="23">
        <f>$C27*$E27*(1+Hypothèses!$C$14)^1</f>
        <v/>
      </c>
      <c r="AD27" s="23">
        <f>$C27*$E27*(1+Hypothèses!$C$14)^1</f>
        <v/>
      </c>
      <c r="AE27" s="23">
        <f>$C27*$E27*(1+Hypothèses!$C$14)^2</f>
        <v/>
      </c>
      <c r="AF27" s="23">
        <f>$C27*$E27*(1+Hypothèses!$C$14)^2</f>
        <v/>
      </c>
      <c r="AG27" s="23">
        <f>$C27*$E27*(1+Hypothèses!$C$14)^2</f>
        <v/>
      </c>
      <c r="AH27" s="23">
        <f>$C27*$E27*(1+Hypothèses!$C$14)^2</f>
        <v/>
      </c>
      <c r="AI27" s="23">
        <f>$C27*$E27*(1+Hypothèses!$C$14)^2</f>
        <v/>
      </c>
      <c r="AJ27" s="23">
        <f>$C27*$E27*(1+Hypothèses!$C$14)^2</f>
        <v/>
      </c>
      <c r="AK27" s="23">
        <f>$C27*$E27*(1+Hypothèses!$C$14)^2</f>
        <v/>
      </c>
      <c r="AL27" s="23">
        <f>$C27*$E27*(1+Hypothèses!$C$14)^2</f>
        <v/>
      </c>
      <c r="AM27" s="23">
        <f>$C27*$E27*(1+Hypothèses!$C$14)^2</f>
        <v/>
      </c>
      <c r="AN27" s="23">
        <f>$C27*$E27*(1+Hypothèses!$C$14)^2</f>
        <v/>
      </c>
      <c r="AO27" s="23">
        <f>$C27*$E27*(1+Hypothèses!$C$14)^2</f>
        <v/>
      </c>
      <c r="AP27" s="23">
        <f>$C27*$E27*(1+Hypothèses!$C$14)^2</f>
        <v/>
      </c>
      <c r="AQ27" s="23">
        <f>SUM(G27:R27)</f>
        <v/>
      </c>
      <c r="AR27" s="23">
        <f>SUM(S27:AD27)</f>
        <v/>
      </c>
      <c r="AS27" s="23">
        <f>SUM(AE27:AP27)</f>
        <v/>
      </c>
      <c r="AT27" s="23">
        <f>SUM(AQ27:AS27)</f>
        <v/>
      </c>
    </row>
    <row r="28">
      <c r="A28" s="24" t="inlineStr">
        <is>
          <t>SOUS-TOTAL Personnel</t>
        </is>
      </c>
      <c r="C28" s="34" t="n"/>
      <c r="D28" s="34" t="n"/>
      <c r="E28" s="34" t="n"/>
      <c r="F28" s="34" t="n"/>
      <c r="G28" s="25">
        <f>G26+G27</f>
        <v/>
      </c>
      <c r="H28" s="25">
        <f>H26+H27</f>
        <v/>
      </c>
      <c r="I28" s="25">
        <f>I26+I27</f>
        <v/>
      </c>
      <c r="J28" s="25">
        <f>J26+J27</f>
        <v/>
      </c>
      <c r="K28" s="25">
        <f>K26+K27</f>
        <v/>
      </c>
      <c r="L28" s="25">
        <f>L26+L27</f>
        <v/>
      </c>
      <c r="M28" s="25">
        <f>M26+M27</f>
        <v/>
      </c>
      <c r="N28" s="25">
        <f>N26+N27</f>
        <v/>
      </c>
      <c r="O28" s="25">
        <f>O26+O27</f>
        <v/>
      </c>
      <c r="P28" s="25">
        <f>P26+P27</f>
        <v/>
      </c>
      <c r="Q28" s="25">
        <f>Q26+Q27</f>
        <v/>
      </c>
      <c r="R28" s="25">
        <f>R26+R27</f>
        <v/>
      </c>
      <c r="S28" s="25">
        <f>S26+S27</f>
        <v/>
      </c>
      <c r="T28" s="25">
        <f>T26+T27</f>
        <v/>
      </c>
      <c r="U28" s="25">
        <f>U26+U27</f>
        <v/>
      </c>
      <c r="V28" s="25">
        <f>V26+V27</f>
        <v/>
      </c>
      <c r="W28" s="25">
        <f>W26+W27</f>
        <v/>
      </c>
      <c r="X28" s="25">
        <f>X26+X27</f>
        <v/>
      </c>
      <c r="Y28" s="25">
        <f>Y26+Y27</f>
        <v/>
      </c>
      <c r="Z28" s="25">
        <f>Z26+Z27</f>
        <v/>
      </c>
      <c r="AA28" s="25">
        <f>AA26+AA27</f>
        <v/>
      </c>
      <c r="AB28" s="25">
        <f>AB26+AB27</f>
        <v/>
      </c>
      <c r="AC28" s="25">
        <f>AC26+AC27</f>
        <v/>
      </c>
      <c r="AD28" s="25">
        <f>AD26+AD27</f>
        <v/>
      </c>
      <c r="AE28" s="25">
        <f>AE26+AE27</f>
        <v/>
      </c>
      <c r="AF28" s="25">
        <f>AF26+AF27</f>
        <v/>
      </c>
      <c r="AG28" s="25">
        <f>AG26+AG27</f>
        <v/>
      </c>
      <c r="AH28" s="25">
        <f>AH26+AH27</f>
        <v/>
      </c>
      <c r="AI28" s="25">
        <f>AI26+AI27</f>
        <v/>
      </c>
      <c r="AJ28" s="25">
        <f>AJ26+AJ27</f>
        <v/>
      </c>
      <c r="AK28" s="25">
        <f>AK26+AK27</f>
        <v/>
      </c>
      <c r="AL28" s="25">
        <f>AL26+AL27</f>
        <v/>
      </c>
      <c r="AM28" s="25">
        <f>AM26+AM27</f>
        <v/>
      </c>
      <c r="AN28" s="25">
        <f>AN26+AN27</f>
        <v/>
      </c>
      <c r="AO28" s="25">
        <f>AO26+AO27</f>
        <v/>
      </c>
      <c r="AP28" s="25">
        <f>AP26+AP27</f>
        <v/>
      </c>
      <c r="AQ28" s="25">
        <f>SUM(G28:R28)</f>
        <v/>
      </c>
      <c r="AR28" s="25">
        <f>SUM(S28:AD28)</f>
        <v/>
      </c>
      <c r="AS28" s="25">
        <f>SUM(AE28:AP28)</f>
        <v/>
      </c>
      <c r="AT28" s="25">
        <f>SUM(AQ28:AS28)</f>
        <v/>
      </c>
    </row>
    <row r="29">
      <c r="A29" s="27" t="inlineStr">
        <is>
          <t>Charges sociales dirigeant</t>
        </is>
      </c>
      <c r="B29" s="27" t="inlineStr">
        <is>
          <t>Cotisations URSSAF (TNS) du dirigeant — lissé mensuel (versées par trimestre, cf. Hypothèses C8)</t>
        </is>
      </c>
      <c r="C29" s="33" t="n">
        <v>1</v>
      </c>
      <c r="D29" s="27" t="inlineStr">
        <is>
          <t>forfait/mois (moy.)</t>
        </is>
      </c>
      <c r="E29" s="9" t="n">
        <v>1066.67</v>
      </c>
      <c r="F29" s="31" t="inlineStr">
        <is>
          <t>Calculé — Hypothèses!C8 (cotisation trimestrielle) ÷ 3</t>
        </is>
      </c>
      <c r="G29" s="23">
        <f>$C29*$E29*(1+Hypothèses!$C$14)^0</f>
        <v/>
      </c>
      <c r="H29" s="23">
        <f>$C29*$E29*(1+Hypothèses!$C$14)^0</f>
        <v/>
      </c>
      <c r="I29" s="23">
        <f>$C29*$E29*(1+Hypothèses!$C$14)^0</f>
        <v/>
      </c>
      <c r="J29" s="23">
        <f>$C29*$E29*(1+Hypothèses!$C$14)^0</f>
        <v/>
      </c>
      <c r="K29" s="23">
        <f>$C29*$E29*(1+Hypothèses!$C$14)^0</f>
        <v/>
      </c>
      <c r="L29" s="23">
        <f>$C29*$E29*(1+Hypothèses!$C$14)^0</f>
        <v/>
      </c>
      <c r="M29" s="23">
        <f>$C29*$E29*(1+Hypothèses!$C$14)^0</f>
        <v/>
      </c>
      <c r="N29" s="23">
        <f>$C29*$E29*(1+Hypothèses!$C$14)^0</f>
        <v/>
      </c>
      <c r="O29" s="23">
        <f>$C29*$E29*(1+Hypothèses!$C$14)^0</f>
        <v/>
      </c>
      <c r="P29" s="23">
        <f>$C29*$E29*(1+Hypothèses!$C$14)^0</f>
        <v/>
      </c>
      <c r="Q29" s="23">
        <f>$C29*$E29*(1+Hypothèses!$C$14)^0</f>
        <v/>
      </c>
      <c r="R29" s="23">
        <f>$C29*$E29*(1+Hypothèses!$C$14)^0</f>
        <v/>
      </c>
      <c r="S29" s="23">
        <f>$C29*$E29*(1+Hypothèses!$C$14)^1</f>
        <v/>
      </c>
      <c r="T29" s="23">
        <f>$C29*$E29*(1+Hypothèses!$C$14)^1</f>
        <v/>
      </c>
      <c r="U29" s="23">
        <f>$C29*$E29*(1+Hypothèses!$C$14)^1</f>
        <v/>
      </c>
      <c r="V29" s="23">
        <f>$C29*$E29*(1+Hypothèses!$C$14)^1</f>
        <v/>
      </c>
      <c r="W29" s="23">
        <f>$C29*$E29*(1+Hypothèses!$C$14)^1</f>
        <v/>
      </c>
      <c r="X29" s="23">
        <f>$C29*$E29*(1+Hypothèses!$C$14)^1</f>
        <v/>
      </c>
      <c r="Y29" s="23">
        <f>$C29*$E29*(1+Hypothèses!$C$14)^1</f>
        <v/>
      </c>
      <c r="Z29" s="23">
        <f>$C29*$E29*(1+Hypothèses!$C$14)^1</f>
        <v/>
      </c>
      <c r="AA29" s="23">
        <f>$C29*$E29*(1+Hypothèses!$C$14)^1</f>
        <v/>
      </c>
      <c r="AB29" s="23">
        <f>$C29*$E29*(1+Hypothèses!$C$14)^1</f>
        <v/>
      </c>
      <c r="AC29" s="23">
        <f>$C29*$E29*(1+Hypothèses!$C$14)^1</f>
        <v/>
      </c>
      <c r="AD29" s="23">
        <f>$C29*$E29*(1+Hypothèses!$C$14)^1</f>
        <v/>
      </c>
      <c r="AE29" s="23">
        <f>$C29*$E29*(1+Hypothèses!$C$14)^2</f>
        <v/>
      </c>
      <c r="AF29" s="23">
        <f>$C29*$E29*(1+Hypothèses!$C$14)^2</f>
        <v/>
      </c>
      <c r="AG29" s="23">
        <f>$C29*$E29*(1+Hypothèses!$C$14)^2</f>
        <v/>
      </c>
      <c r="AH29" s="23">
        <f>$C29*$E29*(1+Hypothèses!$C$14)^2</f>
        <v/>
      </c>
      <c r="AI29" s="23">
        <f>$C29*$E29*(1+Hypothèses!$C$14)^2</f>
        <v/>
      </c>
      <c r="AJ29" s="23">
        <f>$C29*$E29*(1+Hypothèses!$C$14)^2</f>
        <v/>
      </c>
      <c r="AK29" s="23">
        <f>$C29*$E29*(1+Hypothèses!$C$14)^2</f>
        <v/>
      </c>
      <c r="AL29" s="23">
        <f>$C29*$E29*(1+Hypothèses!$C$14)^2</f>
        <v/>
      </c>
      <c r="AM29" s="23">
        <f>$C29*$E29*(1+Hypothèses!$C$14)^2</f>
        <v/>
      </c>
      <c r="AN29" s="23">
        <f>$C29*$E29*(1+Hypothèses!$C$14)^2</f>
        <v/>
      </c>
      <c r="AO29" s="23">
        <f>$C29*$E29*(1+Hypothèses!$C$14)^2</f>
        <v/>
      </c>
      <c r="AP29" s="23">
        <f>$C29*$E29*(1+Hypothèses!$C$14)^2</f>
        <v/>
      </c>
      <c r="AQ29" s="23">
        <f>SUM(G29:R29)</f>
        <v/>
      </c>
      <c r="AR29" s="23">
        <f>SUM(S29:AD29)</f>
        <v/>
      </c>
      <c r="AS29" s="23">
        <f>SUM(AE29:AP29)</f>
        <v/>
      </c>
      <c r="AT29" s="23">
        <f>SUM(AQ29:AS29)</f>
        <v/>
      </c>
    </row>
    <row r="30">
      <c r="A30" s="24" t="inlineStr">
        <is>
          <t>SOUS-TOTAL Charges sociales dirigeant</t>
        </is>
      </c>
      <c r="C30" s="34" t="n"/>
      <c r="D30" s="34" t="n"/>
      <c r="E30" s="34" t="n"/>
      <c r="F30" s="34" t="n"/>
      <c r="G30" s="25">
        <f>G29</f>
        <v/>
      </c>
      <c r="H30" s="25">
        <f>H29</f>
        <v/>
      </c>
      <c r="I30" s="25">
        <f>I29</f>
        <v/>
      </c>
      <c r="J30" s="25">
        <f>J29</f>
        <v/>
      </c>
      <c r="K30" s="25">
        <f>K29</f>
        <v/>
      </c>
      <c r="L30" s="25">
        <f>L29</f>
        <v/>
      </c>
      <c r="M30" s="25">
        <f>M29</f>
        <v/>
      </c>
      <c r="N30" s="25">
        <f>N29</f>
        <v/>
      </c>
      <c r="O30" s="25">
        <f>O29</f>
        <v/>
      </c>
      <c r="P30" s="25">
        <f>P29</f>
        <v/>
      </c>
      <c r="Q30" s="25">
        <f>Q29</f>
        <v/>
      </c>
      <c r="R30" s="25">
        <f>R29</f>
        <v/>
      </c>
      <c r="S30" s="25">
        <f>S29</f>
        <v/>
      </c>
      <c r="T30" s="25">
        <f>T29</f>
        <v/>
      </c>
      <c r="U30" s="25">
        <f>U29</f>
        <v/>
      </c>
      <c r="V30" s="25">
        <f>V29</f>
        <v/>
      </c>
      <c r="W30" s="25">
        <f>W29</f>
        <v/>
      </c>
      <c r="X30" s="25">
        <f>X29</f>
        <v/>
      </c>
      <c r="Y30" s="25">
        <f>Y29</f>
        <v/>
      </c>
      <c r="Z30" s="25">
        <f>Z29</f>
        <v/>
      </c>
      <c r="AA30" s="25">
        <f>AA29</f>
        <v/>
      </c>
      <c r="AB30" s="25">
        <f>AB29</f>
        <v/>
      </c>
      <c r="AC30" s="25">
        <f>AC29</f>
        <v/>
      </c>
      <c r="AD30" s="25">
        <f>AD29</f>
        <v/>
      </c>
      <c r="AE30" s="25">
        <f>AE29</f>
        <v/>
      </c>
      <c r="AF30" s="25">
        <f>AF29</f>
        <v/>
      </c>
      <c r="AG30" s="25">
        <f>AG29</f>
        <v/>
      </c>
      <c r="AH30" s="25">
        <f>AH29</f>
        <v/>
      </c>
      <c r="AI30" s="25">
        <f>AI29</f>
        <v/>
      </c>
      <c r="AJ30" s="25">
        <f>AJ29</f>
        <v/>
      </c>
      <c r="AK30" s="25">
        <f>AK29</f>
        <v/>
      </c>
      <c r="AL30" s="25">
        <f>AL29</f>
        <v/>
      </c>
      <c r="AM30" s="25">
        <f>AM29</f>
        <v/>
      </c>
      <c r="AN30" s="25">
        <f>AN29</f>
        <v/>
      </c>
      <c r="AO30" s="25">
        <f>AO29</f>
        <v/>
      </c>
      <c r="AP30" s="25">
        <f>AP29</f>
        <v/>
      </c>
      <c r="AQ30" s="25">
        <f>SUM(G30:R30)</f>
        <v/>
      </c>
      <c r="AR30" s="25">
        <f>SUM(S30:AD30)</f>
        <v/>
      </c>
      <c r="AS30" s="25">
        <f>SUM(AE30:AP30)</f>
        <v/>
      </c>
      <c r="AT30" s="25">
        <f>SUM(AQ30:AS30)</f>
        <v/>
      </c>
    </row>
    <row r="31">
      <c r="A31" s="27" t="inlineStr">
        <is>
          <t>Charges fixes</t>
        </is>
      </c>
      <c r="B31" s="27" t="inlineStr">
        <is>
          <t>Loyer commercial</t>
        </is>
      </c>
      <c r="C31" s="33" t="n">
        <v>1</v>
      </c>
      <c r="D31" s="27" t="inlineStr">
        <is>
          <t>forfait/mois</t>
        </is>
      </c>
      <c r="E31" s="9" t="n">
        <v>3200</v>
      </c>
      <c r="F31" s="31" t="inlineStr">
        <is>
          <t>Estimé — bail commercial type quartier</t>
        </is>
      </c>
      <c r="G31" s="23">
        <f>$C31*$E31*(1+Hypothèses!$C$14)^0</f>
        <v/>
      </c>
      <c r="H31" s="23">
        <f>$C31*$E31*(1+Hypothèses!$C$14)^0</f>
        <v/>
      </c>
      <c r="I31" s="23">
        <f>$C31*$E31*(1+Hypothèses!$C$14)^0</f>
        <v/>
      </c>
      <c r="J31" s="23">
        <f>$C31*$E31*(1+Hypothèses!$C$14)^0</f>
        <v/>
      </c>
      <c r="K31" s="23">
        <f>$C31*$E31*(1+Hypothèses!$C$14)^0</f>
        <v/>
      </c>
      <c r="L31" s="23">
        <f>$C31*$E31*(1+Hypothèses!$C$14)^0</f>
        <v/>
      </c>
      <c r="M31" s="23">
        <f>$C31*$E31*(1+Hypothèses!$C$14)^0</f>
        <v/>
      </c>
      <c r="N31" s="23">
        <f>$C31*$E31*(1+Hypothèses!$C$14)^0</f>
        <v/>
      </c>
      <c r="O31" s="23">
        <f>$C31*$E31*(1+Hypothèses!$C$14)^0</f>
        <v/>
      </c>
      <c r="P31" s="23">
        <f>$C31*$E31*(1+Hypothèses!$C$14)^0</f>
        <v/>
      </c>
      <c r="Q31" s="23">
        <f>$C31*$E31*(1+Hypothèses!$C$14)^0</f>
        <v/>
      </c>
      <c r="R31" s="23">
        <f>$C31*$E31*(1+Hypothèses!$C$14)^0</f>
        <v/>
      </c>
      <c r="S31" s="23">
        <f>$C31*$E31*(1+Hypothèses!$C$14)^1</f>
        <v/>
      </c>
      <c r="T31" s="23">
        <f>$C31*$E31*(1+Hypothèses!$C$14)^1</f>
        <v/>
      </c>
      <c r="U31" s="23">
        <f>$C31*$E31*(1+Hypothèses!$C$14)^1</f>
        <v/>
      </c>
      <c r="V31" s="23">
        <f>$C31*$E31*(1+Hypothèses!$C$14)^1</f>
        <v/>
      </c>
      <c r="W31" s="23">
        <f>$C31*$E31*(1+Hypothèses!$C$14)^1</f>
        <v/>
      </c>
      <c r="X31" s="23">
        <f>$C31*$E31*(1+Hypothèses!$C$14)^1</f>
        <v/>
      </c>
      <c r="Y31" s="23">
        <f>$C31*$E31*(1+Hypothèses!$C$14)^1</f>
        <v/>
      </c>
      <c r="Z31" s="23">
        <f>$C31*$E31*(1+Hypothèses!$C$14)^1</f>
        <v/>
      </c>
      <c r="AA31" s="23">
        <f>$C31*$E31*(1+Hypothèses!$C$14)^1</f>
        <v/>
      </c>
      <c r="AB31" s="23">
        <f>$C31*$E31*(1+Hypothèses!$C$14)^1</f>
        <v/>
      </c>
      <c r="AC31" s="23">
        <f>$C31*$E31*(1+Hypothèses!$C$14)^1</f>
        <v/>
      </c>
      <c r="AD31" s="23">
        <f>$C31*$E31*(1+Hypothèses!$C$14)^1</f>
        <v/>
      </c>
      <c r="AE31" s="23">
        <f>$C31*$E31*(1+Hypothèses!$C$14)^2</f>
        <v/>
      </c>
      <c r="AF31" s="23">
        <f>$C31*$E31*(1+Hypothèses!$C$14)^2</f>
        <v/>
      </c>
      <c r="AG31" s="23">
        <f>$C31*$E31*(1+Hypothèses!$C$14)^2</f>
        <v/>
      </c>
      <c r="AH31" s="23">
        <f>$C31*$E31*(1+Hypothèses!$C$14)^2</f>
        <v/>
      </c>
      <c r="AI31" s="23">
        <f>$C31*$E31*(1+Hypothèses!$C$14)^2</f>
        <v/>
      </c>
      <c r="AJ31" s="23">
        <f>$C31*$E31*(1+Hypothèses!$C$14)^2</f>
        <v/>
      </c>
      <c r="AK31" s="23">
        <f>$C31*$E31*(1+Hypothèses!$C$14)^2</f>
        <v/>
      </c>
      <c r="AL31" s="23">
        <f>$C31*$E31*(1+Hypothèses!$C$14)^2</f>
        <v/>
      </c>
      <c r="AM31" s="23">
        <f>$C31*$E31*(1+Hypothèses!$C$14)^2</f>
        <v/>
      </c>
      <c r="AN31" s="23">
        <f>$C31*$E31*(1+Hypothèses!$C$14)^2</f>
        <v/>
      </c>
      <c r="AO31" s="23">
        <f>$C31*$E31*(1+Hypothèses!$C$14)^2</f>
        <v/>
      </c>
      <c r="AP31" s="23">
        <f>$C31*$E31*(1+Hypothèses!$C$14)^2</f>
        <v/>
      </c>
      <c r="AQ31" s="23">
        <f>SUM(G31:R31)</f>
        <v/>
      </c>
      <c r="AR31" s="23">
        <f>SUM(S31:AD31)</f>
        <v/>
      </c>
      <c r="AS31" s="23">
        <f>SUM(AE31:AP31)</f>
        <v/>
      </c>
      <c r="AT31" s="23">
        <f>SUM(AQ31:AS31)</f>
        <v/>
      </c>
    </row>
    <row r="32">
      <c r="A32" s="27" t="inlineStr">
        <is>
          <t>Charges fixes</t>
        </is>
      </c>
      <c r="B32" s="27" t="inlineStr">
        <is>
          <t>Assurance multirisque &amp; RC professionnelle</t>
        </is>
      </c>
      <c r="C32" s="33" t="n">
        <v>1</v>
      </c>
      <c r="D32" s="27" t="inlineStr">
        <is>
          <t>forfait/mois</t>
        </is>
      </c>
      <c r="E32" s="9" t="n">
        <v>250</v>
      </c>
      <c r="F32" s="31" t="inlineStr">
        <is>
          <t>Estimé — devis assureur pro</t>
        </is>
      </c>
      <c r="G32" s="23">
        <f>$C32*$E32*(1+Hypothèses!$C$14)^0</f>
        <v/>
      </c>
      <c r="H32" s="23">
        <f>$C32*$E32*(1+Hypothèses!$C$14)^0</f>
        <v/>
      </c>
      <c r="I32" s="23">
        <f>$C32*$E32*(1+Hypothèses!$C$14)^0</f>
        <v/>
      </c>
      <c r="J32" s="23">
        <f>$C32*$E32*(1+Hypothèses!$C$14)^0</f>
        <v/>
      </c>
      <c r="K32" s="23">
        <f>$C32*$E32*(1+Hypothèses!$C$14)^0</f>
        <v/>
      </c>
      <c r="L32" s="23">
        <f>$C32*$E32*(1+Hypothèses!$C$14)^0</f>
        <v/>
      </c>
      <c r="M32" s="23">
        <f>$C32*$E32*(1+Hypothèses!$C$14)^0</f>
        <v/>
      </c>
      <c r="N32" s="23">
        <f>$C32*$E32*(1+Hypothèses!$C$14)^0</f>
        <v/>
      </c>
      <c r="O32" s="23">
        <f>$C32*$E32*(1+Hypothèses!$C$14)^0</f>
        <v/>
      </c>
      <c r="P32" s="23">
        <f>$C32*$E32*(1+Hypothèses!$C$14)^0</f>
        <v/>
      </c>
      <c r="Q32" s="23">
        <f>$C32*$E32*(1+Hypothèses!$C$14)^0</f>
        <v/>
      </c>
      <c r="R32" s="23">
        <f>$C32*$E32*(1+Hypothèses!$C$14)^0</f>
        <v/>
      </c>
      <c r="S32" s="23">
        <f>$C32*$E32*(1+Hypothèses!$C$14)^1</f>
        <v/>
      </c>
      <c r="T32" s="23">
        <f>$C32*$E32*(1+Hypothèses!$C$14)^1</f>
        <v/>
      </c>
      <c r="U32" s="23">
        <f>$C32*$E32*(1+Hypothèses!$C$14)^1</f>
        <v/>
      </c>
      <c r="V32" s="23">
        <f>$C32*$E32*(1+Hypothèses!$C$14)^1</f>
        <v/>
      </c>
      <c r="W32" s="23">
        <f>$C32*$E32*(1+Hypothèses!$C$14)^1</f>
        <v/>
      </c>
      <c r="X32" s="23">
        <f>$C32*$E32*(1+Hypothèses!$C$14)^1</f>
        <v/>
      </c>
      <c r="Y32" s="23">
        <f>$C32*$E32*(1+Hypothèses!$C$14)^1</f>
        <v/>
      </c>
      <c r="Z32" s="23">
        <f>$C32*$E32*(1+Hypothèses!$C$14)^1</f>
        <v/>
      </c>
      <c r="AA32" s="23">
        <f>$C32*$E32*(1+Hypothèses!$C$14)^1</f>
        <v/>
      </c>
      <c r="AB32" s="23">
        <f>$C32*$E32*(1+Hypothèses!$C$14)^1</f>
        <v/>
      </c>
      <c r="AC32" s="23">
        <f>$C32*$E32*(1+Hypothèses!$C$14)^1</f>
        <v/>
      </c>
      <c r="AD32" s="23">
        <f>$C32*$E32*(1+Hypothèses!$C$14)^1</f>
        <v/>
      </c>
      <c r="AE32" s="23">
        <f>$C32*$E32*(1+Hypothèses!$C$14)^2</f>
        <v/>
      </c>
      <c r="AF32" s="23">
        <f>$C32*$E32*(1+Hypothèses!$C$14)^2</f>
        <v/>
      </c>
      <c r="AG32" s="23">
        <f>$C32*$E32*(1+Hypothèses!$C$14)^2</f>
        <v/>
      </c>
      <c r="AH32" s="23">
        <f>$C32*$E32*(1+Hypothèses!$C$14)^2</f>
        <v/>
      </c>
      <c r="AI32" s="23">
        <f>$C32*$E32*(1+Hypothèses!$C$14)^2</f>
        <v/>
      </c>
      <c r="AJ32" s="23">
        <f>$C32*$E32*(1+Hypothèses!$C$14)^2</f>
        <v/>
      </c>
      <c r="AK32" s="23">
        <f>$C32*$E32*(1+Hypothèses!$C$14)^2</f>
        <v/>
      </c>
      <c r="AL32" s="23">
        <f>$C32*$E32*(1+Hypothèses!$C$14)^2</f>
        <v/>
      </c>
      <c r="AM32" s="23">
        <f>$C32*$E32*(1+Hypothèses!$C$14)^2</f>
        <v/>
      </c>
      <c r="AN32" s="23">
        <f>$C32*$E32*(1+Hypothèses!$C$14)^2</f>
        <v/>
      </c>
      <c r="AO32" s="23">
        <f>$C32*$E32*(1+Hypothèses!$C$14)^2</f>
        <v/>
      </c>
      <c r="AP32" s="23">
        <f>$C32*$E32*(1+Hypothèses!$C$14)^2</f>
        <v/>
      </c>
      <c r="AQ32" s="23">
        <f>SUM(G32:R32)</f>
        <v/>
      </c>
      <c r="AR32" s="23">
        <f>SUM(S32:AD32)</f>
        <v/>
      </c>
      <c r="AS32" s="23">
        <f>SUM(AE32:AP32)</f>
        <v/>
      </c>
      <c r="AT32" s="23">
        <f>SUM(AQ32:AS32)</f>
        <v/>
      </c>
    </row>
    <row r="33">
      <c r="A33" s="27" t="inlineStr">
        <is>
          <t>Charges fixes</t>
        </is>
      </c>
      <c r="B33" s="27" t="inlineStr">
        <is>
          <t>Entretien matériel (four, pétrin, vitrines)</t>
        </is>
      </c>
      <c r="C33" s="33" t="n">
        <v>1</v>
      </c>
      <c r="D33" s="27" t="inlineStr">
        <is>
          <t>forfait/mois</t>
        </is>
      </c>
      <c r="E33" s="9" t="n">
        <v>350</v>
      </c>
      <c r="F33" s="31" t="inlineStr">
        <is>
          <t>Estimé — contrat maintenance</t>
        </is>
      </c>
      <c r="G33" s="23">
        <f>$C33*$E33*(1+Hypothèses!$C$14)^0</f>
        <v/>
      </c>
      <c r="H33" s="23">
        <f>$C33*$E33*(1+Hypothèses!$C$14)^0</f>
        <v/>
      </c>
      <c r="I33" s="23">
        <f>$C33*$E33*(1+Hypothèses!$C$14)^0</f>
        <v/>
      </c>
      <c r="J33" s="23">
        <f>$C33*$E33*(1+Hypothèses!$C$14)^0</f>
        <v/>
      </c>
      <c r="K33" s="23">
        <f>$C33*$E33*(1+Hypothèses!$C$14)^0</f>
        <v/>
      </c>
      <c r="L33" s="23">
        <f>$C33*$E33*(1+Hypothèses!$C$14)^0</f>
        <v/>
      </c>
      <c r="M33" s="23">
        <f>$C33*$E33*(1+Hypothèses!$C$14)^0</f>
        <v/>
      </c>
      <c r="N33" s="23">
        <f>$C33*$E33*(1+Hypothèses!$C$14)^0</f>
        <v/>
      </c>
      <c r="O33" s="23">
        <f>$C33*$E33*(1+Hypothèses!$C$14)^0</f>
        <v/>
      </c>
      <c r="P33" s="23">
        <f>$C33*$E33*(1+Hypothèses!$C$14)^0</f>
        <v/>
      </c>
      <c r="Q33" s="23">
        <f>$C33*$E33*(1+Hypothèses!$C$14)^0</f>
        <v/>
      </c>
      <c r="R33" s="23">
        <f>$C33*$E33*(1+Hypothèses!$C$14)^0</f>
        <v/>
      </c>
      <c r="S33" s="23">
        <f>$C33*$E33*(1+Hypothèses!$C$14)^1</f>
        <v/>
      </c>
      <c r="T33" s="23">
        <f>$C33*$E33*(1+Hypothèses!$C$14)^1</f>
        <v/>
      </c>
      <c r="U33" s="23">
        <f>$C33*$E33*(1+Hypothèses!$C$14)^1</f>
        <v/>
      </c>
      <c r="V33" s="23">
        <f>$C33*$E33*(1+Hypothèses!$C$14)^1</f>
        <v/>
      </c>
      <c r="W33" s="23">
        <f>$C33*$E33*(1+Hypothèses!$C$14)^1</f>
        <v/>
      </c>
      <c r="X33" s="23">
        <f>$C33*$E33*(1+Hypothèses!$C$14)^1</f>
        <v/>
      </c>
      <c r="Y33" s="23">
        <f>$C33*$E33*(1+Hypothèses!$C$14)^1</f>
        <v/>
      </c>
      <c r="Z33" s="23">
        <f>$C33*$E33*(1+Hypothèses!$C$14)^1</f>
        <v/>
      </c>
      <c r="AA33" s="23">
        <f>$C33*$E33*(1+Hypothèses!$C$14)^1</f>
        <v/>
      </c>
      <c r="AB33" s="23">
        <f>$C33*$E33*(1+Hypothèses!$C$14)^1</f>
        <v/>
      </c>
      <c r="AC33" s="23">
        <f>$C33*$E33*(1+Hypothèses!$C$14)^1</f>
        <v/>
      </c>
      <c r="AD33" s="23">
        <f>$C33*$E33*(1+Hypothèses!$C$14)^1</f>
        <v/>
      </c>
      <c r="AE33" s="23">
        <f>$C33*$E33*(1+Hypothèses!$C$14)^2</f>
        <v/>
      </c>
      <c r="AF33" s="23">
        <f>$C33*$E33*(1+Hypothèses!$C$14)^2</f>
        <v/>
      </c>
      <c r="AG33" s="23">
        <f>$C33*$E33*(1+Hypothèses!$C$14)^2</f>
        <v/>
      </c>
      <c r="AH33" s="23">
        <f>$C33*$E33*(1+Hypothèses!$C$14)^2</f>
        <v/>
      </c>
      <c r="AI33" s="23">
        <f>$C33*$E33*(1+Hypothèses!$C$14)^2</f>
        <v/>
      </c>
      <c r="AJ33" s="23">
        <f>$C33*$E33*(1+Hypothèses!$C$14)^2</f>
        <v/>
      </c>
      <c r="AK33" s="23">
        <f>$C33*$E33*(1+Hypothèses!$C$14)^2</f>
        <v/>
      </c>
      <c r="AL33" s="23">
        <f>$C33*$E33*(1+Hypothèses!$C$14)^2</f>
        <v/>
      </c>
      <c r="AM33" s="23">
        <f>$C33*$E33*(1+Hypothèses!$C$14)^2</f>
        <v/>
      </c>
      <c r="AN33" s="23">
        <f>$C33*$E33*(1+Hypothèses!$C$14)^2</f>
        <v/>
      </c>
      <c r="AO33" s="23">
        <f>$C33*$E33*(1+Hypothèses!$C$14)^2</f>
        <v/>
      </c>
      <c r="AP33" s="23">
        <f>$C33*$E33*(1+Hypothèses!$C$14)^2</f>
        <v/>
      </c>
      <c r="AQ33" s="23">
        <f>SUM(G33:R33)</f>
        <v/>
      </c>
      <c r="AR33" s="23">
        <f>SUM(S33:AD33)</f>
        <v/>
      </c>
      <c r="AS33" s="23">
        <f>SUM(AE33:AP33)</f>
        <v/>
      </c>
      <c r="AT33" s="23">
        <f>SUM(AQ33:AS33)</f>
        <v/>
      </c>
    </row>
    <row r="34">
      <c r="A34" s="27" t="inlineStr">
        <is>
          <t>Charges fixes</t>
        </is>
      </c>
      <c r="B34" s="27" t="inlineStr">
        <is>
          <t>Honoraires comptable</t>
        </is>
      </c>
      <c r="C34" s="33" t="n">
        <v>1</v>
      </c>
      <c r="D34" s="27" t="inlineStr">
        <is>
          <t>forfait/mois</t>
        </is>
      </c>
      <c r="E34" s="9" t="n">
        <v>500</v>
      </c>
      <c r="F34" s="31" t="inlineStr">
        <is>
          <t>Estimé — cabinet expertise comptable TPE</t>
        </is>
      </c>
      <c r="G34" s="23">
        <f>$C34*$E34*(1+Hypothèses!$C$14)^0</f>
        <v/>
      </c>
      <c r="H34" s="23">
        <f>$C34*$E34*(1+Hypothèses!$C$14)^0</f>
        <v/>
      </c>
      <c r="I34" s="23">
        <f>$C34*$E34*(1+Hypothèses!$C$14)^0</f>
        <v/>
      </c>
      <c r="J34" s="23">
        <f>$C34*$E34*(1+Hypothèses!$C$14)^0</f>
        <v/>
      </c>
      <c r="K34" s="23">
        <f>$C34*$E34*(1+Hypothèses!$C$14)^0</f>
        <v/>
      </c>
      <c r="L34" s="23">
        <f>$C34*$E34*(1+Hypothèses!$C$14)^0</f>
        <v/>
      </c>
      <c r="M34" s="23">
        <f>$C34*$E34*(1+Hypothèses!$C$14)^0</f>
        <v/>
      </c>
      <c r="N34" s="23">
        <f>$C34*$E34*(1+Hypothèses!$C$14)^0</f>
        <v/>
      </c>
      <c r="O34" s="23">
        <f>$C34*$E34*(1+Hypothèses!$C$14)^0</f>
        <v/>
      </c>
      <c r="P34" s="23">
        <f>$C34*$E34*(1+Hypothèses!$C$14)^0</f>
        <v/>
      </c>
      <c r="Q34" s="23">
        <f>$C34*$E34*(1+Hypothèses!$C$14)^0</f>
        <v/>
      </c>
      <c r="R34" s="23">
        <f>$C34*$E34*(1+Hypothèses!$C$14)^0</f>
        <v/>
      </c>
      <c r="S34" s="23">
        <f>$C34*$E34*(1+Hypothèses!$C$14)^1</f>
        <v/>
      </c>
      <c r="T34" s="23">
        <f>$C34*$E34*(1+Hypothèses!$C$14)^1</f>
        <v/>
      </c>
      <c r="U34" s="23">
        <f>$C34*$E34*(1+Hypothèses!$C$14)^1</f>
        <v/>
      </c>
      <c r="V34" s="23">
        <f>$C34*$E34*(1+Hypothèses!$C$14)^1</f>
        <v/>
      </c>
      <c r="W34" s="23">
        <f>$C34*$E34*(1+Hypothèses!$C$14)^1</f>
        <v/>
      </c>
      <c r="X34" s="23">
        <f>$C34*$E34*(1+Hypothèses!$C$14)^1</f>
        <v/>
      </c>
      <c r="Y34" s="23">
        <f>$C34*$E34*(1+Hypothèses!$C$14)^1</f>
        <v/>
      </c>
      <c r="Z34" s="23">
        <f>$C34*$E34*(1+Hypothèses!$C$14)^1</f>
        <v/>
      </c>
      <c r="AA34" s="23">
        <f>$C34*$E34*(1+Hypothèses!$C$14)^1</f>
        <v/>
      </c>
      <c r="AB34" s="23">
        <f>$C34*$E34*(1+Hypothèses!$C$14)^1</f>
        <v/>
      </c>
      <c r="AC34" s="23">
        <f>$C34*$E34*(1+Hypothèses!$C$14)^1</f>
        <v/>
      </c>
      <c r="AD34" s="23">
        <f>$C34*$E34*(1+Hypothèses!$C$14)^1</f>
        <v/>
      </c>
      <c r="AE34" s="23">
        <f>$C34*$E34*(1+Hypothèses!$C$14)^2</f>
        <v/>
      </c>
      <c r="AF34" s="23">
        <f>$C34*$E34*(1+Hypothèses!$C$14)^2</f>
        <v/>
      </c>
      <c r="AG34" s="23">
        <f>$C34*$E34*(1+Hypothèses!$C$14)^2</f>
        <v/>
      </c>
      <c r="AH34" s="23">
        <f>$C34*$E34*(1+Hypothèses!$C$14)^2</f>
        <v/>
      </c>
      <c r="AI34" s="23">
        <f>$C34*$E34*(1+Hypothèses!$C$14)^2</f>
        <v/>
      </c>
      <c r="AJ34" s="23">
        <f>$C34*$E34*(1+Hypothèses!$C$14)^2</f>
        <v/>
      </c>
      <c r="AK34" s="23">
        <f>$C34*$E34*(1+Hypothèses!$C$14)^2</f>
        <v/>
      </c>
      <c r="AL34" s="23">
        <f>$C34*$E34*(1+Hypothèses!$C$14)^2</f>
        <v/>
      </c>
      <c r="AM34" s="23">
        <f>$C34*$E34*(1+Hypothèses!$C$14)^2</f>
        <v/>
      </c>
      <c r="AN34" s="23">
        <f>$C34*$E34*(1+Hypothèses!$C$14)^2</f>
        <v/>
      </c>
      <c r="AO34" s="23">
        <f>$C34*$E34*(1+Hypothèses!$C$14)^2</f>
        <v/>
      </c>
      <c r="AP34" s="23">
        <f>$C34*$E34*(1+Hypothèses!$C$14)^2</f>
        <v/>
      </c>
      <c r="AQ34" s="23">
        <f>SUM(G34:R34)</f>
        <v/>
      </c>
      <c r="AR34" s="23">
        <f>SUM(S34:AD34)</f>
        <v/>
      </c>
      <c r="AS34" s="23">
        <f>SUM(AE34:AP34)</f>
        <v/>
      </c>
      <c r="AT34" s="23">
        <f>SUM(AQ34:AS34)</f>
        <v/>
      </c>
    </row>
    <row r="35">
      <c r="A35" s="27" t="inlineStr">
        <is>
          <t>Charges fixes</t>
        </is>
      </c>
      <c r="B35" s="27" t="inlineStr">
        <is>
          <t>Eau</t>
        </is>
      </c>
      <c r="C35" s="33" t="n">
        <v>1</v>
      </c>
      <c r="D35" s="27" t="inlineStr">
        <is>
          <t>forfait/mois</t>
        </is>
      </c>
      <c r="E35" s="9" t="n">
        <v>150</v>
      </c>
      <c r="F35" s="31" t="inlineStr">
        <is>
          <t>Estimé — facture eau professionnelle</t>
        </is>
      </c>
      <c r="G35" s="23">
        <f>$C35*$E35*(1+Hypothèses!$C$14)^0</f>
        <v/>
      </c>
      <c r="H35" s="23">
        <f>$C35*$E35*(1+Hypothèses!$C$14)^0</f>
        <v/>
      </c>
      <c r="I35" s="23">
        <f>$C35*$E35*(1+Hypothèses!$C$14)^0</f>
        <v/>
      </c>
      <c r="J35" s="23">
        <f>$C35*$E35*(1+Hypothèses!$C$14)^0</f>
        <v/>
      </c>
      <c r="K35" s="23">
        <f>$C35*$E35*(1+Hypothèses!$C$14)^0</f>
        <v/>
      </c>
      <c r="L35" s="23">
        <f>$C35*$E35*(1+Hypothèses!$C$14)^0</f>
        <v/>
      </c>
      <c r="M35" s="23">
        <f>$C35*$E35*(1+Hypothèses!$C$14)^0</f>
        <v/>
      </c>
      <c r="N35" s="23">
        <f>$C35*$E35*(1+Hypothèses!$C$14)^0</f>
        <v/>
      </c>
      <c r="O35" s="23">
        <f>$C35*$E35*(1+Hypothèses!$C$14)^0</f>
        <v/>
      </c>
      <c r="P35" s="23">
        <f>$C35*$E35*(1+Hypothèses!$C$14)^0</f>
        <v/>
      </c>
      <c r="Q35" s="23">
        <f>$C35*$E35*(1+Hypothèses!$C$14)^0</f>
        <v/>
      </c>
      <c r="R35" s="23">
        <f>$C35*$E35*(1+Hypothèses!$C$14)^0</f>
        <v/>
      </c>
      <c r="S35" s="23">
        <f>$C35*$E35*(1+Hypothèses!$C$14)^1</f>
        <v/>
      </c>
      <c r="T35" s="23">
        <f>$C35*$E35*(1+Hypothèses!$C$14)^1</f>
        <v/>
      </c>
      <c r="U35" s="23">
        <f>$C35*$E35*(1+Hypothèses!$C$14)^1</f>
        <v/>
      </c>
      <c r="V35" s="23">
        <f>$C35*$E35*(1+Hypothèses!$C$14)^1</f>
        <v/>
      </c>
      <c r="W35" s="23">
        <f>$C35*$E35*(1+Hypothèses!$C$14)^1</f>
        <v/>
      </c>
      <c r="X35" s="23">
        <f>$C35*$E35*(1+Hypothèses!$C$14)^1</f>
        <v/>
      </c>
      <c r="Y35" s="23">
        <f>$C35*$E35*(1+Hypothèses!$C$14)^1</f>
        <v/>
      </c>
      <c r="Z35" s="23">
        <f>$C35*$E35*(1+Hypothèses!$C$14)^1</f>
        <v/>
      </c>
      <c r="AA35" s="23">
        <f>$C35*$E35*(1+Hypothèses!$C$14)^1</f>
        <v/>
      </c>
      <c r="AB35" s="23">
        <f>$C35*$E35*(1+Hypothèses!$C$14)^1</f>
        <v/>
      </c>
      <c r="AC35" s="23">
        <f>$C35*$E35*(1+Hypothèses!$C$14)^1</f>
        <v/>
      </c>
      <c r="AD35" s="23">
        <f>$C35*$E35*(1+Hypothèses!$C$14)^1</f>
        <v/>
      </c>
      <c r="AE35" s="23">
        <f>$C35*$E35*(1+Hypothèses!$C$14)^2</f>
        <v/>
      </c>
      <c r="AF35" s="23">
        <f>$C35*$E35*(1+Hypothèses!$C$14)^2</f>
        <v/>
      </c>
      <c r="AG35" s="23">
        <f>$C35*$E35*(1+Hypothèses!$C$14)^2</f>
        <v/>
      </c>
      <c r="AH35" s="23">
        <f>$C35*$E35*(1+Hypothèses!$C$14)^2</f>
        <v/>
      </c>
      <c r="AI35" s="23">
        <f>$C35*$E35*(1+Hypothèses!$C$14)^2</f>
        <v/>
      </c>
      <c r="AJ35" s="23">
        <f>$C35*$E35*(1+Hypothèses!$C$14)^2</f>
        <v/>
      </c>
      <c r="AK35" s="23">
        <f>$C35*$E35*(1+Hypothèses!$C$14)^2</f>
        <v/>
      </c>
      <c r="AL35" s="23">
        <f>$C35*$E35*(1+Hypothèses!$C$14)^2</f>
        <v/>
      </c>
      <c r="AM35" s="23">
        <f>$C35*$E35*(1+Hypothèses!$C$14)^2</f>
        <v/>
      </c>
      <c r="AN35" s="23">
        <f>$C35*$E35*(1+Hypothèses!$C$14)^2</f>
        <v/>
      </c>
      <c r="AO35" s="23">
        <f>$C35*$E35*(1+Hypothèses!$C$14)^2</f>
        <v/>
      </c>
      <c r="AP35" s="23">
        <f>$C35*$E35*(1+Hypothèses!$C$14)^2</f>
        <v/>
      </c>
      <c r="AQ35" s="23">
        <f>SUM(G35:R35)</f>
        <v/>
      </c>
      <c r="AR35" s="23">
        <f>SUM(S35:AD35)</f>
        <v/>
      </c>
      <c r="AS35" s="23">
        <f>SUM(AE35:AP35)</f>
        <v/>
      </c>
      <c r="AT35" s="23">
        <f>SUM(AQ35:AS35)</f>
        <v/>
      </c>
    </row>
    <row r="36">
      <c r="A36" s="27" t="inlineStr">
        <is>
          <t>Charges fixes</t>
        </is>
      </c>
      <c r="B36" s="27" t="inlineStr">
        <is>
          <t>Fournitures diverses &amp; communication</t>
        </is>
      </c>
      <c r="C36" s="33" t="n">
        <v>1</v>
      </c>
      <c r="D36" s="27" t="inlineStr">
        <is>
          <t>forfait/mois</t>
        </is>
      </c>
      <c r="E36" s="9" t="n">
        <v>220</v>
      </c>
      <c r="F36" s="31" t="inlineStr">
        <is>
          <t>Estimé</t>
        </is>
      </c>
      <c r="G36" s="23">
        <f>$C36*$E36*(1+Hypothèses!$C$14)^0</f>
        <v/>
      </c>
      <c r="H36" s="23">
        <f>$C36*$E36*(1+Hypothèses!$C$14)^0</f>
        <v/>
      </c>
      <c r="I36" s="23">
        <f>$C36*$E36*(1+Hypothèses!$C$14)^0</f>
        <v/>
      </c>
      <c r="J36" s="23">
        <f>$C36*$E36*(1+Hypothèses!$C$14)^0</f>
        <v/>
      </c>
      <c r="K36" s="23">
        <f>$C36*$E36*(1+Hypothèses!$C$14)^0</f>
        <v/>
      </c>
      <c r="L36" s="23">
        <f>$C36*$E36*(1+Hypothèses!$C$14)^0</f>
        <v/>
      </c>
      <c r="M36" s="23">
        <f>$C36*$E36*(1+Hypothèses!$C$14)^0</f>
        <v/>
      </c>
      <c r="N36" s="23">
        <f>$C36*$E36*(1+Hypothèses!$C$14)^0</f>
        <v/>
      </c>
      <c r="O36" s="23">
        <f>$C36*$E36*(1+Hypothèses!$C$14)^0</f>
        <v/>
      </c>
      <c r="P36" s="23">
        <f>$C36*$E36*(1+Hypothèses!$C$14)^0</f>
        <v/>
      </c>
      <c r="Q36" s="23">
        <f>$C36*$E36*(1+Hypothèses!$C$14)^0</f>
        <v/>
      </c>
      <c r="R36" s="23">
        <f>$C36*$E36*(1+Hypothèses!$C$14)^0</f>
        <v/>
      </c>
      <c r="S36" s="23">
        <f>$C36*$E36*(1+Hypothèses!$C$14)^1</f>
        <v/>
      </c>
      <c r="T36" s="23">
        <f>$C36*$E36*(1+Hypothèses!$C$14)^1</f>
        <v/>
      </c>
      <c r="U36" s="23">
        <f>$C36*$E36*(1+Hypothèses!$C$14)^1</f>
        <v/>
      </c>
      <c r="V36" s="23">
        <f>$C36*$E36*(1+Hypothèses!$C$14)^1</f>
        <v/>
      </c>
      <c r="W36" s="23">
        <f>$C36*$E36*(1+Hypothèses!$C$14)^1</f>
        <v/>
      </c>
      <c r="X36" s="23">
        <f>$C36*$E36*(1+Hypothèses!$C$14)^1</f>
        <v/>
      </c>
      <c r="Y36" s="23">
        <f>$C36*$E36*(1+Hypothèses!$C$14)^1</f>
        <v/>
      </c>
      <c r="Z36" s="23">
        <f>$C36*$E36*(1+Hypothèses!$C$14)^1</f>
        <v/>
      </c>
      <c r="AA36" s="23">
        <f>$C36*$E36*(1+Hypothèses!$C$14)^1</f>
        <v/>
      </c>
      <c r="AB36" s="23">
        <f>$C36*$E36*(1+Hypothèses!$C$14)^1</f>
        <v/>
      </c>
      <c r="AC36" s="23">
        <f>$C36*$E36*(1+Hypothèses!$C$14)^1</f>
        <v/>
      </c>
      <c r="AD36" s="23">
        <f>$C36*$E36*(1+Hypothèses!$C$14)^1</f>
        <v/>
      </c>
      <c r="AE36" s="23">
        <f>$C36*$E36*(1+Hypothèses!$C$14)^2</f>
        <v/>
      </c>
      <c r="AF36" s="23">
        <f>$C36*$E36*(1+Hypothèses!$C$14)^2</f>
        <v/>
      </c>
      <c r="AG36" s="23">
        <f>$C36*$E36*(1+Hypothèses!$C$14)^2</f>
        <v/>
      </c>
      <c r="AH36" s="23">
        <f>$C36*$E36*(1+Hypothèses!$C$14)^2</f>
        <v/>
      </c>
      <c r="AI36" s="23">
        <f>$C36*$E36*(1+Hypothèses!$C$14)^2</f>
        <v/>
      </c>
      <c r="AJ36" s="23">
        <f>$C36*$E36*(1+Hypothèses!$C$14)^2</f>
        <v/>
      </c>
      <c r="AK36" s="23">
        <f>$C36*$E36*(1+Hypothèses!$C$14)^2</f>
        <v/>
      </c>
      <c r="AL36" s="23">
        <f>$C36*$E36*(1+Hypothèses!$C$14)^2</f>
        <v/>
      </c>
      <c r="AM36" s="23">
        <f>$C36*$E36*(1+Hypothèses!$C$14)^2</f>
        <v/>
      </c>
      <c r="AN36" s="23">
        <f>$C36*$E36*(1+Hypothèses!$C$14)^2</f>
        <v/>
      </c>
      <c r="AO36" s="23">
        <f>$C36*$E36*(1+Hypothèses!$C$14)^2</f>
        <v/>
      </c>
      <c r="AP36" s="23">
        <f>$C36*$E36*(1+Hypothèses!$C$14)^2</f>
        <v/>
      </c>
      <c r="AQ36" s="23">
        <f>SUM(G36:R36)</f>
        <v/>
      </c>
      <c r="AR36" s="23">
        <f>SUM(S36:AD36)</f>
        <v/>
      </c>
      <c r="AS36" s="23">
        <f>SUM(AE36:AP36)</f>
        <v/>
      </c>
      <c r="AT36" s="23">
        <f>SUM(AQ36:AS36)</f>
        <v/>
      </c>
    </row>
    <row r="37">
      <c r="A37" s="27" t="inlineStr">
        <is>
          <t>Charges fixes</t>
        </is>
      </c>
      <c r="B37" s="27" t="inlineStr">
        <is>
          <t>Frais bancaires (terminal CB, tenue de compte)</t>
        </is>
      </c>
      <c r="C37" s="33" t="n">
        <v>1</v>
      </c>
      <c r="D37" s="27" t="inlineStr">
        <is>
          <t>forfait/mois</t>
        </is>
      </c>
      <c r="E37" s="9" t="n">
        <v>150</v>
      </c>
      <c r="F37" s="31" t="inlineStr">
        <is>
          <t>Estimé — grille tarifaire bancaire pro</t>
        </is>
      </c>
      <c r="G37" s="23">
        <f>$C37*$E37*(1+Hypothèses!$C$14)^0</f>
        <v/>
      </c>
      <c r="H37" s="23">
        <f>$C37*$E37*(1+Hypothèses!$C$14)^0</f>
        <v/>
      </c>
      <c r="I37" s="23">
        <f>$C37*$E37*(1+Hypothèses!$C$14)^0</f>
        <v/>
      </c>
      <c r="J37" s="23">
        <f>$C37*$E37*(1+Hypothèses!$C$14)^0</f>
        <v/>
      </c>
      <c r="K37" s="23">
        <f>$C37*$E37*(1+Hypothèses!$C$14)^0</f>
        <v/>
      </c>
      <c r="L37" s="23">
        <f>$C37*$E37*(1+Hypothèses!$C$14)^0</f>
        <v/>
      </c>
      <c r="M37" s="23">
        <f>$C37*$E37*(1+Hypothèses!$C$14)^0</f>
        <v/>
      </c>
      <c r="N37" s="23">
        <f>$C37*$E37*(1+Hypothèses!$C$14)^0</f>
        <v/>
      </c>
      <c r="O37" s="23">
        <f>$C37*$E37*(1+Hypothèses!$C$14)^0</f>
        <v/>
      </c>
      <c r="P37" s="23">
        <f>$C37*$E37*(1+Hypothèses!$C$14)^0</f>
        <v/>
      </c>
      <c r="Q37" s="23">
        <f>$C37*$E37*(1+Hypothèses!$C$14)^0</f>
        <v/>
      </c>
      <c r="R37" s="23">
        <f>$C37*$E37*(1+Hypothèses!$C$14)^0</f>
        <v/>
      </c>
      <c r="S37" s="23">
        <f>$C37*$E37*(1+Hypothèses!$C$14)^1</f>
        <v/>
      </c>
      <c r="T37" s="23">
        <f>$C37*$E37*(1+Hypothèses!$C$14)^1</f>
        <v/>
      </c>
      <c r="U37" s="23">
        <f>$C37*$E37*(1+Hypothèses!$C$14)^1</f>
        <v/>
      </c>
      <c r="V37" s="23">
        <f>$C37*$E37*(1+Hypothèses!$C$14)^1</f>
        <v/>
      </c>
      <c r="W37" s="23">
        <f>$C37*$E37*(1+Hypothèses!$C$14)^1</f>
        <v/>
      </c>
      <c r="X37" s="23">
        <f>$C37*$E37*(1+Hypothèses!$C$14)^1</f>
        <v/>
      </c>
      <c r="Y37" s="23">
        <f>$C37*$E37*(1+Hypothèses!$C$14)^1</f>
        <v/>
      </c>
      <c r="Z37" s="23">
        <f>$C37*$E37*(1+Hypothèses!$C$14)^1</f>
        <v/>
      </c>
      <c r="AA37" s="23">
        <f>$C37*$E37*(1+Hypothèses!$C$14)^1</f>
        <v/>
      </c>
      <c r="AB37" s="23">
        <f>$C37*$E37*(1+Hypothèses!$C$14)^1</f>
        <v/>
      </c>
      <c r="AC37" s="23">
        <f>$C37*$E37*(1+Hypothèses!$C$14)^1</f>
        <v/>
      </c>
      <c r="AD37" s="23">
        <f>$C37*$E37*(1+Hypothèses!$C$14)^1</f>
        <v/>
      </c>
      <c r="AE37" s="23">
        <f>$C37*$E37*(1+Hypothèses!$C$14)^2</f>
        <v/>
      </c>
      <c r="AF37" s="23">
        <f>$C37*$E37*(1+Hypothèses!$C$14)^2</f>
        <v/>
      </c>
      <c r="AG37" s="23">
        <f>$C37*$E37*(1+Hypothèses!$C$14)^2</f>
        <v/>
      </c>
      <c r="AH37" s="23">
        <f>$C37*$E37*(1+Hypothèses!$C$14)^2</f>
        <v/>
      </c>
      <c r="AI37" s="23">
        <f>$C37*$E37*(1+Hypothèses!$C$14)^2</f>
        <v/>
      </c>
      <c r="AJ37" s="23">
        <f>$C37*$E37*(1+Hypothèses!$C$14)^2</f>
        <v/>
      </c>
      <c r="AK37" s="23">
        <f>$C37*$E37*(1+Hypothèses!$C$14)^2</f>
        <v/>
      </c>
      <c r="AL37" s="23">
        <f>$C37*$E37*(1+Hypothèses!$C$14)^2</f>
        <v/>
      </c>
      <c r="AM37" s="23">
        <f>$C37*$E37*(1+Hypothèses!$C$14)^2</f>
        <v/>
      </c>
      <c r="AN37" s="23">
        <f>$C37*$E37*(1+Hypothèses!$C$14)^2</f>
        <v/>
      </c>
      <c r="AO37" s="23">
        <f>$C37*$E37*(1+Hypothèses!$C$14)^2</f>
        <v/>
      </c>
      <c r="AP37" s="23">
        <f>$C37*$E37*(1+Hypothèses!$C$14)^2</f>
        <v/>
      </c>
      <c r="AQ37" s="23">
        <f>SUM(G37:R37)</f>
        <v/>
      </c>
      <c r="AR37" s="23">
        <f>SUM(S37:AD37)</f>
        <v/>
      </c>
      <c r="AS37" s="23">
        <f>SUM(AE37:AP37)</f>
        <v/>
      </c>
      <c r="AT37" s="23">
        <f>SUM(AQ37:AS37)</f>
        <v/>
      </c>
    </row>
    <row r="38">
      <c r="A38" s="27" t="inlineStr">
        <is>
          <t>Charges fixes</t>
        </is>
      </c>
      <c r="B38" s="27" t="inlineStr">
        <is>
          <t>Impôts &amp; taxes (CFE et autres)</t>
        </is>
      </c>
      <c r="C38" s="33" t="n">
        <v>1</v>
      </c>
      <c r="D38" s="27" t="inlineStr">
        <is>
          <t>forfait/mois</t>
        </is>
      </c>
      <c r="E38" s="9" t="n">
        <v>280</v>
      </c>
      <c r="F38" s="31" t="inlineStr">
        <is>
          <t>Estimé — barème CFE artisan</t>
        </is>
      </c>
      <c r="G38" s="23">
        <f>$C38*$E38*(1+Hypothèses!$C$14)^0</f>
        <v/>
      </c>
      <c r="H38" s="23">
        <f>$C38*$E38*(1+Hypothèses!$C$14)^0</f>
        <v/>
      </c>
      <c r="I38" s="23">
        <f>$C38*$E38*(1+Hypothèses!$C$14)^0</f>
        <v/>
      </c>
      <c r="J38" s="23">
        <f>$C38*$E38*(1+Hypothèses!$C$14)^0</f>
        <v/>
      </c>
      <c r="K38" s="23">
        <f>$C38*$E38*(1+Hypothèses!$C$14)^0</f>
        <v/>
      </c>
      <c r="L38" s="23">
        <f>$C38*$E38*(1+Hypothèses!$C$14)^0</f>
        <v/>
      </c>
      <c r="M38" s="23">
        <f>$C38*$E38*(1+Hypothèses!$C$14)^0</f>
        <v/>
      </c>
      <c r="N38" s="23">
        <f>$C38*$E38*(1+Hypothèses!$C$14)^0</f>
        <v/>
      </c>
      <c r="O38" s="23">
        <f>$C38*$E38*(1+Hypothèses!$C$14)^0</f>
        <v/>
      </c>
      <c r="P38" s="23">
        <f>$C38*$E38*(1+Hypothèses!$C$14)^0</f>
        <v/>
      </c>
      <c r="Q38" s="23">
        <f>$C38*$E38*(1+Hypothèses!$C$14)^0</f>
        <v/>
      </c>
      <c r="R38" s="23">
        <f>$C38*$E38*(1+Hypothèses!$C$14)^0</f>
        <v/>
      </c>
      <c r="S38" s="23">
        <f>$C38*$E38*(1+Hypothèses!$C$14)^1</f>
        <v/>
      </c>
      <c r="T38" s="23">
        <f>$C38*$E38*(1+Hypothèses!$C$14)^1</f>
        <v/>
      </c>
      <c r="U38" s="23">
        <f>$C38*$E38*(1+Hypothèses!$C$14)^1</f>
        <v/>
      </c>
      <c r="V38" s="23">
        <f>$C38*$E38*(1+Hypothèses!$C$14)^1</f>
        <v/>
      </c>
      <c r="W38" s="23">
        <f>$C38*$E38*(1+Hypothèses!$C$14)^1</f>
        <v/>
      </c>
      <c r="X38" s="23">
        <f>$C38*$E38*(1+Hypothèses!$C$14)^1</f>
        <v/>
      </c>
      <c r="Y38" s="23">
        <f>$C38*$E38*(1+Hypothèses!$C$14)^1</f>
        <v/>
      </c>
      <c r="Z38" s="23">
        <f>$C38*$E38*(1+Hypothèses!$C$14)^1</f>
        <v/>
      </c>
      <c r="AA38" s="23">
        <f>$C38*$E38*(1+Hypothèses!$C$14)^1</f>
        <v/>
      </c>
      <c r="AB38" s="23">
        <f>$C38*$E38*(1+Hypothèses!$C$14)^1</f>
        <v/>
      </c>
      <c r="AC38" s="23">
        <f>$C38*$E38*(1+Hypothèses!$C$14)^1</f>
        <v/>
      </c>
      <c r="AD38" s="23">
        <f>$C38*$E38*(1+Hypothèses!$C$14)^1</f>
        <v/>
      </c>
      <c r="AE38" s="23">
        <f>$C38*$E38*(1+Hypothèses!$C$14)^2</f>
        <v/>
      </c>
      <c r="AF38" s="23">
        <f>$C38*$E38*(1+Hypothèses!$C$14)^2</f>
        <v/>
      </c>
      <c r="AG38" s="23">
        <f>$C38*$E38*(1+Hypothèses!$C$14)^2</f>
        <v/>
      </c>
      <c r="AH38" s="23">
        <f>$C38*$E38*(1+Hypothèses!$C$14)^2</f>
        <v/>
      </c>
      <c r="AI38" s="23">
        <f>$C38*$E38*(1+Hypothèses!$C$14)^2</f>
        <v/>
      </c>
      <c r="AJ38" s="23">
        <f>$C38*$E38*(1+Hypothèses!$C$14)^2</f>
        <v/>
      </c>
      <c r="AK38" s="23">
        <f>$C38*$E38*(1+Hypothèses!$C$14)^2</f>
        <v/>
      </c>
      <c r="AL38" s="23">
        <f>$C38*$E38*(1+Hypothèses!$C$14)^2</f>
        <v/>
      </c>
      <c r="AM38" s="23">
        <f>$C38*$E38*(1+Hypothèses!$C$14)^2</f>
        <v/>
      </c>
      <c r="AN38" s="23">
        <f>$C38*$E38*(1+Hypothèses!$C$14)^2</f>
        <v/>
      </c>
      <c r="AO38" s="23">
        <f>$C38*$E38*(1+Hypothèses!$C$14)^2</f>
        <v/>
      </c>
      <c r="AP38" s="23">
        <f>$C38*$E38*(1+Hypothèses!$C$14)^2</f>
        <v/>
      </c>
      <c r="AQ38" s="23">
        <f>SUM(G38:R38)</f>
        <v/>
      </c>
      <c r="AR38" s="23">
        <f>SUM(S38:AD38)</f>
        <v/>
      </c>
      <c r="AS38" s="23">
        <f>SUM(AE38:AP38)</f>
        <v/>
      </c>
      <c r="AT38" s="23">
        <f>SUM(AQ38:AS38)</f>
        <v/>
      </c>
    </row>
    <row r="39">
      <c r="A39" s="27" t="inlineStr">
        <is>
          <t>Charges fixes</t>
        </is>
      </c>
      <c r="B39" s="27" t="inlineStr">
        <is>
          <t>Petit matériel &amp; consommables (papier cuisson, gants, entretien)</t>
        </is>
      </c>
      <c r="C39" s="33" t="n">
        <v>1</v>
      </c>
      <c r="D39" s="27" t="inlineStr">
        <is>
          <t>forfait/mois</t>
        </is>
      </c>
      <c r="E39" s="9" t="n">
        <v>300</v>
      </c>
      <c r="F39" s="31" t="inlineStr">
        <is>
          <t>Estimé</t>
        </is>
      </c>
      <c r="G39" s="23">
        <f>$C39*$E39*(1+Hypothèses!$C$14)^0</f>
        <v/>
      </c>
      <c r="H39" s="23">
        <f>$C39*$E39*(1+Hypothèses!$C$14)^0</f>
        <v/>
      </c>
      <c r="I39" s="23">
        <f>$C39*$E39*(1+Hypothèses!$C$14)^0</f>
        <v/>
      </c>
      <c r="J39" s="23">
        <f>$C39*$E39*(1+Hypothèses!$C$14)^0</f>
        <v/>
      </c>
      <c r="K39" s="23">
        <f>$C39*$E39*(1+Hypothèses!$C$14)^0</f>
        <v/>
      </c>
      <c r="L39" s="23">
        <f>$C39*$E39*(1+Hypothèses!$C$14)^0</f>
        <v/>
      </c>
      <c r="M39" s="23">
        <f>$C39*$E39*(1+Hypothèses!$C$14)^0</f>
        <v/>
      </c>
      <c r="N39" s="23">
        <f>$C39*$E39*(1+Hypothèses!$C$14)^0</f>
        <v/>
      </c>
      <c r="O39" s="23">
        <f>$C39*$E39*(1+Hypothèses!$C$14)^0</f>
        <v/>
      </c>
      <c r="P39" s="23">
        <f>$C39*$E39*(1+Hypothèses!$C$14)^0</f>
        <v/>
      </c>
      <c r="Q39" s="23">
        <f>$C39*$E39*(1+Hypothèses!$C$14)^0</f>
        <v/>
      </c>
      <c r="R39" s="23">
        <f>$C39*$E39*(1+Hypothèses!$C$14)^0</f>
        <v/>
      </c>
      <c r="S39" s="23">
        <f>$C39*$E39*(1+Hypothèses!$C$14)^1</f>
        <v/>
      </c>
      <c r="T39" s="23">
        <f>$C39*$E39*(1+Hypothèses!$C$14)^1</f>
        <v/>
      </c>
      <c r="U39" s="23">
        <f>$C39*$E39*(1+Hypothèses!$C$14)^1</f>
        <v/>
      </c>
      <c r="V39" s="23">
        <f>$C39*$E39*(1+Hypothèses!$C$14)^1</f>
        <v/>
      </c>
      <c r="W39" s="23">
        <f>$C39*$E39*(1+Hypothèses!$C$14)^1</f>
        <v/>
      </c>
      <c r="X39" s="23">
        <f>$C39*$E39*(1+Hypothèses!$C$14)^1</f>
        <v/>
      </c>
      <c r="Y39" s="23">
        <f>$C39*$E39*(1+Hypothèses!$C$14)^1</f>
        <v/>
      </c>
      <c r="Z39" s="23">
        <f>$C39*$E39*(1+Hypothèses!$C$14)^1</f>
        <v/>
      </c>
      <c r="AA39" s="23">
        <f>$C39*$E39*(1+Hypothèses!$C$14)^1</f>
        <v/>
      </c>
      <c r="AB39" s="23">
        <f>$C39*$E39*(1+Hypothèses!$C$14)^1</f>
        <v/>
      </c>
      <c r="AC39" s="23">
        <f>$C39*$E39*(1+Hypothèses!$C$14)^1</f>
        <v/>
      </c>
      <c r="AD39" s="23">
        <f>$C39*$E39*(1+Hypothèses!$C$14)^1</f>
        <v/>
      </c>
      <c r="AE39" s="23">
        <f>$C39*$E39*(1+Hypothèses!$C$14)^2</f>
        <v/>
      </c>
      <c r="AF39" s="23">
        <f>$C39*$E39*(1+Hypothèses!$C$14)^2</f>
        <v/>
      </c>
      <c r="AG39" s="23">
        <f>$C39*$E39*(1+Hypothèses!$C$14)^2</f>
        <v/>
      </c>
      <c r="AH39" s="23">
        <f>$C39*$E39*(1+Hypothèses!$C$14)^2</f>
        <v/>
      </c>
      <c r="AI39" s="23">
        <f>$C39*$E39*(1+Hypothèses!$C$14)^2</f>
        <v/>
      </c>
      <c r="AJ39" s="23">
        <f>$C39*$E39*(1+Hypothèses!$C$14)^2</f>
        <v/>
      </c>
      <c r="AK39" s="23">
        <f>$C39*$E39*(1+Hypothèses!$C$14)^2</f>
        <v/>
      </c>
      <c r="AL39" s="23">
        <f>$C39*$E39*(1+Hypothèses!$C$14)^2</f>
        <v/>
      </c>
      <c r="AM39" s="23">
        <f>$C39*$E39*(1+Hypothèses!$C$14)^2</f>
        <v/>
      </c>
      <c r="AN39" s="23">
        <f>$C39*$E39*(1+Hypothèses!$C$14)^2</f>
        <v/>
      </c>
      <c r="AO39" s="23">
        <f>$C39*$E39*(1+Hypothèses!$C$14)^2</f>
        <v/>
      </c>
      <c r="AP39" s="23">
        <f>$C39*$E39*(1+Hypothèses!$C$14)^2</f>
        <v/>
      </c>
      <c r="AQ39" s="23">
        <f>SUM(G39:R39)</f>
        <v/>
      </c>
      <c r="AR39" s="23">
        <f>SUM(S39:AD39)</f>
        <v/>
      </c>
      <c r="AS39" s="23">
        <f>SUM(AE39:AP39)</f>
        <v/>
      </c>
      <c r="AT39" s="23">
        <f>SUM(AQ39:AS39)</f>
        <v/>
      </c>
    </row>
    <row r="40">
      <c r="A40" s="27" t="inlineStr">
        <is>
          <t>Charges fixes</t>
        </is>
      </c>
      <c r="B40" s="27" t="inlineStr">
        <is>
          <t>Abonnements logiciels (caisse, paie, gestion)</t>
        </is>
      </c>
      <c r="C40" s="33" t="n">
        <v>1</v>
      </c>
      <c r="D40" s="27" t="inlineStr">
        <is>
          <t>forfait/mois</t>
        </is>
      </c>
      <c r="E40" s="9" t="n">
        <v>90</v>
      </c>
      <c r="F40" s="31" t="inlineStr">
        <is>
          <t>Estimé</t>
        </is>
      </c>
      <c r="G40" s="23">
        <f>$C40*$E40*(1+Hypothèses!$C$14)^0</f>
        <v/>
      </c>
      <c r="H40" s="23">
        <f>$C40*$E40*(1+Hypothèses!$C$14)^0</f>
        <v/>
      </c>
      <c r="I40" s="23">
        <f>$C40*$E40*(1+Hypothèses!$C$14)^0</f>
        <v/>
      </c>
      <c r="J40" s="23">
        <f>$C40*$E40*(1+Hypothèses!$C$14)^0</f>
        <v/>
      </c>
      <c r="K40" s="23">
        <f>$C40*$E40*(1+Hypothèses!$C$14)^0</f>
        <v/>
      </c>
      <c r="L40" s="23">
        <f>$C40*$E40*(1+Hypothèses!$C$14)^0</f>
        <v/>
      </c>
      <c r="M40" s="23">
        <f>$C40*$E40*(1+Hypothèses!$C$14)^0</f>
        <v/>
      </c>
      <c r="N40" s="23">
        <f>$C40*$E40*(1+Hypothèses!$C$14)^0</f>
        <v/>
      </c>
      <c r="O40" s="23">
        <f>$C40*$E40*(1+Hypothèses!$C$14)^0</f>
        <v/>
      </c>
      <c r="P40" s="23">
        <f>$C40*$E40*(1+Hypothèses!$C$14)^0</f>
        <v/>
      </c>
      <c r="Q40" s="23">
        <f>$C40*$E40*(1+Hypothèses!$C$14)^0</f>
        <v/>
      </c>
      <c r="R40" s="23">
        <f>$C40*$E40*(1+Hypothèses!$C$14)^0</f>
        <v/>
      </c>
      <c r="S40" s="23">
        <f>$C40*$E40*(1+Hypothèses!$C$14)^1</f>
        <v/>
      </c>
      <c r="T40" s="23">
        <f>$C40*$E40*(1+Hypothèses!$C$14)^1</f>
        <v/>
      </c>
      <c r="U40" s="23">
        <f>$C40*$E40*(1+Hypothèses!$C$14)^1</f>
        <v/>
      </c>
      <c r="V40" s="23">
        <f>$C40*$E40*(1+Hypothèses!$C$14)^1</f>
        <v/>
      </c>
      <c r="W40" s="23">
        <f>$C40*$E40*(1+Hypothèses!$C$14)^1</f>
        <v/>
      </c>
      <c r="X40" s="23">
        <f>$C40*$E40*(1+Hypothèses!$C$14)^1</f>
        <v/>
      </c>
      <c r="Y40" s="23">
        <f>$C40*$E40*(1+Hypothèses!$C$14)^1</f>
        <v/>
      </c>
      <c r="Z40" s="23">
        <f>$C40*$E40*(1+Hypothèses!$C$14)^1</f>
        <v/>
      </c>
      <c r="AA40" s="23">
        <f>$C40*$E40*(1+Hypothèses!$C$14)^1</f>
        <v/>
      </c>
      <c r="AB40" s="23">
        <f>$C40*$E40*(1+Hypothèses!$C$14)^1</f>
        <v/>
      </c>
      <c r="AC40" s="23">
        <f>$C40*$E40*(1+Hypothèses!$C$14)^1</f>
        <v/>
      </c>
      <c r="AD40" s="23">
        <f>$C40*$E40*(1+Hypothèses!$C$14)^1</f>
        <v/>
      </c>
      <c r="AE40" s="23">
        <f>$C40*$E40*(1+Hypothèses!$C$14)^2</f>
        <v/>
      </c>
      <c r="AF40" s="23">
        <f>$C40*$E40*(1+Hypothèses!$C$14)^2</f>
        <v/>
      </c>
      <c r="AG40" s="23">
        <f>$C40*$E40*(1+Hypothèses!$C$14)^2</f>
        <v/>
      </c>
      <c r="AH40" s="23">
        <f>$C40*$E40*(1+Hypothèses!$C$14)^2</f>
        <v/>
      </c>
      <c r="AI40" s="23">
        <f>$C40*$E40*(1+Hypothèses!$C$14)^2</f>
        <v/>
      </c>
      <c r="AJ40" s="23">
        <f>$C40*$E40*(1+Hypothèses!$C$14)^2</f>
        <v/>
      </c>
      <c r="AK40" s="23">
        <f>$C40*$E40*(1+Hypothèses!$C$14)^2</f>
        <v/>
      </c>
      <c r="AL40" s="23">
        <f>$C40*$E40*(1+Hypothèses!$C$14)^2</f>
        <v/>
      </c>
      <c r="AM40" s="23">
        <f>$C40*$E40*(1+Hypothèses!$C$14)^2</f>
        <v/>
      </c>
      <c r="AN40" s="23">
        <f>$C40*$E40*(1+Hypothèses!$C$14)^2</f>
        <v/>
      </c>
      <c r="AO40" s="23">
        <f>$C40*$E40*(1+Hypothèses!$C$14)^2</f>
        <v/>
      </c>
      <c r="AP40" s="23">
        <f>$C40*$E40*(1+Hypothèses!$C$14)^2</f>
        <v/>
      </c>
      <c r="AQ40" s="23">
        <f>SUM(G40:R40)</f>
        <v/>
      </c>
      <c r="AR40" s="23">
        <f>SUM(S40:AD40)</f>
        <v/>
      </c>
      <c r="AS40" s="23">
        <f>SUM(AE40:AP40)</f>
        <v/>
      </c>
      <c r="AT40" s="23">
        <f>SUM(AQ40:AS40)</f>
        <v/>
      </c>
    </row>
    <row r="41">
      <c r="A41" s="24" t="inlineStr">
        <is>
          <t>SOUS-TOTAL Charges fixes</t>
        </is>
      </c>
      <c r="C41" s="34" t="n"/>
      <c r="D41" s="34" t="n"/>
      <c r="E41" s="34" t="n"/>
      <c r="F41" s="34" t="n"/>
      <c r="G41" s="25">
        <f>G31+G32+G33+G34+G35+G36+G37+G38+G39+G40</f>
        <v/>
      </c>
      <c r="H41" s="25">
        <f>H31+H32+H33+H34+H35+H36+H37+H38+H39+H40</f>
        <v/>
      </c>
      <c r="I41" s="25">
        <f>I31+I32+I33+I34+I35+I36+I37+I38+I39+I40</f>
        <v/>
      </c>
      <c r="J41" s="25">
        <f>J31+J32+J33+J34+J35+J36+J37+J38+J39+J40</f>
        <v/>
      </c>
      <c r="K41" s="25">
        <f>K31+K32+K33+K34+K35+K36+K37+K38+K39+K40</f>
        <v/>
      </c>
      <c r="L41" s="25">
        <f>L31+L32+L33+L34+L35+L36+L37+L38+L39+L40</f>
        <v/>
      </c>
      <c r="M41" s="25">
        <f>M31+M32+M33+M34+M35+M36+M37+M38+M39+M40</f>
        <v/>
      </c>
      <c r="N41" s="25">
        <f>N31+N32+N33+N34+N35+N36+N37+N38+N39+N40</f>
        <v/>
      </c>
      <c r="O41" s="25">
        <f>O31+O32+O33+O34+O35+O36+O37+O38+O39+O40</f>
        <v/>
      </c>
      <c r="P41" s="25">
        <f>P31+P32+P33+P34+P35+P36+P37+P38+P39+P40</f>
        <v/>
      </c>
      <c r="Q41" s="25">
        <f>Q31+Q32+Q33+Q34+Q35+Q36+Q37+Q38+Q39+Q40</f>
        <v/>
      </c>
      <c r="R41" s="25">
        <f>R31+R32+R33+R34+R35+R36+R37+R38+R39+R40</f>
        <v/>
      </c>
      <c r="S41" s="25">
        <f>S31+S32+S33+S34+S35+S36+S37+S38+S39+S40</f>
        <v/>
      </c>
      <c r="T41" s="25">
        <f>T31+T32+T33+T34+T35+T36+T37+T38+T39+T40</f>
        <v/>
      </c>
      <c r="U41" s="25">
        <f>U31+U32+U33+U34+U35+U36+U37+U38+U39+U40</f>
        <v/>
      </c>
      <c r="V41" s="25">
        <f>V31+V32+V33+V34+V35+V36+V37+V38+V39+V40</f>
        <v/>
      </c>
      <c r="W41" s="25">
        <f>W31+W32+W33+W34+W35+W36+W37+W38+W39+W40</f>
        <v/>
      </c>
      <c r="X41" s="25">
        <f>X31+X32+X33+X34+X35+X36+X37+X38+X39+X40</f>
        <v/>
      </c>
      <c r="Y41" s="25">
        <f>Y31+Y32+Y33+Y34+Y35+Y36+Y37+Y38+Y39+Y40</f>
        <v/>
      </c>
      <c r="Z41" s="25">
        <f>Z31+Z32+Z33+Z34+Z35+Z36+Z37+Z38+Z39+Z40</f>
        <v/>
      </c>
      <c r="AA41" s="25">
        <f>AA31+AA32+AA33+AA34+AA35+AA36+AA37+AA38+AA39+AA40</f>
        <v/>
      </c>
      <c r="AB41" s="25">
        <f>AB31+AB32+AB33+AB34+AB35+AB36+AB37+AB38+AB39+AB40</f>
        <v/>
      </c>
      <c r="AC41" s="25">
        <f>AC31+AC32+AC33+AC34+AC35+AC36+AC37+AC38+AC39+AC40</f>
        <v/>
      </c>
      <c r="AD41" s="25">
        <f>AD31+AD32+AD33+AD34+AD35+AD36+AD37+AD38+AD39+AD40</f>
        <v/>
      </c>
      <c r="AE41" s="25">
        <f>AE31+AE32+AE33+AE34+AE35+AE36+AE37+AE38+AE39+AE40</f>
        <v/>
      </c>
      <c r="AF41" s="25">
        <f>AF31+AF32+AF33+AF34+AF35+AF36+AF37+AF38+AF39+AF40</f>
        <v/>
      </c>
      <c r="AG41" s="25">
        <f>AG31+AG32+AG33+AG34+AG35+AG36+AG37+AG38+AG39+AG40</f>
        <v/>
      </c>
      <c r="AH41" s="25">
        <f>AH31+AH32+AH33+AH34+AH35+AH36+AH37+AH38+AH39+AH40</f>
        <v/>
      </c>
      <c r="AI41" s="25">
        <f>AI31+AI32+AI33+AI34+AI35+AI36+AI37+AI38+AI39+AI40</f>
        <v/>
      </c>
      <c r="AJ41" s="25">
        <f>AJ31+AJ32+AJ33+AJ34+AJ35+AJ36+AJ37+AJ38+AJ39+AJ40</f>
        <v/>
      </c>
      <c r="AK41" s="25">
        <f>AK31+AK32+AK33+AK34+AK35+AK36+AK37+AK38+AK39+AK40</f>
        <v/>
      </c>
      <c r="AL41" s="25">
        <f>AL31+AL32+AL33+AL34+AL35+AL36+AL37+AL38+AL39+AL40</f>
        <v/>
      </c>
      <c r="AM41" s="25">
        <f>AM31+AM32+AM33+AM34+AM35+AM36+AM37+AM38+AM39+AM40</f>
        <v/>
      </c>
      <c r="AN41" s="25">
        <f>AN31+AN32+AN33+AN34+AN35+AN36+AN37+AN38+AN39+AN40</f>
        <v/>
      </c>
      <c r="AO41" s="25">
        <f>AO31+AO32+AO33+AO34+AO35+AO36+AO37+AO38+AO39+AO40</f>
        <v/>
      </c>
      <c r="AP41" s="25">
        <f>AP31+AP32+AP33+AP34+AP35+AP36+AP37+AP38+AP39+AP40</f>
        <v/>
      </c>
      <c r="AQ41" s="25">
        <f>SUM(G41:R41)</f>
        <v/>
      </c>
      <c r="AR41" s="25">
        <f>SUM(S41:AD41)</f>
        <v/>
      </c>
      <c r="AS41" s="25">
        <f>SUM(AE41:AP41)</f>
        <v/>
      </c>
      <c r="AT41" s="25">
        <f>SUM(AQ41:AS41)</f>
        <v/>
      </c>
    </row>
    <row r="42">
      <c r="A42" s="35" t="inlineStr">
        <is>
          <t>TOTAL GÉNÉRAL DÉPENSES</t>
        </is>
      </c>
      <c r="B42" s="36" t="n"/>
      <c r="C42" s="36" t="n"/>
      <c r="D42" s="36" t="n"/>
      <c r="E42" s="36" t="n"/>
      <c r="F42" s="36" t="n"/>
      <c r="G42" s="37">
        <f>G20+G25+G28+G30+G41</f>
        <v/>
      </c>
      <c r="H42" s="37">
        <f>H20+H25+H28+H30+H41</f>
        <v/>
      </c>
      <c r="I42" s="37">
        <f>I20+I25+I28+I30+I41</f>
        <v/>
      </c>
      <c r="J42" s="37">
        <f>J20+J25+J28+J30+J41</f>
        <v/>
      </c>
      <c r="K42" s="37">
        <f>K20+K25+K28+K30+K41</f>
        <v/>
      </c>
      <c r="L42" s="37">
        <f>L20+L25+L28+L30+L41</f>
        <v/>
      </c>
      <c r="M42" s="37">
        <f>M20+M25+M28+M30+M41</f>
        <v/>
      </c>
      <c r="N42" s="37">
        <f>N20+N25+N28+N30+N41</f>
        <v/>
      </c>
      <c r="O42" s="37">
        <f>O20+O25+O28+O30+O41</f>
        <v/>
      </c>
      <c r="P42" s="37">
        <f>P20+P25+P28+P30+P41</f>
        <v/>
      </c>
      <c r="Q42" s="37">
        <f>Q20+Q25+Q28+Q30+Q41</f>
        <v/>
      </c>
      <c r="R42" s="37">
        <f>R20+R25+R28+R30+R41</f>
        <v/>
      </c>
      <c r="S42" s="37">
        <f>S20+S25+S28+S30+S41</f>
        <v/>
      </c>
      <c r="T42" s="37">
        <f>T20+T25+T28+T30+T41</f>
        <v/>
      </c>
      <c r="U42" s="37">
        <f>U20+U25+U28+U30+U41</f>
        <v/>
      </c>
      <c r="V42" s="37">
        <f>V20+V25+V28+V30+V41</f>
        <v/>
      </c>
      <c r="W42" s="37">
        <f>W20+W25+W28+W30+W41</f>
        <v/>
      </c>
      <c r="X42" s="37">
        <f>X20+X25+X28+X30+X41</f>
        <v/>
      </c>
      <c r="Y42" s="37">
        <f>Y20+Y25+Y28+Y30+Y41</f>
        <v/>
      </c>
      <c r="Z42" s="37">
        <f>Z20+Z25+Z28+Z30+Z41</f>
        <v/>
      </c>
      <c r="AA42" s="37">
        <f>AA20+AA25+AA28+AA30+AA41</f>
        <v/>
      </c>
      <c r="AB42" s="37">
        <f>AB20+AB25+AB28+AB30+AB41</f>
        <v/>
      </c>
      <c r="AC42" s="37">
        <f>AC20+AC25+AC28+AC30+AC41</f>
        <v/>
      </c>
      <c r="AD42" s="37">
        <f>AD20+AD25+AD28+AD30+AD41</f>
        <v/>
      </c>
      <c r="AE42" s="37">
        <f>AE20+AE25+AE28+AE30+AE41</f>
        <v/>
      </c>
      <c r="AF42" s="37">
        <f>AF20+AF25+AF28+AF30+AF41</f>
        <v/>
      </c>
      <c r="AG42" s="37">
        <f>AG20+AG25+AG28+AG30+AG41</f>
        <v/>
      </c>
      <c r="AH42" s="37">
        <f>AH20+AH25+AH28+AH30+AH41</f>
        <v/>
      </c>
      <c r="AI42" s="37">
        <f>AI20+AI25+AI28+AI30+AI41</f>
        <v/>
      </c>
      <c r="AJ42" s="37">
        <f>AJ20+AJ25+AJ28+AJ30+AJ41</f>
        <v/>
      </c>
      <c r="AK42" s="37">
        <f>AK20+AK25+AK28+AK30+AK41</f>
        <v/>
      </c>
      <c r="AL42" s="37">
        <f>AL20+AL25+AL28+AL30+AL41</f>
        <v/>
      </c>
      <c r="AM42" s="37">
        <f>AM20+AM25+AM28+AM30+AM41</f>
        <v/>
      </c>
      <c r="AN42" s="37">
        <f>AN20+AN25+AN28+AN30+AN41</f>
        <v/>
      </c>
      <c r="AO42" s="37">
        <f>AO20+AO25+AO28+AO30+AO41</f>
        <v/>
      </c>
      <c r="AP42" s="37">
        <f>AP20+AP25+AP28+AP30+AP41</f>
        <v/>
      </c>
      <c r="AQ42" s="37">
        <f>SUM(G42:R42)</f>
        <v/>
      </c>
      <c r="AR42" s="37">
        <f>SUM(S42:AD42)</f>
        <v/>
      </c>
      <c r="AS42" s="37">
        <f>SUM(AE42:AP42)</f>
        <v/>
      </c>
      <c r="AT42" s="37">
        <f>SUM(AQ42:AS42)</f>
        <v/>
      </c>
    </row>
    <row r="43">
      <c r="A43" s="6" t="inlineStr">
        <is>
          <t>Total dépenses Année 1 / CA Année 1 (contrôle benchmark)</t>
        </is>
      </c>
      <c r="AQ43" s="38">
        <f>AQ42/AM10</f>
        <v/>
      </c>
    </row>
  </sheetData>
  <mergeCells count="5">
    <mergeCell ref="A2:F2"/>
    <mergeCell ref="AE3:AP3"/>
    <mergeCell ref="A1:F1"/>
    <mergeCell ref="S3:AD3"/>
    <mergeCell ref="G3:R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2" customHeight="1">
      <c r="A1" s="1" t="inlineStr">
        <is>
          <t>Boulangerie — Plan de trésorerie mensuel (3 ans)</t>
        </is>
      </c>
    </row>
    <row r="2" ht="16" customHeight="1">
      <c r="A2" s="2" t="inlineStr">
        <is>
          <t>Trésorerie début + encaissements − décaissements = trésorerie fin. Chaque poste reprend directement le détail mensuel de l'onglet Dépenses détaillées.</t>
        </is>
      </c>
    </row>
    <row r="3" ht="14" customHeight="1">
      <c r="C3" s="15" t="inlineStr">
        <is>
          <t>ANNÉE 1</t>
        </is>
      </c>
      <c r="O3" s="16" t="inlineStr">
        <is>
          <t>ANNÉE 2</t>
        </is>
      </c>
      <c r="AA3" s="17" t="inlineStr">
        <is>
          <t>ANNÉE 3</t>
        </is>
      </c>
    </row>
    <row r="4" ht="16" customHeight="1">
      <c r="A4" s="18" t="inlineStr">
        <is>
          <t>Mois</t>
        </is>
      </c>
      <c r="C4" s="20" t="inlineStr">
        <is>
          <t>Jan A1</t>
        </is>
      </c>
      <c r="D4" s="20" t="inlineStr">
        <is>
          <t>Fév A1</t>
        </is>
      </c>
      <c r="E4" s="20" t="inlineStr">
        <is>
          <t>Mar A1</t>
        </is>
      </c>
      <c r="F4" s="20" t="inlineStr">
        <is>
          <t>Avr A1</t>
        </is>
      </c>
      <c r="G4" s="20" t="inlineStr">
        <is>
          <t>Mai A1</t>
        </is>
      </c>
      <c r="H4" s="20" t="inlineStr">
        <is>
          <t>Jui A1</t>
        </is>
      </c>
      <c r="I4" s="20" t="inlineStr">
        <is>
          <t>Jui A1</t>
        </is>
      </c>
      <c r="J4" s="20" t="inlineStr">
        <is>
          <t>Aoû A1</t>
        </is>
      </c>
      <c r="K4" s="20" t="inlineStr">
        <is>
          <t>Sep A1</t>
        </is>
      </c>
      <c r="L4" s="20" t="inlineStr">
        <is>
          <t>Oct A1</t>
        </is>
      </c>
      <c r="M4" s="20" t="inlineStr">
        <is>
          <t>Nov A1</t>
        </is>
      </c>
      <c r="N4" s="20" t="inlineStr">
        <is>
          <t>Déc A1</t>
        </is>
      </c>
      <c r="O4" s="20" t="inlineStr">
        <is>
          <t>Jan A2</t>
        </is>
      </c>
      <c r="P4" s="20" t="inlineStr">
        <is>
          <t>Fév A2</t>
        </is>
      </c>
      <c r="Q4" s="20" t="inlineStr">
        <is>
          <t>Mar A2</t>
        </is>
      </c>
      <c r="R4" s="20" t="inlineStr">
        <is>
          <t>Avr A2</t>
        </is>
      </c>
      <c r="S4" s="20" t="inlineStr">
        <is>
          <t>Mai A2</t>
        </is>
      </c>
      <c r="T4" s="20" t="inlineStr">
        <is>
          <t>Jui A2</t>
        </is>
      </c>
      <c r="U4" s="20" t="inlineStr">
        <is>
          <t>Jui A2</t>
        </is>
      </c>
      <c r="V4" s="20" t="inlineStr">
        <is>
          <t>Aoû A2</t>
        </is>
      </c>
      <c r="W4" s="20" t="inlineStr">
        <is>
          <t>Sep A2</t>
        </is>
      </c>
      <c r="X4" s="20" t="inlineStr">
        <is>
          <t>Oct A2</t>
        </is>
      </c>
      <c r="Y4" s="20" t="inlineStr">
        <is>
          <t>Nov A2</t>
        </is>
      </c>
      <c r="Z4" s="20" t="inlineStr">
        <is>
          <t>Déc A2</t>
        </is>
      </c>
      <c r="AA4" s="20" t="inlineStr">
        <is>
          <t>Jan A3</t>
        </is>
      </c>
      <c r="AB4" s="20" t="inlineStr">
        <is>
          <t>Fév A3</t>
        </is>
      </c>
      <c r="AC4" s="20" t="inlineStr">
        <is>
          <t>Mar A3</t>
        </is>
      </c>
      <c r="AD4" s="20" t="inlineStr">
        <is>
          <t>Avr A3</t>
        </is>
      </c>
      <c r="AE4" s="20" t="inlineStr">
        <is>
          <t>Mai A3</t>
        </is>
      </c>
      <c r="AF4" s="20" t="inlineStr">
        <is>
          <t>Jui A3</t>
        </is>
      </c>
      <c r="AG4" s="20" t="inlineStr">
        <is>
          <t>Jui A3</t>
        </is>
      </c>
      <c r="AH4" s="20" t="inlineStr">
        <is>
          <t>Aoû A3</t>
        </is>
      </c>
      <c r="AI4" s="20" t="inlineStr">
        <is>
          <t>Sep A3</t>
        </is>
      </c>
      <c r="AJ4" s="20" t="inlineStr">
        <is>
          <t>Oct A3</t>
        </is>
      </c>
      <c r="AK4" s="20" t="inlineStr">
        <is>
          <t>Nov A3</t>
        </is>
      </c>
      <c r="AL4" s="20" t="inlineStr">
        <is>
          <t>Déc A3</t>
        </is>
      </c>
      <c r="AM4" s="21" t="inlineStr">
        <is>
          <t>Total A1</t>
        </is>
      </c>
      <c r="AN4" s="21" t="inlineStr">
        <is>
          <t>Total A2</t>
        </is>
      </c>
      <c r="AO4" s="21" t="inlineStr">
        <is>
          <t>Total A3</t>
        </is>
      </c>
      <c r="AP4" s="21" t="inlineStr">
        <is>
          <t>Total 3 ans</t>
        </is>
      </c>
    </row>
    <row r="5">
      <c r="A5" s="39" t="inlineStr">
        <is>
          <t>Trésorerie en début de mois</t>
        </is>
      </c>
      <c r="C5" s="22">
        <f>Hypothèses!$C$7</f>
        <v/>
      </c>
      <c r="D5" s="23">
        <f>C18</f>
        <v/>
      </c>
      <c r="E5" s="23">
        <f>D18</f>
        <v/>
      </c>
      <c r="F5" s="23">
        <f>E18</f>
        <v/>
      </c>
      <c r="G5" s="23">
        <f>F18</f>
        <v/>
      </c>
      <c r="H5" s="23">
        <f>G18</f>
        <v/>
      </c>
      <c r="I5" s="23">
        <f>H18</f>
        <v/>
      </c>
      <c r="J5" s="23">
        <f>I18</f>
        <v/>
      </c>
      <c r="K5" s="23">
        <f>J18</f>
        <v/>
      </c>
      <c r="L5" s="23">
        <f>K18</f>
        <v/>
      </c>
      <c r="M5" s="23">
        <f>L18</f>
        <v/>
      </c>
      <c r="N5" s="23">
        <f>M18</f>
        <v/>
      </c>
      <c r="O5" s="23">
        <f>N18</f>
        <v/>
      </c>
      <c r="P5" s="23">
        <f>O18</f>
        <v/>
      </c>
      <c r="Q5" s="23">
        <f>P18</f>
        <v/>
      </c>
      <c r="R5" s="23">
        <f>Q18</f>
        <v/>
      </c>
      <c r="S5" s="23">
        <f>R18</f>
        <v/>
      </c>
      <c r="T5" s="23">
        <f>S18</f>
        <v/>
      </c>
      <c r="U5" s="23">
        <f>T18</f>
        <v/>
      </c>
      <c r="V5" s="23">
        <f>U18</f>
        <v/>
      </c>
      <c r="W5" s="23">
        <f>V18</f>
        <v/>
      </c>
      <c r="X5" s="23">
        <f>W18</f>
        <v/>
      </c>
      <c r="Y5" s="23">
        <f>X18</f>
        <v/>
      </c>
      <c r="Z5" s="23">
        <f>Y18</f>
        <v/>
      </c>
      <c r="AA5" s="23">
        <f>Z18</f>
        <v/>
      </c>
      <c r="AB5" s="23">
        <f>AA18</f>
        <v/>
      </c>
      <c r="AC5" s="23">
        <f>AB18</f>
        <v/>
      </c>
      <c r="AD5" s="23">
        <f>AC18</f>
        <v/>
      </c>
      <c r="AE5" s="23">
        <f>AD18</f>
        <v/>
      </c>
      <c r="AF5" s="23">
        <f>AE18</f>
        <v/>
      </c>
      <c r="AG5" s="23">
        <f>AF18</f>
        <v/>
      </c>
      <c r="AH5" s="23">
        <f>AG18</f>
        <v/>
      </c>
      <c r="AI5" s="23">
        <f>AH18</f>
        <v/>
      </c>
      <c r="AJ5" s="23">
        <f>AI18</f>
        <v/>
      </c>
      <c r="AK5" s="23">
        <f>AJ18</f>
        <v/>
      </c>
      <c r="AL5" s="23">
        <f>AK18</f>
        <v/>
      </c>
    </row>
    <row r="6">
      <c r="A6" s="40" t="inlineStr">
        <is>
          <t>ENCAISSEMENTS</t>
        </is>
      </c>
    </row>
    <row r="7">
      <c r="A7" s="3" t="inlineStr">
        <is>
          <t>Encaissements clients (CA TTC, vente comptoir cash/CB)</t>
        </is>
      </c>
      <c r="C7" s="22">
        <f>Revenus!C13*Hypothèses!$C$10</f>
        <v/>
      </c>
      <c r="D7" s="22">
        <f>Revenus!D13*Hypothèses!$C$10</f>
        <v/>
      </c>
      <c r="E7" s="22">
        <f>Revenus!E13*Hypothèses!$C$10</f>
        <v/>
      </c>
      <c r="F7" s="22">
        <f>Revenus!F13*Hypothèses!$C$10</f>
        <v/>
      </c>
      <c r="G7" s="22">
        <f>Revenus!G13*Hypothèses!$C$10</f>
        <v/>
      </c>
      <c r="H7" s="22">
        <f>Revenus!H13*Hypothèses!$C$10</f>
        <v/>
      </c>
      <c r="I7" s="22">
        <f>Revenus!I13*Hypothèses!$C$10</f>
        <v/>
      </c>
      <c r="J7" s="22">
        <f>Revenus!J13*Hypothèses!$C$10</f>
        <v/>
      </c>
      <c r="K7" s="22">
        <f>Revenus!K13*Hypothèses!$C$10</f>
        <v/>
      </c>
      <c r="L7" s="22">
        <f>Revenus!L13*Hypothèses!$C$10</f>
        <v/>
      </c>
      <c r="M7" s="22">
        <f>Revenus!M13*Hypothèses!$C$10</f>
        <v/>
      </c>
      <c r="N7" s="22">
        <f>Revenus!N13*Hypothèses!$C$10</f>
        <v/>
      </c>
      <c r="O7" s="22">
        <f>Revenus!O13*Hypothèses!$C$10</f>
        <v/>
      </c>
      <c r="P7" s="22">
        <f>Revenus!P13*Hypothèses!$C$10</f>
        <v/>
      </c>
      <c r="Q7" s="22">
        <f>Revenus!Q13*Hypothèses!$C$10</f>
        <v/>
      </c>
      <c r="R7" s="22">
        <f>Revenus!R13*Hypothèses!$C$10</f>
        <v/>
      </c>
      <c r="S7" s="22">
        <f>Revenus!S13*Hypothèses!$C$10</f>
        <v/>
      </c>
      <c r="T7" s="22">
        <f>Revenus!T13*Hypothèses!$C$10</f>
        <v/>
      </c>
      <c r="U7" s="22">
        <f>Revenus!U13*Hypothèses!$C$10</f>
        <v/>
      </c>
      <c r="V7" s="22">
        <f>Revenus!V13*Hypothèses!$C$10</f>
        <v/>
      </c>
      <c r="W7" s="22">
        <f>Revenus!W13*Hypothèses!$C$10</f>
        <v/>
      </c>
      <c r="X7" s="22">
        <f>Revenus!X13*Hypothèses!$C$10</f>
        <v/>
      </c>
      <c r="Y7" s="22">
        <f>Revenus!Y13*Hypothèses!$C$10</f>
        <v/>
      </c>
      <c r="Z7" s="22">
        <f>Revenus!Z13*Hypothèses!$C$10</f>
        <v/>
      </c>
      <c r="AA7" s="22">
        <f>Revenus!AA13*Hypothèses!$C$10</f>
        <v/>
      </c>
      <c r="AB7" s="22">
        <f>Revenus!AB13*Hypothèses!$C$10</f>
        <v/>
      </c>
      <c r="AC7" s="22">
        <f>Revenus!AC13*Hypothèses!$C$10</f>
        <v/>
      </c>
      <c r="AD7" s="22">
        <f>Revenus!AD13*Hypothèses!$C$10</f>
        <v/>
      </c>
      <c r="AE7" s="22">
        <f>Revenus!AE13*Hypothèses!$C$10</f>
        <v/>
      </c>
      <c r="AF7" s="22">
        <f>Revenus!AF13*Hypothèses!$C$10</f>
        <v/>
      </c>
      <c r="AG7" s="22">
        <f>Revenus!AG13*Hypothèses!$C$10</f>
        <v/>
      </c>
      <c r="AH7" s="22">
        <f>Revenus!AH13*Hypothèses!$C$10</f>
        <v/>
      </c>
      <c r="AI7" s="22">
        <f>Revenus!AI13*Hypothèses!$C$10</f>
        <v/>
      </c>
      <c r="AJ7" s="22">
        <f>Revenus!AJ13*Hypothèses!$C$10</f>
        <v/>
      </c>
      <c r="AK7" s="22">
        <f>Revenus!AK13*Hypothèses!$C$10</f>
        <v/>
      </c>
      <c r="AL7" s="22">
        <f>Revenus!AL13*Hypothèses!$C$10</f>
        <v/>
      </c>
      <c r="AM7" s="23">
        <f>SUM(C7:N7)</f>
        <v/>
      </c>
      <c r="AN7" s="23">
        <f>SUM(O7:Z7)</f>
        <v/>
      </c>
      <c r="AO7" s="23">
        <f>SUM(AA7:AL7)</f>
        <v/>
      </c>
      <c r="AP7" s="23">
        <f>SUM(AM7:AO7)</f>
        <v/>
      </c>
    </row>
    <row r="8">
      <c r="A8" s="24" t="inlineStr">
        <is>
          <t>TOTAL ENCAISSEMENTS</t>
        </is>
      </c>
      <c r="C8" s="25">
        <f>C7</f>
        <v/>
      </c>
      <c r="D8" s="25">
        <f>D7</f>
        <v/>
      </c>
      <c r="E8" s="25">
        <f>E7</f>
        <v/>
      </c>
      <c r="F8" s="25">
        <f>F7</f>
        <v/>
      </c>
      <c r="G8" s="25">
        <f>G7</f>
        <v/>
      </c>
      <c r="H8" s="25">
        <f>H7</f>
        <v/>
      </c>
      <c r="I8" s="25">
        <f>I7</f>
        <v/>
      </c>
      <c r="J8" s="25">
        <f>J7</f>
        <v/>
      </c>
      <c r="K8" s="25">
        <f>K7</f>
        <v/>
      </c>
      <c r="L8" s="25">
        <f>L7</f>
        <v/>
      </c>
      <c r="M8" s="25">
        <f>M7</f>
        <v/>
      </c>
      <c r="N8" s="25">
        <f>N7</f>
        <v/>
      </c>
      <c r="O8" s="25">
        <f>O7</f>
        <v/>
      </c>
      <c r="P8" s="25">
        <f>P7</f>
        <v/>
      </c>
      <c r="Q8" s="25">
        <f>Q7</f>
        <v/>
      </c>
      <c r="R8" s="25">
        <f>R7</f>
        <v/>
      </c>
      <c r="S8" s="25">
        <f>S7</f>
        <v/>
      </c>
      <c r="T8" s="25">
        <f>T7</f>
        <v/>
      </c>
      <c r="U8" s="25">
        <f>U7</f>
        <v/>
      </c>
      <c r="V8" s="25">
        <f>V7</f>
        <v/>
      </c>
      <c r="W8" s="25">
        <f>W7</f>
        <v/>
      </c>
      <c r="X8" s="25">
        <f>X7</f>
        <v/>
      </c>
      <c r="Y8" s="25">
        <f>Y7</f>
        <v/>
      </c>
      <c r="Z8" s="25">
        <f>Z7</f>
        <v/>
      </c>
      <c r="AA8" s="25">
        <f>AA7</f>
        <v/>
      </c>
      <c r="AB8" s="25">
        <f>AB7</f>
        <v/>
      </c>
      <c r="AC8" s="25">
        <f>AC7</f>
        <v/>
      </c>
      <c r="AD8" s="25">
        <f>AD7</f>
        <v/>
      </c>
      <c r="AE8" s="25">
        <f>AE7</f>
        <v/>
      </c>
      <c r="AF8" s="25">
        <f>AF7</f>
        <v/>
      </c>
      <c r="AG8" s="25">
        <f>AG7</f>
        <v/>
      </c>
      <c r="AH8" s="25">
        <f>AH7</f>
        <v/>
      </c>
      <c r="AI8" s="25">
        <f>AI7</f>
        <v/>
      </c>
      <c r="AJ8" s="25">
        <f>AJ7</f>
        <v/>
      </c>
      <c r="AK8" s="25">
        <f>AK7</f>
        <v/>
      </c>
      <c r="AL8" s="25">
        <f>AL7</f>
        <v/>
      </c>
      <c r="AM8" s="25">
        <f>SUM(C8:N8)</f>
        <v/>
      </c>
      <c r="AN8" s="25">
        <f>SUM(O8:Z8)</f>
        <v/>
      </c>
      <c r="AO8" s="25">
        <f>SUM(AA8:AL8)</f>
        <v/>
      </c>
      <c r="AP8" s="25">
        <f>SUM(AM8:AO8)</f>
        <v/>
      </c>
    </row>
    <row r="9">
      <c r="A9" s="40" t="inlineStr">
        <is>
          <t>DÉCAISSEMENTS</t>
        </is>
      </c>
    </row>
    <row r="10">
      <c r="A10" s="3" t="inlineStr">
        <is>
          <t>Achats matières premières &amp; énergie (détail mensuel — onglet Dépenses)</t>
        </is>
      </c>
      <c r="C10" s="22">
        <f>'Dépenses détaillées'!G20+'Dépenses détaillées'!G25</f>
        <v/>
      </c>
      <c r="D10" s="22">
        <f>'Dépenses détaillées'!H20+'Dépenses détaillées'!H25</f>
        <v/>
      </c>
      <c r="E10" s="22">
        <f>'Dépenses détaillées'!I20+'Dépenses détaillées'!I25</f>
        <v/>
      </c>
      <c r="F10" s="22">
        <f>'Dépenses détaillées'!J20+'Dépenses détaillées'!J25</f>
        <v/>
      </c>
      <c r="G10" s="22">
        <f>'Dépenses détaillées'!K20+'Dépenses détaillées'!K25</f>
        <v/>
      </c>
      <c r="H10" s="22">
        <f>'Dépenses détaillées'!L20+'Dépenses détaillées'!L25</f>
        <v/>
      </c>
      <c r="I10" s="22">
        <f>'Dépenses détaillées'!M20+'Dépenses détaillées'!M25</f>
        <v/>
      </c>
      <c r="J10" s="22">
        <f>'Dépenses détaillées'!N20+'Dépenses détaillées'!N25</f>
        <v/>
      </c>
      <c r="K10" s="22">
        <f>'Dépenses détaillées'!O20+'Dépenses détaillées'!O25</f>
        <v/>
      </c>
      <c r="L10" s="22">
        <f>'Dépenses détaillées'!P20+'Dépenses détaillées'!P25</f>
        <v/>
      </c>
      <c r="M10" s="22">
        <f>'Dépenses détaillées'!Q20+'Dépenses détaillées'!Q25</f>
        <v/>
      </c>
      <c r="N10" s="22">
        <f>'Dépenses détaillées'!R20+'Dépenses détaillées'!R25</f>
        <v/>
      </c>
      <c r="O10" s="22">
        <f>'Dépenses détaillées'!S20+'Dépenses détaillées'!S25</f>
        <v/>
      </c>
      <c r="P10" s="22">
        <f>'Dépenses détaillées'!T20+'Dépenses détaillées'!T25</f>
        <v/>
      </c>
      <c r="Q10" s="22">
        <f>'Dépenses détaillées'!U20+'Dépenses détaillées'!U25</f>
        <v/>
      </c>
      <c r="R10" s="22">
        <f>'Dépenses détaillées'!V20+'Dépenses détaillées'!V25</f>
        <v/>
      </c>
      <c r="S10" s="22">
        <f>'Dépenses détaillées'!W20+'Dépenses détaillées'!W25</f>
        <v/>
      </c>
      <c r="T10" s="22">
        <f>'Dépenses détaillées'!X20+'Dépenses détaillées'!X25</f>
        <v/>
      </c>
      <c r="U10" s="22">
        <f>'Dépenses détaillées'!Y20+'Dépenses détaillées'!Y25</f>
        <v/>
      </c>
      <c r="V10" s="22">
        <f>'Dépenses détaillées'!Z20+'Dépenses détaillées'!Z25</f>
        <v/>
      </c>
      <c r="W10" s="22">
        <f>'Dépenses détaillées'!AA20+'Dépenses détaillées'!AA25</f>
        <v/>
      </c>
      <c r="X10" s="22">
        <f>'Dépenses détaillées'!AB20+'Dépenses détaillées'!AB25</f>
        <v/>
      </c>
      <c r="Y10" s="22">
        <f>'Dépenses détaillées'!AC20+'Dépenses détaillées'!AC25</f>
        <v/>
      </c>
      <c r="Z10" s="22">
        <f>'Dépenses détaillées'!AD20+'Dépenses détaillées'!AD25</f>
        <v/>
      </c>
      <c r="AA10" s="22">
        <f>'Dépenses détaillées'!AE20+'Dépenses détaillées'!AE25</f>
        <v/>
      </c>
      <c r="AB10" s="22">
        <f>'Dépenses détaillées'!AF20+'Dépenses détaillées'!AF25</f>
        <v/>
      </c>
      <c r="AC10" s="22">
        <f>'Dépenses détaillées'!AG20+'Dépenses détaillées'!AG25</f>
        <v/>
      </c>
      <c r="AD10" s="22">
        <f>'Dépenses détaillées'!AH20+'Dépenses détaillées'!AH25</f>
        <v/>
      </c>
      <c r="AE10" s="22">
        <f>'Dépenses détaillées'!AI20+'Dépenses détaillées'!AI25</f>
        <v/>
      </c>
      <c r="AF10" s="22">
        <f>'Dépenses détaillées'!AJ20+'Dépenses détaillées'!AJ25</f>
        <v/>
      </c>
      <c r="AG10" s="22">
        <f>'Dépenses détaillées'!AK20+'Dépenses détaillées'!AK25</f>
        <v/>
      </c>
      <c r="AH10" s="22">
        <f>'Dépenses détaillées'!AL20+'Dépenses détaillées'!AL25</f>
        <v/>
      </c>
      <c r="AI10" s="22">
        <f>'Dépenses détaillées'!AM20+'Dépenses détaillées'!AM25</f>
        <v/>
      </c>
      <c r="AJ10" s="22">
        <f>'Dépenses détaillées'!AN20+'Dépenses détaillées'!AN25</f>
        <v/>
      </c>
      <c r="AK10" s="22">
        <f>'Dépenses détaillées'!AO20+'Dépenses détaillées'!AO25</f>
        <v/>
      </c>
      <c r="AL10" s="22">
        <f>'Dépenses détaillées'!AP20+'Dépenses détaillées'!AP25</f>
        <v/>
      </c>
      <c r="AM10" s="23">
        <f>SUM(C10:N10)</f>
        <v/>
      </c>
      <c r="AN10" s="23">
        <f>SUM(O10:Z10)</f>
        <v/>
      </c>
      <c r="AO10" s="23">
        <f>SUM(AA10:AL10)</f>
        <v/>
      </c>
      <c r="AP10" s="23">
        <f>SUM(AM10:AO10)</f>
        <v/>
      </c>
    </row>
    <row r="11">
      <c r="A11" s="3" t="inlineStr">
        <is>
          <t>Personnel (salaires &amp; charges, dirigeant + salarié)</t>
        </is>
      </c>
      <c r="C11" s="22">
        <f>'Dépenses détaillées'!G28</f>
        <v/>
      </c>
      <c r="D11" s="22">
        <f>'Dépenses détaillées'!H28</f>
        <v/>
      </c>
      <c r="E11" s="22">
        <f>'Dépenses détaillées'!I28</f>
        <v/>
      </c>
      <c r="F11" s="22">
        <f>'Dépenses détaillées'!J28</f>
        <v/>
      </c>
      <c r="G11" s="22">
        <f>'Dépenses détaillées'!K28</f>
        <v/>
      </c>
      <c r="H11" s="22">
        <f>'Dépenses détaillées'!L28</f>
        <v/>
      </c>
      <c r="I11" s="22">
        <f>'Dépenses détaillées'!M28</f>
        <v/>
      </c>
      <c r="J11" s="22">
        <f>'Dépenses détaillées'!N28</f>
        <v/>
      </c>
      <c r="K11" s="22">
        <f>'Dépenses détaillées'!O28</f>
        <v/>
      </c>
      <c r="L11" s="22">
        <f>'Dépenses détaillées'!P28</f>
        <v/>
      </c>
      <c r="M11" s="22">
        <f>'Dépenses détaillées'!Q28</f>
        <v/>
      </c>
      <c r="N11" s="22">
        <f>'Dépenses détaillées'!R28</f>
        <v/>
      </c>
      <c r="O11" s="22">
        <f>'Dépenses détaillées'!S28</f>
        <v/>
      </c>
      <c r="P11" s="22">
        <f>'Dépenses détaillées'!T28</f>
        <v/>
      </c>
      <c r="Q11" s="22">
        <f>'Dépenses détaillées'!U28</f>
        <v/>
      </c>
      <c r="R11" s="22">
        <f>'Dépenses détaillées'!V28</f>
        <v/>
      </c>
      <c r="S11" s="22">
        <f>'Dépenses détaillées'!W28</f>
        <v/>
      </c>
      <c r="T11" s="22">
        <f>'Dépenses détaillées'!X28</f>
        <v/>
      </c>
      <c r="U11" s="22">
        <f>'Dépenses détaillées'!Y28</f>
        <v/>
      </c>
      <c r="V11" s="22">
        <f>'Dépenses détaillées'!Z28</f>
        <v/>
      </c>
      <c r="W11" s="22">
        <f>'Dépenses détaillées'!AA28</f>
        <v/>
      </c>
      <c r="X11" s="22">
        <f>'Dépenses détaillées'!AB28</f>
        <v/>
      </c>
      <c r="Y11" s="22">
        <f>'Dépenses détaillées'!AC28</f>
        <v/>
      </c>
      <c r="Z11" s="22">
        <f>'Dépenses détaillées'!AD28</f>
        <v/>
      </c>
      <c r="AA11" s="22">
        <f>'Dépenses détaillées'!AE28</f>
        <v/>
      </c>
      <c r="AB11" s="22">
        <f>'Dépenses détaillées'!AF28</f>
        <v/>
      </c>
      <c r="AC11" s="22">
        <f>'Dépenses détaillées'!AG28</f>
        <v/>
      </c>
      <c r="AD11" s="22">
        <f>'Dépenses détaillées'!AH28</f>
        <v/>
      </c>
      <c r="AE11" s="22">
        <f>'Dépenses détaillées'!AI28</f>
        <v/>
      </c>
      <c r="AF11" s="22">
        <f>'Dépenses détaillées'!AJ28</f>
        <v/>
      </c>
      <c r="AG11" s="22">
        <f>'Dépenses détaillées'!AK28</f>
        <v/>
      </c>
      <c r="AH11" s="22">
        <f>'Dépenses détaillées'!AL28</f>
        <v/>
      </c>
      <c r="AI11" s="22">
        <f>'Dépenses détaillées'!AM28</f>
        <v/>
      </c>
      <c r="AJ11" s="22">
        <f>'Dépenses détaillées'!AN28</f>
        <v/>
      </c>
      <c r="AK11" s="22">
        <f>'Dépenses détaillées'!AO28</f>
        <v/>
      </c>
      <c r="AL11" s="22">
        <f>'Dépenses détaillées'!AP28</f>
        <v/>
      </c>
      <c r="AM11" s="23">
        <f>SUM(C11:N11)</f>
        <v/>
      </c>
      <c r="AN11" s="23">
        <f>SUM(O11:Z11)</f>
        <v/>
      </c>
      <c r="AO11" s="23">
        <f>SUM(AA11:AL11)</f>
        <v/>
      </c>
      <c r="AP11" s="23">
        <f>SUM(AM11:AO11)</f>
        <v/>
      </c>
    </row>
    <row r="12">
      <c r="A12" s="3" t="inlineStr">
        <is>
          <t>Charges fixes (loyer, assurances, entretien, comptable...)</t>
        </is>
      </c>
      <c r="C12" s="22">
        <f>'Dépenses détaillées'!G41</f>
        <v/>
      </c>
      <c r="D12" s="22">
        <f>'Dépenses détaillées'!H41</f>
        <v/>
      </c>
      <c r="E12" s="22">
        <f>'Dépenses détaillées'!I41</f>
        <v/>
      </c>
      <c r="F12" s="22">
        <f>'Dépenses détaillées'!J41</f>
        <v/>
      </c>
      <c r="G12" s="22">
        <f>'Dépenses détaillées'!K41</f>
        <v/>
      </c>
      <c r="H12" s="22">
        <f>'Dépenses détaillées'!L41</f>
        <v/>
      </c>
      <c r="I12" s="22">
        <f>'Dépenses détaillées'!M41</f>
        <v/>
      </c>
      <c r="J12" s="22">
        <f>'Dépenses détaillées'!N41</f>
        <v/>
      </c>
      <c r="K12" s="22">
        <f>'Dépenses détaillées'!O41</f>
        <v/>
      </c>
      <c r="L12" s="22">
        <f>'Dépenses détaillées'!P41</f>
        <v/>
      </c>
      <c r="M12" s="22">
        <f>'Dépenses détaillées'!Q41</f>
        <v/>
      </c>
      <c r="N12" s="22">
        <f>'Dépenses détaillées'!R41</f>
        <v/>
      </c>
      <c r="O12" s="22">
        <f>'Dépenses détaillées'!S41</f>
        <v/>
      </c>
      <c r="P12" s="22">
        <f>'Dépenses détaillées'!T41</f>
        <v/>
      </c>
      <c r="Q12" s="22">
        <f>'Dépenses détaillées'!U41</f>
        <v/>
      </c>
      <c r="R12" s="22">
        <f>'Dépenses détaillées'!V41</f>
        <v/>
      </c>
      <c r="S12" s="22">
        <f>'Dépenses détaillées'!W41</f>
        <v/>
      </c>
      <c r="T12" s="22">
        <f>'Dépenses détaillées'!X41</f>
        <v/>
      </c>
      <c r="U12" s="22">
        <f>'Dépenses détaillées'!Y41</f>
        <v/>
      </c>
      <c r="V12" s="22">
        <f>'Dépenses détaillées'!Z41</f>
        <v/>
      </c>
      <c r="W12" s="22">
        <f>'Dépenses détaillées'!AA41</f>
        <v/>
      </c>
      <c r="X12" s="22">
        <f>'Dépenses détaillées'!AB41</f>
        <v/>
      </c>
      <c r="Y12" s="22">
        <f>'Dépenses détaillées'!AC41</f>
        <v/>
      </c>
      <c r="Z12" s="22">
        <f>'Dépenses détaillées'!AD41</f>
        <v/>
      </c>
      <c r="AA12" s="22">
        <f>'Dépenses détaillées'!AE41</f>
        <v/>
      </c>
      <c r="AB12" s="22">
        <f>'Dépenses détaillées'!AF41</f>
        <v/>
      </c>
      <c r="AC12" s="22">
        <f>'Dépenses détaillées'!AG41</f>
        <v/>
      </c>
      <c r="AD12" s="22">
        <f>'Dépenses détaillées'!AH41</f>
        <v/>
      </c>
      <c r="AE12" s="22">
        <f>'Dépenses détaillées'!AI41</f>
        <v/>
      </c>
      <c r="AF12" s="22">
        <f>'Dépenses détaillées'!AJ41</f>
        <v/>
      </c>
      <c r="AG12" s="22">
        <f>'Dépenses détaillées'!AK41</f>
        <v/>
      </c>
      <c r="AH12" s="22">
        <f>'Dépenses détaillées'!AL41</f>
        <v/>
      </c>
      <c r="AI12" s="22">
        <f>'Dépenses détaillées'!AM41</f>
        <v/>
      </c>
      <c r="AJ12" s="22">
        <f>'Dépenses détaillées'!AN41</f>
        <v/>
      </c>
      <c r="AK12" s="22">
        <f>'Dépenses détaillées'!AO41</f>
        <v/>
      </c>
      <c r="AL12" s="22">
        <f>'Dépenses détaillées'!AP41</f>
        <v/>
      </c>
      <c r="AM12" s="23">
        <f>SUM(C12:N12)</f>
        <v/>
      </c>
      <c r="AN12" s="23">
        <f>SUM(O12:Z12)</f>
        <v/>
      </c>
      <c r="AO12" s="23">
        <f>SUM(AA12:AL12)</f>
        <v/>
      </c>
      <c r="AP12" s="23">
        <f>SUM(AM12:AO12)</f>
        <v/>
      </c>
    </row>
    <row r="13">
      <c r="A13" s="3" t="inlineStr">
        <is>
          <t>Cotisations sociales dirigeant (versement trimestriel, inflaté)</t>
        </is>
      </c>
      <c r="C13" s="23" t="n">
        <v>0</v>
      </c>
      <c r="D13" s="23" t="n">
        <v>0</v>
      </c>
      <c r="E13" s="22">
        <f>Hypothèses!$C$8*(1+Hypothèses!$C$14)^0</f>
        <v/>
      </c>
      <c r="F13" s="23" t="n">
        <v>0</v>
      </c>
      <c r="G13" s="23" t="n">
        <v>0</v>
      </c>
      <c r="H13" s="22">
        <f>Hypothèses!$C$8*(1+Hypothèses!$C$14)^0</f>
        <v/>
      </c>
      <c r="I13" s="23" t="n">
        <v>0</v>
      </c>
      <c r="J13" s="23" t="n">
        <v>0</v>
      </c>
      <c r="K13" s="22">
        <f>Hypothèses!$C$8*(1+Hypothèses!$C$14)^0</f>
        <v/>
      </c>
      <c r="L13" s="23" t="n">
        <v>0</v>
      </c>
      <c r="M13" s="23" t="n">
        <v>0</v>
      </c>
      <c r="N13" s="22">
        <f>Hypothèses!$C$8*(1+Hypothèses!$C$14)^0</f>
        <v/>
      </c>
      <c r="O13" s="23" t="n">
        <v>0</v>
      </c>
      <c r="P13" s="23" t="n">
        <v>0</v>
      </c>
      <c r="Q13" s="22">
        <f>Hypothèses!$C$8*(1+Hypothèses!$C$14)^1</f>
        <v/>
      </c>
      <c r="R13" s="23" t="n">
        <v>0</v>
      </c>
      <c r="S13" s="23" t="n">
        <v>0</v>
      </c>
      <c r="T13" s="22">
        <f>Hypothèses!$C$8*(1+Hypothèses!$C$14)^1</f>
        <v/>
      </c>
      <c r="U13" s="23" t="n">
        <v>0</v>
      </c>
      <c r="V13" s="23" t="n">
        <v>0</v>
      </c>
      <c r="W13" s="22">
        <f>Hypothèses!$C$8*(1+Hypothèses!$C$14)^1</f>
        <v/>
      </c>
      <c r="X13" s="23" t="n">
        <v>0</v>
      </c>
      <c r="Y13" s="23" t="n">
        <v>0</v>
      </c>
      <c r="Z13" s="22">
        <f>Hypothèses!$C$8*(1+Hypothèses!$C$14)^1</f>
        <v/>
      </c>
      <c r="AA13" s="23" t="n">
        <v>0</v>
      </c>
      <c r="AB13" s="23" t="n">
        <v>0</v>
      </c>
      <c r="AC13" s="22">
        <f>Hypothèses!$C$8*(1+Hypothèses!$C$14)^2</f>
        <v/>
      </c>
      <c r="AD13" s="23" t="n">
        <v>0</v>
      </c>
      <c r="AE13" s="23" t="n">
        <v>0</v>
      </c>
      <c r="AF13" s="22">
        <f>Hypothèses!$C$8*(1+Hypothèses!$C$14)^2</f>
        <v/>
      </c>
      <c r="AG13" s="23" t="n">
        <v>0</v>
      </c>
      <c r="AH13" s="23" t="n">
        <v>0</v>
      </c>
      <c r="AI13" s="22">
        <f>Hypothèses!$C$8*(1+Hypothèses!$C$14)^2</f>
        <v/>
      </c>
      <c r="AJ13" s="23" t="n">
        <v>0</v>
      </c>
      <c r="AK13" s="23" t="n">
        <v>0</v>
      </c>
      <c r="AL13" s="22">
        <f>Hypothèses!$C$8*(1+Hypothèses!$C$14)^2</f>
        <v/>
      </c>
      <c r="AM13" s="23">
        <f>SUM(C13:N13)</f>
        <v/>
      </c>
      <c r="AN13" s="23">
        <f>SUM(O13:Z13)</f>
        <v/>
      </c>
      <c r="AO13" s="23">
        <f>SUM(AA13:AL13)</f>
        <v/>
      </c>
      <c r="AP13" s="23">
        <f>SUM(AM13:AO13)</f>
        <v/>
      </c>
    </row>
    <row r="14">
      <c r="A14" s="3" t="inlineStr">
        <is>
          <t>TVA nette versée (versement trimestriel)</t>
        </is>
      </c>
      <c r="C14" s="23" t="n">
        <v>0</v>
      </c>
      <c r="D14" s="23" t="n">
        <v>0</v>
      </c>
      <c r="E14" s="23">
        <f>MAX(0,SUM(C22:E22))</f>
        <v/>
      </c>
      <c r="F14" s="23" t="n">
        <v>0</v>
      </c>
      <c r="G14" s="23" t="n">
        <v>0</v>
      </c>
      <c r="H14" s="23">
        <f>MAX(0,SUM(F22:H22))</f>
        <v/>
      </c>
      <c r="I14" s="23" t="n">
        <v>0</v>
      </c>
      <c r="J14" s="23" t="n">
        <v>0</v>
      </c>
      <c r="K14" s="23">
        <f>MAX(0,SUM(I22:K22))</f>
        <v/>
      </c>
      <c r="L14" s="23" t="n">
        <v>0</v>
      </c>
      <c r="M14" s="23" t="n">
        <v>0</v>
      </c>
      <c r="N14" s="23">
        <f>MAX(0,SUM(L22:N22))</f>
        <v/>
      </c>
      <c r="O14" s="23" t="n">
        <v>0</v>
      </c>
      <c r="P14" s="23" t="n">
        <v>0</v>
      </c>
      <c r="Q14" s="23">
        <f>MAX(0,SUM(O22:Q22))</f>
        <v/>
      </c>
      <c r="R14" s="23" t="n">
        <v>0</v>
      </c>
      <c r="S14" s="23" t="n">
        <v>0</v>
      </c>
      <c r="T14" s="23">
        <f>MAX(0,SUM(R22:T22))</f>
        <v/>
      </c>
      <c r="U14" s="23" t="n">
        <v>0</v>
      </c>
      <c r="V14" s="23" t="n">
        <v>0</v>
      </c>
      <c r="W14" s="23">
        <f>MAX(0,SUM(U22:W22))</f>
        <v/>
      </c>
      <c r="X14" s="23" t="n">
        <v>0</v>
      </c>
      <c r="Y14" s="23" t="n">
        <v>0</v>
      </c>
      <c r="Z14" s="23">
        <f>MAX(0,SUM(X22:Z22))</f>
        <v/>
      </c>
      <c r="AA14" s="23" t="n">
        <v>0</v>
      </c>
      <c r="AB14" s="23" t="n">
        <v>0</v>
      </c>
      <c r="AC14" s="23">
        <f>MAX(0,SUM(AA22:AC22))</f>
        <v/>
      </c>
      <c r="AD14" s="23" t="n">
        <v>0</v>
      </c>
      <c r="AE14" s="23" t="n">
        <v>0</v>
      </c>
      <c r="AF14" s="23">
        <f>MAX(0,SUM(AD22:AF22))</f>
        <v/>
      </c>
      <c r="AG14" s="23" t="n">
        <v>0</v>
      </c>
      <c r="AH14" s="23" t="n">
        <v>0</v>
      </c>
      <c r="AI14" s="23">
        <f>MAX(0,SUM(AG22:AI22))</f>
        <v/>
      </c>
      <c r="AJ14" s="23" t="n">
        <v>0</v>
      </c>
      <c r="AK14" s="23" t="n">
        <v>0</v>
      </c>
      <c r="AL14" s="23">
        <f>MAX(0,SUM(AJ22:AL22))</f>
        <v/>
      </c>
      <c r="AM14" s="23">
        <f>SUM(C14:N14)</f>
        <v/>
      </c>
      <c r="AN14" s="23">
        <f>SUM(O14:Z14)</f>
        <v/>
      </c>
      <c r="AO14" s="23">
        <f>SUM(AA14:AL14)</f>
        <v/>
      </c>
      <c r="AP14" s="23">
        <f>SUM(AM14:AO14)</f>
        <v/>
      </c>
    </row>
    <row r="15">
      <c r="A15" s="3" t="inlineStr">
        <is>
          <t>Remboursement emprunt matériel (mensualité fixe)</t>
        </is>
      </c>
      <c r="C15" s="22">
        <f>Hypothèses!$C$9</f>
        <v/>
      </c>
      <c r="D15" s="22">
        <f>Hypothèses!$C$9</f>
        <v/>
      </c>
      <c r="E15" s="22">
        <f>Hypothèses!$C$9</f>
        <v/>
      </c>
      <c r="F15" s="22">
        <f>Hypothèses!$C$9</f>
        <v/>
      </c>
      <c r="G15" s="22">
        <f>Hypothèses!$C$9</f>
        <v/>
      </c>
      <c r="H15" s="22">
        <f>Hypothèses!$C$9</f>
        <v/>
      </c>
      <c r="I15" s="22">
        <f>Hypothèses!$C$9</f>
        <v/>
      </c>
      <c r="J15" s="22">
        <f>Hypothèses!$C$9</f>
        <v/>
      </c>
      <c r="K15" s="22">
        <f>Hypothèses!$C$9</f>
        <v/>
      </c>
      <c r="L15" s="22">
        <f>Hypothèses!$C$9</f>
        <v/>
      </c>
      <c r="M15" s="22">
        <f>Hypothèses!$C$9</f>
        <v/>
      </c>
      <c r="N15" s="22">
        <f>Hypothèses!$C$9</f>
        <v/>
      </c>
      <c r="O15" s="22">
        <f>Hypothèses!$C$9</f>
        <v/>
      </c>
      <c r="P15" s="22">
        <f>Hypothèses!$C$9</f>
        <v/>
      </c>
      <c r="Q15" s="22">
        <f>Hypothèses!$C$9</f>
        <v/>
      </c>
      <c r="R15" s="22">
        <f>Hypothèses!$C$9</f>
        <v/>
      </c>
      <c r="S15" s="22">
        <f>Hypothèses!$C$9</f>
        <v/>
      </c>
      <c r="T15" s="22">
        <f>Hypothèses!$C$9</f>
        <v/>
      </c>
      <c r="U15" s="22">
        <f>Hypothèses!$C$9</f>
        <v/>
      </c>
      <c r="V15" s="22">
        <f>Hypothèses!$C$9</f>
        <v/>
      </c>
      <c r="W15" s="22">
        <f>Hypothèses!$C$9</f>
        <v/>
      </c>
      <c r="X15" s="22">
        <f>Hypothèses!$C$9</f>
        <v/>
      </c>
      <c r="Y15" s="22">
        <f>Hypothèses!$C$9</f>
        <v/>
      </c>
      <c r="Z15" s="22">
        <f>Hypothèses!$C$9</f>
        <v/>
      </c>
      <c r="AA15" s="22">
        <f>Hypothèses!$C$9</f>
        <v/>
      </c>
      <c r="AB15" s="22">
        <f>Hypothèses!$C$9</f>
        <v/>
      </c>
      <c r="AC15" s="22">
        <f>Hypothèses!$C$9</f>
        <v/>
      </c>
      <c r="AD15" s="22">
        <f>Hypothèses!$C$9</f>
        <v/>
      </c>
      <c r="AE15" s="22">
        <f>Hypothèses!$C$9</f>
        <v/>
      </c>
      <c r="AF15" s="22">
        <f>Hypothèses!$C$9</f>
        <v/>
      </c>
      <c r="AG15" s="22">
        <f>Hypothèses!$C$9</f>
        <v/>
      </c>
      <c r="AH15" s="22">
        <f>Hypothèses!$C$9</f>
        <v/>
      </c>
      <c r="AI15" s="22">
        <f>Hypothèses!$C$9</f>
        <v/>
      </c>
      <c r="AJ15" s="22">
        <f>Hypothèses!$C$9</f>
        <v/>
      </c>
      <c r="AK15" s="22">
        <f>Hypothèses!$C$9</f>
        <v/>
      </c>
      <c r="AL15" s="22">
        <f>Hypothèses!$C$9</f>
        <v/>
      </c>
      <c r="AM15" s="23">
        <f>SUM(C15:N15)</f>
        <v/>
      </c>
      <c r="AN15" s="23">
        <f>SUM(O15:Z15)</f>
        <v/>
      </c>
      <c r="AO15" s="23">
        <f>SUM(AA15:AL15)</f>
        <v/>
      </c>
      <c r="AP15" s="23">
        <f>SUM(AM15:AO15)</f>
        <v/>
      </c>
    </row>
    <row r="16">
      <c r="A16" s="24" t="inlineStr">
        <is>
          <t>TOTAL DÉCAISSEMENTS</t>
        </is>
      </c>
      <c r="C16" s="25">
        <f>SUM(C10:C15)</f>
        <v/>
      </c>
      <c r="D16" s="25">
        <f>SUM(D10:D15)</f>
        <v/>
      </c>
      <c r="E16" s="25">
        <f>SUM(E10:E15)</f>
        <v/>
      </c>
      <c r="F16" s="25">
        <f>SUM(F10:F15)</f>
        <v/>
      </c>
      <c r="G16" s="25">
        <f>SUM(G10:G15)</f>
        <v/>
      </c>
      <c r="H16" s="25">
        <f>SUM(H10:H15)</f>
        <v/>
      </c>
      <c r="I16" s="25">
        <f>SUM(I10:I15)</f>
        <v/>
      </c>
      <c r="J16" s="25">
        <f>SUM(J10:J15)</f>
        <v/>
      </c>
      <c r="K16" s="25">
        <f>SUM(K10:K15)</f>
        <v/>
      </c>
      <c r="L16" s="25">
        <f>SUM(L10:L15)</f>
        <v/>
      </c>
      <c r="M16" s="25">
        <f>SUM(M10:M15)</f>
        <v/>
      </c>
      <c r="N16" s="25">
        <f>SUM(N10:N15)</f>
        <v/>
      </c>
      <c r="O16" s="25">
        <f>SUM(O10:O15)</f>
        <v/>
      </c>
      <c r="P16" s="25">
        <f>SUM(P10:P15)</f>
        <v/>
      </c>
      <c r="Q16" s="25">
        <f>SUM(Q10:Q15)</f>
        <v/>
      </c>
      <c r="R16" s="25">
        <f>SUM(R10:R15)</f>
        <v/>
      </c>
      <c r="S16" s="25">
        <f>SUM(S10:S15)</f>
        <v/>
      </c>
      <c r="T16" s="25">
        <f>SUM(T10:T15)</f>
        <v/>
      </c>
      <c r="U16" s="25">
        <f>SUM(U10:U15)</f>
        <v/>
      </c>
      <c r="V16" s="25">
        <f>SUM(V10:V15)</f>
        <v/>
      </c>
      <c r="W16" s="25">
        <f>SUM(W10:W15)</f>
        <v/>
      </c>
      <c r="X16" s="25">
        <f>SUM(X10:X15)</f>
        <v/>
      </c>
      <c r="Y16" s="25">
        <f>SUM(Y10:Y15)</f>
        <v/>
      </c>
      <c r="Z16" s="25">
        <f>SUM(Z10:Z15)</f>
        <v/>
      </c>
      <c r="AA16" s="25">
        <f>SUM(AA10:AA15)</f>
        <v/>
      </c>
      <c r="AB16" s="25">
        <f>SUM(AB10:AB15)</f>
        <v/>
      </c>
      <c r="AC16" s="25">
        <f>SUM(AC10:AC15)</f>
        <v/>
      </c>
      <c r="AD16" s="25">
        <f>SUM(AD10:AD15)</f>
        <v/>
      </c>
      <c r="AE16" s="25">
        <f>SUM(AE10:AE15)</f>
        <v/>
      </c>
      <c r="AF16" s="25">
        <f>SUM(AF10:AF15)</f>
        <v/>
      </c>
      <c r="AG16" s="25">
        <f>SUM(AG10:AG15)</f>
        <v/>
      </c>
      <c r="AH16" s="25">
        <f>SUM(AH10:AH15)</f>
        <v/>
      </c>
      <c r="AI16" s="25">
        <f>SUM(AI10:AI15)</f>
        <v/>
      </c>
      <c r="AJ16" s="25">
        <f>SUM(AJ10:AJ15)</f>
        <v/>
      </c>
      <c r="AK16" s="25">
        <f>SUM(AK10:AK15)</f>
        <v/>
      </c>
      <c r="AL16" s="25">
        <f>SUM(AL10:AL15)</f>
        <v/>
      </c>
      <c r="AM16" s="25">
        <f>SUM(C16:N16)</f>
        <v/>
      </c>
      <c r="AN16" s="25">
        <f>SUM(O16:Z16)</f>
        <v/>
      </c>
      <c r="AO16" s="25">
        <f>SUM(AA16:AL16)</f>
        <v/>
      </c>
      <c r="AP16" s="25">
        <f>SUM(AM16:AO16)</f>
        <v/>
      </c>
    </row>
    <row r="17">
      <c r="A17" s="39" t="inlineStr">
        <is>
          <t>Variation de trésorerie du mois</t>
        </is>
      </c>
      <c r="C17" s="41">
        <f>C8-C16</f>
        <v/>
      </c>
      <c r="D17" s="41">
        <f>D8-D16</f>
        <v/>
      </c>
      <c r="E17" s="41">
        <f>E8-E16</f>
        <v/>
      </c>
      <c r="F17" s="41">
        <f>F8-F16</f>
        <v/>
      </c>
      <c r="G17" s="41">
        <f>G8-G16</f>
        <v/>
      </c>
      <c r="H17" s="41">
        <f>H8-H16</f>
        <v/>
      </c>
      <c r="I17" s="41">
        <f>I8-I16</f>
        <v/>
      </c>
      <c r="J17" s="41">
        <f>J8-J16</f>
        <v/>
      </c>
      <c r="K17" s="41">
        <f>K8-K16</f>
        <v/>
      </c>
      <c r="L17" s="41">
        <f>L8-L16</f>
        <v/>
      </c>
      <c r="M17" s="41">
        <f>M8-M16</f>
        <v/>
      </c>
      <c r="N17" s="41">
        <f>N8-N16</f>
        <v/>
      </c>
      <c r="O17" s="41">
        <f>O8-O16</f>
        <v/>
      </c>
      <c r="P17" s="41">
        <f>P8-P16</f>
        <v/>
      </c>
      <c r="Q17" s="41">
        <f>Q8-Q16</f>
        <v/>
      </c>
      <c r="R17" s="41">
        <f>R8-R16</f>
        <v/>
      </c>
      <c r="S17" s="41">
        <f>S8-S16</f>
        <v/>
      </c>
      <c r="T17" s="41">
        <f>T8-T16</f>
        <v/>
      </c>
      <c r="U17" s="41">
        <f>U8-U16</f>
        <v/>
      </c>
      <c r="V17" s="41">
        <f>V8-V16</f>
        <v/>
      </c>
      <c r="W17" s="41">
        <f>W8-W16</f>
        <v/>
      </c>
      <c r="X17" s="41">
        <f>X8-X16</f>
        <v/>
      </c>
      <c r="Y17" s="41">
        <f>Y8-Y16</f>
        <v/>
      </c>
      <c r="Z17" s="41">
        <f>Z8-Z16</f>
        <v/>
      </c>
      <c r="AA17" s="41">
        <f>AA8-AA16</f>
        <v/>
      </c>
      <c r="AB17" s="41">
        <f>AB8-AB16</f>
        <v/>
      </c>
      <c r="AC17" s="41">
        <f>AC8-AC16</f>
        <v/>
      </c>
      <c r="AD17" s="41">
        <f>AD8-AD16</f>
        <v/>
      </c>
      <c r="AE17" s="41">
        <f>AE8-AE16</f>
        <v/>
      </c>
      <c r="AF17" s="41">
        <f>AF8-AF16</f>
        <v/>
      </c>
      <c r="AG17" s="41">
        <f>AG8-AG16</f>
        <v/>
      </c>
      <c r="AH17" s="41">
        <f>AH8-AH16</f>
        <v/>
      </c>
      <c r="AI17" s="41">
        <f>AI8-AI16</f>
        <v/>
      </c>
      <c r="AJ17" s="41">
        <f>AJ8-AJ16</f>
        <v/>
      </c>
      <c r="AK17" s="41">
        <f>AK8-AK16</f>
        <v/>
      </c>
      <c r="AL17" s="41">
        <f>AL8-AL16</f>
        <v/>
      </c>
      <c r="AM17" s="41">
        <f>SUM(C17:N17)</f>
        <v/>
      </c>
      <c r="AN17" s="41">
        <f>SUM(O17:Z17)</f>
        <v/>
      </c>
      <c r="AO17" s="41">
        <f>SUM(AA17:AL17)</f>
        <v/>
      </c>
      <c r="AP17" s="41">
        <f>SUM(AM17:AO17)</f>
        <v/>
      </c>
    </row>
    <row r="18">
      <c r="A18" s="35" t="inlineStr">
        <is>
          <t>TRÉSORERIE EN FIN DE MOIS</t>
        </is>
      </c>
      <c r="C18" s="37">
        <f>C5+C17</f>
        <v/>
      </c>
      <c r="D18" s="37">
        <f>D5+D17</f>
        <v/>
      </c>
      <c r="E18" s="37">
        <f>E5+E17</f>
        <v/>
      </c>
      <c r="F18" s="37">
        <f>F5+F17</f>
        <v/>
      </c>
      <c r="G18" s="37">
        <f>G5+G17</f>
        <v/>
      </c>
      <c r="H18" s="37">
        <f>H5+H17</f>
        <v/>
      </c>
      <c r="I18" s="37">
        <f>I5+I17</f>
        <v/>
      </c>
      <c r="J18" s="37">
        <f>J5+J17</f>
        <v/>
      </c>
      <c r="K18" s="37">
        <f>K5+K17</f>
        <v/>
      </c>
      <c r="L18" s="37">
        <f>L5+L17</f>
        <v/>
      </c>
      <c r="M18" s="37">
        <f>M5+M17</f>
        <v/>
      </c>
      <c r="N18" s="37">
        <f>N5+N17</f>
        <v/>
      </c>
      <c r="O18" s="37">
        <f>O5+O17</f>
        <v/>
      </c>
      <c r="P18" s="37">
        <f>P5+P17</f>
        <v/>
      </c>
      <c r="Q18" s="37">
        <f>Q5+Q17</f>
        <v/>
      </c>
      <c r="R18" s="37">
        <f>R5+R17</f>
        <v/>
      </c>
      <c r="S18" s="37">
        <f>S5+S17</f>
        <v/>
      </c>
      <c r="T18" s="37">
        <f>T5+T17</f>
        <v/>
      </c>
      <c r="U18" s="37">
        <f>U5+U17</f>
        <v/>
      </c>
      <c r="V18" s="37">
        <f>V5+V17</f>
        <v/>
      </c>
      <c r="W18" s="37">
        <f>W5+W17</f>
        <v/>
      </c>
      <c r="X18" s="37">
        <f>X5+X17</f>
        <v/>
      </c>
      <c r="Y18" s="37">
        <f>Y5+Y17</f>
        <v/>
      </c>
      <c r="Z18" s="37">
        <f>Z5+Z17</f>
        <v/>
      </c>
      <c r="AA18" s="37">
        <f>AA5+AA17</f>
        <v/>
      </c>
      <c r="AB18" s="37">
        <f>AB5+AB17</f>
        <v/>
      </c>
      <c r="AC18" s="37">
        <f>AC5+AC17</f>
        <v/>
      </c>
      <c r="AD18" s="37">
        <f>AD5+AD17</f>
        <v/>
      </c>
      <c r="AE18" s="37">
        <f>AE5+AE17</f>
        <v/>
      </c>
      <c r="AF18" s="37">
        <f>AF5+AF17</f>
        <v/>
      </c>
      <c r="AG18" s="37">
        <f>AG5+AG17</f>
        <v/>
      </c>
      <c r="AH18" s="37">
        <f>AH5+AH17</f>
        <v/>
      </c>
      <c r="AI18" s="37">
        <f>AI5+AI17</f>
        <v/>
      </c>
      <c r="AJ18" s="37">
        <f>AJ5+AJ17</f>
        <v/>
      </c>
      <c r="AK18" s="37">
        <f>AK5+AK17</f>
        <v/>
      </c>
      <c r="AL18" s="37">
        <f>AL5+AL17</f>
        <v/>
      </c>
      <c r="AM18" s="37">
        <f>N18</f>
        <v/>
      </c>
      <c r="AN18" s="37">
        <f>Z18</f>
        <v/>
      </c>
      <c r="AO18" s="37">
        <f>AL18</f>
        <v/>
      </c>
      <c r="AP18" s="37">
        <f>AL18</f>
        <v/>
      </c>
    </row>
    <row r="19" ht="4" customHeight="1"/>
    <row r="20">
      <c r="A20" s="6" t="inlineStr">
        <is>
          <t>Mémo — TVA collectée du mois</t>
        </is>
      </c>
      <c r="C20" s="22">
        <f>Revenus!C12</f>
        <v/>
      </c>
      <c r="D20" s="22">
        <f>Revenus!D12</f>
        <v/>
      </c>
      <c r="E20" s="22">
        <f>Revenus!E12</f>
        <v/>
      </c>
      <c r="F20" s="22">
        <f>Revenus!F12</f>
        <v/>
      </c>
      <c r="G20" s="22">
        <f>Revenus!G12</f>
        <v/>
      </c>
      <c r="H20" s="22">
        <f>Revenus!H12</f>
        <v/>
      </c>
      <c r="I20" s="22">
        <f>Revenus!I12</f>
        <v/>
      </c>
      <c r="J20" s="22">
        <f>Revenus!J12</f>
        <v/>
      </c>
      <c r="K20" s="22">
        <f>Revenus!K12</f>
        <v/>
      </c>
      <c r="L20" s="22">
        <f>Revenus!L12</f>
        <v/>
      </c>
      <c r="M20" s="22">
        <f>Revenus!M12</f>
        <v/>
      </c>
      <c r="N20" s="22">
        <f>Revenus!N12</f>
        <v/>
      </c>
      <c r="O20" s="22">
        <f>Revenus!O12</f>
        <v/>
      </c>
      <c r="P20" s="22">
        <f>Revenus!P12</f>
        <v/>
      </c>
      <c r="Q20" s="22">
        <f>Revenus!Q12</f>
        <v/>
      </c>
      <c r="R20" s="22">
        <f>Revenus!R12</f>
        <v/>
      </c>
      <c r="S20" s="22">
        <f>Revenus!S12</f>
        <v/>
      </c>
      <c r="T20" s="22">
        <f>Revenus!T12</f>
        <v/>
      </c>
      <c r="U20" s="22">
        <f>Revenus!U12</f>
        <v/>
      </c>
      <c r="V20" s="22">
        <f>Revenus!V12</f>
        <v/>
      </c>
      <c r="W20" s="22">
        <f>Revenus!W12</f>
        <v/>
      </c>
      <c r="X20" s="22">
        <f>Revenus!X12</f>
        <v/>
      </c>
      <c r="Y20" s="22">
        <f>Revenus!Y12</f>
        <v/>
      </c>
      <c r="Z20" s="22">
        <f>Revenus!Z12</f>
        <v/>
      </c>
      <c r="AA20" s="22">
        <f>Revenus!AA12</f>
        <v/>
      </c>
      <c r="AB20" s="22">
        <f>Revenus!AB12</f>
        <v/>
      </c>
      <c r="AC20" s="22">
        <f>Revenus!AC12</f>
        <v/>
      </c>
      <c r="AD20" s="22">
        <f>Revenus!AD12</f>
        <v/>
      </c>
      <c r="AE20" s="22">
        <f>Revenus!AE12</f>
        <v/>
      </c>
      <c r="AF20" s="22">
        <f>Revenus!AF12</f>
        <v/>
      </c>
      <c r="AG20" s="22">
        <f>Revenus!AG12</f>
        <v/>
      </c>
      <c r="AH20" s="22">
        <f>Revenus!AH12</f>
        <v/>
      </c>
      <c r="AI20" s="22">
        <f>Revenus!AI12</f>
        <v/>
      </c>
      <c r="AJ20" s="22">
        <f>Revenus!AJ12</f>
        <v/>
      </c>
      <c r="AK20" s="22">
        <f>Revenus!AK12</f>
        <v/>
      </c>
      <c r="AL20" s="22">
        <f>Revenus!AL12</f>
        <v/>
      </c>
    </row>
    <row r="21">
      <c r="A21" s="6" t="inlineStr">
        <is>
          <t>Mémo — TVA déductible du mois (estimée)</t>
        </is>
      </c>
      <c r="C21" s="23">
        <f>(C10+C12)*Hypothèses!$C$6</f>
        <v/>
      </c>
      <c r="D21" s="23">
        <f>(D10+D12)*Hypothèses!$C$6</f>
        <v/>
      </c>
      <c r="E21" s="23">
        <f>(E10+E12)*Hypothèses!$C$6</f>
        <v/>
      </c>
      <c r="F21" s="23">
        <f>(F10+F12)*Hypothèses!$C$6</f>
        <v/>
      </c>
      <c r="G21" s="23">
        <f>(G10+G12)*Hypothèses!$C$6</f>
        <v/>
      </c>
      <c r="H21" s="23">
        <f>(H10+H12)*Hypothèses!$C$6</f>
        <v/>
      </c>
      <c r="I21" s="23">
        <f>(I10+I12)*Hypothèses!$C$6</f>
        <v/>
      </c>
      <c r="J21" s="23">
        <f>(J10+J12)*Hypothèses!$C$6</f>
        <v/>
      </c>
      <c r="K21" s="23">
        <f>(K10+K12)*Hypothèses!$C$6</f>
        <v/>
      </c>
      <c r="L21" s="23">
        <f>(L10+L12)*Hypothèses!$C$6</f>
        <v/>
      </c>
      <c r="M21" s="23">
        <f>(M10+M12)*Hypothèses!$C$6</f>
        <v/>
      </c>
      <c r="N21" s="23">
        <f>(N10+N12)*Hypothèses!$C$6</f>
        <v/>
      </c>
      <c r="O21" s="23">
        <f>(O10+O12)*Hypothèses!$C$6</f>
        <v/>
      </c>
      <c r="P21" s="23">
        <f>(P10+P12)*Hypothèses!$C$6</f>
        <v/>
      </c>
      <c r="Q21" s="23">
        <f>(Q10+Q12)*Hypothèses!$C$6</f>
        <v/>
      </c>
      <c r="R21" s="23">
        <f>(R10+R12)*Hypothèses!$C$6</f>
        <v/>
      </c>
      <c r="S21" s="23">
        <f>(S10+S12)*Hypothèses!$C$6</f>
        <v/>
      </c>
      <c r="T21" s="23">
        <f>(T10+T12)*Hypothèses!$C$6</f>
        <v/>
      </c>
      <c r="U21" s="23">
        <f>(U10+U12)*Hypothèses!$C$6</f>
        <v/>
      </c>
      <c r="V21" s="23">
        <f>(V10+V12)*Hypothèses!$C$6</f>
        <v/>
      </c>
      <c r="W21" s="23">
        <f>(W10+W12)*Hypothèses!$C$6</f>
        <v/>
      </c>
      <c r="X21" s="23">
        <f>(X10+X12)*Hypothèses!$C$6</f>
        <v/>
      </c>
      <c r="Y21" s="23">
        <f>(Y10+Y12)*Hypothèses!$C$6</f>
        <v/>
      </c>
      <c r="Z21" s="23">
        <f>(Z10+Z12)*Hypothèses!$C$6</f>
        <v/>
      </c>
      <c r="AA21" s="23">
        <f>(AA10+AA12)*Hypothèses!$C$6</f>
        <v/>
      </c>
      <c r="AB21" s="23">
        <f>(AB10+AB12)*Hypothèses!$C$6</f>
        <v/>
      </c>
      <c r="AC21" s="23">
        <f>(AC10+AC12)*Hypothèses!$C$6</f>
        <v/>
      </c>
      <c r="AD21" s="23">
        <f>(AD10+AD12)*Hypothèses!$C$6</f>
        <v/>
      </c>
      <c r="AE21" s="23">
        <f>(AE10+AE12)*Hypothèses!$C$6</f>
        <v/>
      </c>
      <c r="AF21" s="23">
        <f>(AF10+AF12)*Hypothèses!$C$6</f>
        <v/>
      </c>
      <c r="AG21" s="23">
        <f>(AG10+AG12)*Hypothèses!$C$6</f>
        <v/>
      </c>
      <c r="AH21" s="23">
        <f>(AH10+AH12)*Hypothèses!$C$6</f>
        <v/>
      </c>
      <c r="AI21" s="23">
        <f>(AI10+AI12)*Hypothèses!$C$6</f>
        <v/>
      </c>
      <c r="AJ21" s="23">
        <f>(AJ10+AJ12)*Hypothèses!$C$6</f>
        <v/>
      </c>
      <c r="AK21" s="23">
        <f>(AK10+AK12)*Hypothèses!$C$6</f>
        <v/>
      </c>
      <c r="AL21" s="23">
        <f>(AL10+AL12)*Hypothèses!$C$6</f>
        <v/>
      </c>
    </row>
    <row r="22">
      <c r="A22" s="6" t="inlineStr">
        <is>
          <t>Mémo — TVA nette du mois</t>
        </is>
      </c>
      <c r="C22" s="23">
        <f>C20-C21</f>
        <v/>
      </c>
      <c r="D22" s="23">
        <f>D20-D21</f>
        <v/>
      </c>
      <c r="E22" s="23">
        <f>E20-E21</f>
        <v/>
      </c>
      <c r="F22" s="23">
        <f>F20-F21</f>
        <v/>
      </c>
      <c r="G22" s="23">
        <f>G20-G21</f>
        <v/>
      </c>
      <c r="H22" s="23">
        <f>H20-H21</f>
        <v/>
      </c>
      <c r="I22" s="23">
        <f>I20-I21</f>
        <v/>
      </c>
      <c r="J22" s="23">
        <f>J20-J21</f>
        <v/>
      </c>
      <c r="K22" s="23">
        <f>K20-K21</f>
        <v/>
      </c>
      <c r="L22" s="23">
        <f>L20-L21</f>
        <v/>
      </c>
      <c r="M22" s="23">
        <f>M20-M21</f>
        <v/>
      </c>
      <c r="N22" s="23">
        <f>N20-N21</f>
        <v/>
      </c>
      <c r="O22" s="23">
        <f>O20-O21</f>
        <v/>
      </c>
      <c r="P22" s="23">
        <f>P20-P21</f>
        <v/>
      </c>
      <c r="Q22" s="23">
        <f>Q20-Q21</f>
        <v/>
      </c>
      <c r="R22" s="23">
        <f>R20-R21</f>
        <v/>
      </c>
      <c r="S22" s="23">
        <f>S20-S21</f>
        <v/>
      </c>
      <c r="T22" s="23">
        <f>T20-T21</f>
        <v/>
      </c>
      <c r="U22" s="23">
        <f>U20-U21</f>
        <v/>
      </c>
      <c r="V22" s="23">
        <f>V20-V21</f>
        <v/>
      </c>
      <c r="W22" s="23">
        <f>W20-W21</f>
        <v/>
      </c>
      <c r="X22" s="23">
        <f>X20-X21</f>
        <v/>
      </c>
      <c r="Y22" s="23">
        <f>Y20-Y21</f>
        <v/>
      </c>
      <c r="Z22" s="23">
        <f>Z20-Z21</f>
        <v/>
      </c>
      <c r="AA22" s="23">
        <f>AA20-AA21</f>
        <v/>
      </c>
      <c r="AB22" s="23">
        <f>AB20-AB21</f>
        <v/>
      </c>
      <c r="AC22" s="23">
        <f>AC20-AC21</f>
        <v/>
      </c>
      <c r="AD22" s="23">
        <f>AD20-AD21</f>
        <v/>
      </c>
      <c r="AE22" s="23">
        <f>AE20-AE21</f>
        <v/>
      </c>
      <c r="AF22" s="23">
        <f>AF20-AF21</f>
        <v/>
      </c>
      <c r="AG22" s="23">
        <f>AG20-AG21</f>
        <v/>
      </c>
      <c r="AH22" s="23">
        <f>AH20-AH21</f>
        <v/>
      </c>
      <c r="AI22" s="23">
        <f>AI20-AI21</f>
        <v/>
      </c>
      <c r="AJ22" s="23">
        <f>AJ20-AJ21</f>
        <v/>
      </c>
      <c r="AK22" s="23">
        <f>AK20-AK21</f>
        <v/>
      </c>
      <c r="AL22" s="23">
        <f>AL20-AL21</f>
        <v/>
      </c>
    </row>
  </sheetData>
  <mergeCells count="7">
    <mergeCell ref="AA3:AL3"/>
    <mergeCell ref="O3:Z3"/>
    <mergeCell ref="A2:O2"/>
    <mergeCell ref="A9:AP9"/>
    <mergeCell ref="A6:AP6"/>
    <mergeCell ref="A1:O1"/>
    <mergeCell ref="C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56" customWidth="1" min="4" max="4"/>
  </cols>
  <sheetData>
    <row r="1" ht="22" customHeight="1">
      <c r="A1" s="1" t="inlineStr">
        <is>
          <t>Boulangerie — Benchmarks &amp; sources</t>
        </is>
      </c>
    </row>
    <row r="2" ht="16" customHeight="1">
      <c r="A2" s="2" t="inlineStr">
        <is>
          <t>Ratios sectoriels retenus pour construire les hypothèses du modèle</t>
        </is>
      </c>
    </row>
    <row r="3" ht="30" customHeight="1">
      <c r="A3" s="21" t="inlineStr">
        <is>
          <t>Indicateur</t>
        </is>
      </c>
      <c r="B3" s="21" t="inlineStr">
        <is>
          <t>Valeur retenue</t>
        </is>
      </c>
      <c r="C3" s="21" t="inlineStr">
        <is>
          <t>Source</t>
        </is>
      </c>
      <c r="D3" s="21" t="inlineStr">
        <is>
          <t>Commentaire</t>
        </is>
      </c>
    </row>
    <row r="4" ht="32" customHeight="1">
      <c r="A4" s="42" t="inlineStr">
        <is>
          <t>Chiffre d'affaires annuel moyen</t>
        </is>
      </c>
      <c r="B4" s="42" t="inlineStr">
        <is>
          <t>≈ 310 000 € HT</t>
        </is>
      </c>
      <c r="C4" s="42" t="inlineStr">
        <is>
          <t>L'Expert-Comptable / Cerfrance — Observatoire boulangerie-pâtisserie 2024-2025</t>
        </is>
      </c>
      <c r="D4" s="43" t="inlineStr">
        <is>
          <t>Valeur utilisée comme CA Année 1 du modèle.</t>
        </is>
      </c>
    </row>
    <row r="5" ht="32" customHeight="1">
      <c r="A5" s="42" t="inlineStr">
        <is>
          <t>Marge brute (CA − matières)</t>
        </is>
      </c>
      <c r="B5" s="42" t="inlineStr">
        <is>
          <t>65 à 73 %</t>
        </is>
      </c>
      <c r="C5" s="42" t="inlineStr">
        <is>
          <t>L-expert-comptable.com ; Compta-Online ; Coopeo</t>
        </is>
      </c>
      <c r="D5" s="43" t="inlineStr">
        <is>
          <t>Marge brute en compression (70%→&lt;65% entre 2023 et 2025) ; modèle obtenu ≈ 65-68% en Année 1, en légère baisse sur 3 ans (inflation achats &gt; croissance CA).</t>
        </is>
      </c>
    </row>
    <row r="6" ht="32" customHeight="1">
      <c r="A6" s="42" t="inlineStr">
        <is>
          <t>Marge nette</t>
        </is>
      </c>
      <c r="B6" s="42" t="inlineStr">
        <is>
          <t>3 à 7 % du CA</t>
        </is>
      </c>
      <c r="C6" s="42" t="inlineStr">
        <is>
          <t>L-expert-comptable.com / Fullsoon</t>
        </is>
      </c>
      <c r="D6" s="43" t="inlineStr">
        <is>
          <t>Cible de résultat net avant IS dans le modèle, en haut de fourchette en Année 1.</t>
        </is>
      </c>
    </row>
    <row r="7" ht="32" customHeight="1">
      <c r="A7" s="42" t="inlineStr">
        <is>
          <t>Charges courantes hors énergie/personnel</t>
        </is>
      </c>
      <c r="B7" s="42" t="inlineStr">
        <is>
          <t>11 à 20 % du CA</t>
        </is>
      </c>
      <c r="C7" s="42" t="inlineStr">
        <is>
          <t>L-expert-comptable.com</t>
        </is>
      </c>
      <c r="D7" s="43" t="inlineStr">
        <is>
          <t>Recoupe le poste « Charges fixes » du modèle.</t>
        </is>
      </c>
    </row>
    <row r="8" ht="32" customHeight="1">
      <c r="A8" s="42" t="inlineStr">
        <is>
          <t>Énergie</t>
        </is>
      </c>
      <c r="B8" s="42" t="inlineStr">
        <is>
          <t>≈ 5 % du CA</t>
        </is>
      </c>
      <c r="C8" s="42" t="inlineStr">
        <is>
          <t>L-expert-comptable.com</t>
        </is>
      </c>
      <c r="D8" s="43" t="inlineStr">
        <is>
          <t>Électricité ≈ 70% / Gaz ≈ 30% du poste énergie dans le modèle.</t>
        </is>
      </c>
    </row>
    <row r="9" ht="32" customHeight="1">
      <c r="A9" s="42" t="inlineStr">
        <is>
          <t>Masse salariale (salaires)</t>
        </is>
      </c>
      <c r="B9" s="42" t="inlineStr">
        <is>
          <t>≈ 17 % du CA</t>
        </is>
      </c>
      <c r="C9" s="42" t="inlineStr">
        <is>
          <t>L-expert-comptable.com</t>
        </is>
      </c>
      <c r="D9" s="43" t="inlineStr">
        <is>
          <t>Hors charges sociales du dirigeant (TNS), comptées séparément.</t>
        </is>
      </c>
    </row>
    <row r="10" ht="32" customHeight="1">
      <c r="A10" s="42" t="inlineStr">
        <is>
          <t>Charges sociales du boulanger (TNS)</t>
        </is>
      </c>
      <c r="B10" s="42" t="inlineStr">
        <is>
          <t>≈ 7 % du CA</t>
        </is>
      </c>
      <c r="C10" s="42" t="inlineStr">
        <is>
          <t>L-expert-comptable.com</t>
        </is>
      </c>
      <c r="D10" s="43" t="inlineStr">
        <is>
          <t>Modélisées en cotisation trimestrielle, inflatée chaque année.</t>
        </is>
      </c>
    </row>
    <row r="11" ht="32" customHeight="1">
      <c r="A11" s="42" t="inlineStr">
        <is>
          <t>Saisonnalité — août</t>
        </is>
      </c>
      <c r="B11" s="42" t="inlineStr">
        <is>
          <t>≈ -10 % à -25 % vs moyenne</t>
        </is>
      </c>
      <c r="C11" s="42" t="inlineStr">
        <is>
          <t>Modèles de Business Plan ; Observatoire de la franchise</t>
        </is>
      </c>
      <c r="D11" s="43" t="inlineStr">
        <is>
          <t>Indice 0,75 retenu (zone non touristique / congés) ; motif répété à l'identique chaque année.</t>
        </is>
      </c>
    </row>
    <row r="12" ht="32" customHeight="1">
      <c r="A12" s="42" t="inlineStr">
        <is>
          <t>Saisonnalité — décembre</t>
        </is>
      </c>
      <c r="B12" s="42" t="inlineStr">
        <is>
          <t>≈ +15 % vs moyenne</t>
        </is>
      </c>
      <c r="C12" s="42" t="inlineStr">
        <is>
          <t>Modèles de Business Plan</t>
        </is>
      </c>
      <c r="D12" s="43" t="inlineStr">
        <is>
          <t>Indice 1,18 retenu (fêtes de fin d'année).</t>
        </is>
      </c>
    </row>
    <row r="13" ht="32" customHeight="1">
      <c r="A13" s="42" t="inlineStr">
        <is>
          <t>Prix farine de blé (T55/T65)</t>
        </is>
      </c>
      <c r="B13" s="42" t="inlineStr">
        <is>
          <t>0,55 à 0,70 €/kg pro (sac 25kg ≈ 13-17€)</t>
        </is>
      </c>
      <c r="C13" s="42" t="inlineStr">
        <is>
          <t>Réussir / Maxi-Kebab — évolution prix farine 2025</t>
        </is>
      </c>
      <c r="D13" s="43" t="inlineStr">
        <is>
          <t>Placeholder — à connecter à l'API Alpha Vantage WHEAT.</t>
        </is>
      </c>
    </row>
    <row r="14" ht="32" customHeight="1">
      <c r="A14" s="42" t="inlineStr">
        <is>
          <t>Prix du blé tendre</t>
        </is>
      </c>
      <c r="B14" s="42" t="inlineStr">
        <is>
          <t>≈ 165 €/t (récolte 2025)</t>
        </is>
      </c>
      <c r="C14" s="42" t="inlineStr">
        <is>
          <t>La France Agricole</t>
        </is>
      </c>
      <c r="D14" s="43" t="inlineStr">
        <is>
          <t>Indice de référence pour actualiser le prix farine via API.</t>
        </is>
      </c>
    </row>
    <row r="15" ht="32" customHeight="1">
      <c r="A15" s="42" t="inlineStr">
        <is>
          <t>Sucre</t>
        </is>
      </c>
      <c r="B15" s="42" t="inlineStr">
        <is>
          <t>Cotation marché mondial</t>
        </is>
      </c>
      <c r="C15" s="42" t="inlineStr">
        <is>
          <t>Alpha Vantage SUGAR</t>
        </is>
      </c>
      <c r="D15" s="43" t="inlineStr">
        <is>
          <t>Placeholder, prix à actualiser via API.</t>
        </is>
      </c>
    </row>
    <row r="16" ht="32" customHeight="1">
      <c r="A16" s="42" t="inlineStr">
        <is>
          <t>Électricité Tarif Bleu Pro (Base, ≤36kVA)</t>
        </is>
      </c>
      <c r="B16" s="42" t="inlineStr">
        <is>
          <t>0,1583 €/kWh HT (depuis 02/2025)</t>
        </is>
      </c>
      <c r="C16" s="42" t="inlineStr">
        <is>
          <t>Opéra Énergie / Selectra</t>
        </is>
      </c>
      <c r="D16" s="43" t="inlineStr">
        <is>
          <t>Utilisé comme prix placeholder électricité en Année 1, inflaté ensuite à 3,5%/an.</t>
        </is>
      </c>
    </row>
    <row r="17" ht="32" customHeight="1">
      <c r="A17" s="42" t="inlineStr">
        <is>
          <t>API de prix de marché disponibles (gratuites)</t>
        </is>
      </c>
      <c r="B17" s="42" t="inlineStr">
        <is>
          <t>Alpha Vantage (clé demo) : WHEAT, CORN, SUGAR, WTI, BRENT, NATURAL_GAS, COPPER, ALUMINUM, COFFEE, COTTON</t>
        </is>
      </c>
      <c r="C17" s="42" t="inlineStr">
        <is>
          <t>https://www.alphavantage.co/query?function=WHEAT&amp;interval=monthly&amp;apikey=demo</t>
        </is>
      </c>
      <c r="D17" s="43" t="inlineStr">
        <is>
          <t>À connecter sur les lignes en fond orange.</t>
        </is>
      </c>
    </row>
    <row r="18" ht="32" customHeight="1">
      <c r="A18" s="42" t="inlineStr">
        <is>
          <t>Données énergie France</t>
        </is>
      </c>
      <c r="B18" s="42" t="inlineStr">
        <is>
          <t>SDES (ex-Pégase) — prix moyens électricité/gaz</t>
        </is>
      </c>
      <c r="C18" s="42" t="inlineStr">
        <is>
          <t>https://www.statistiques.developpement-durable.gouv.fr</t>
        </is>
      </c>
      <c r="D18" s="43" t="inlineStr">
        <is>
          <t>Source à privilégier pour actualiser les prix élec/gaz France.</t>
        </is>
      </c>
    </row>
    <row r="19" ht="32" customHeight="1">
      <c r="A19" s="42" t="inlineStr">
        <is>
          <t>Cacao (proxy chocolat de couverture)</t>
        </is>
      </c>
      <c r="B19" s="42" t="inlineStr">
        <is>
          <t>Banque Mondiale — Pink Sheet (commodités mensuelles)</t>
        </is>
      </c>
      <c r="C19" s="42" t="inlineStr">
        <is>
          <t>https://www.worldbank.org/en/research/commodity-markets</t>
        </is>
      </c>
      <c r="D19" s="43" t="inlineStr">
        <is>
          <t>Utilisé comme référence pour actualiser le prix du chocolat.</t>
        </is>
      </c>
    </row>
    <row r="20" ht="32" customHeight="1">
      <c r="A20" s="42" t="inlineStr">
        <is>
          <t>Hausse des coûts non répercutée 1-pour-1</t>
        </is>
      </c>
      <c r="B20" s="42" t="inlineStr">
        <is>
          <t>Pression sur les marges du secteur (coûts matières/énergie en hausse, prix de vente contraints par la concurrence)</t>
        </is>
      </c>
      <c r="C20" s="42" t="inlineStr">
        <is>
          <t>Synthèse des sources ci-dessus</t>
        </is>
      </c>
      <c r="D20" s="43" t="inlineStr">
        <is>
          <t>Modélisé par : croissance CA 2,5%/an &lt; inflation achats 3%/an (hypothèses modifiables en Hypothèses!C13/C14).</t>
        </is>
      </c>
    </row>
    <row r="21" ht="32" customHeight="1">
      <c r="A21" s="42" t="inlineStr">
        <is>
          <t>Simulation des prix de marché mensuels</t>
        </is>
      </c>
      <c r="B21" s="42" t="inlineStr">
        <is>
          <t>Marche aléatoire calibrée (drift + volatilité) autour des niveaux de prix sourcés ci-dessus</t>
        </is>
      </c>
      <c r="C21" s="42" t="inlineStr">
        <is>
          <t>Méthodologie interne (fonction simulate_price_series)</t>
        </is>
      </c>
      <c r="D21" s="43" t="inlineStr">
        <is>
          <t>Remplace une inflation lissée par une vraie variation mois par mois sur les lignes farine, sucre, chocolat, électricité, gaz — à reconnecter à un fetch API live pour des valeurs réelles à jour.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2026-06-27T15:24:54Z</dcterms:created>
  <dcterms:modified xsi:type="dcterms:W3CDTF">2026-06-27T15:24:54Z</dcterms:modified>
</cp:coreProperties>
</file>