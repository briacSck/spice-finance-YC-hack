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Revenus" sheetId="2" state="visible" r:id="rId2"/>
    <sheet name="Depenses detaillees" sheetId="3" state="visible" r:id="rId3"/>
    <sheet name="Plan de tresorerie" sheetId="4" state="visible" r:id="rId4"/>
    <sheet name="Market data" sheetId="5" state="visible" r:id="rId5"/>
    <sheet name="Benchmark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b val="1"/>
      <color rgb="00111827"/>
    </font>
    <font>
      <name val="Calibri"/>
      <family val="2"/>
      <color theme="10"/>
      <sz val="12"/>
      <scheme val="minor"/>
    </font>
    <font>
      <name val="Aptos"/>
      <family val="2"/>
      <color rgb="00111827"/>
      <sz val="11"/>
      <scheme val="minor"/>
    </font>
    <font>
      <name val="Aptos Display"/>
      <b val="1"/>
      <color rgb="00FFFFFF"/>
      <sz val="16"/>
    </font>
    <font>
      <name val="Aptos"/>
      <i val="1"/>
      <color rgb="006B7280"/>
      <sz val="10"/>
    </font>
    <font>
      <name val="Aptos"/>
      <family val="2"/>
      <color rgb="00111827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DDEBFF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94A3B8"/>
      </top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5" fillId="8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7" fillId="0" borderId="0" applyAlignment="1" pivotButton="0" quotePrefix="0" xfId="1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bdm.insee.fr/series/sdmx/dataflow" TargetMode="External" Id="rId1" /><Relationship Type="http://schemas.openxmlformats.org/officeDocument/2006/relationships/hyperlink" Target="https://www.insee.fr/fr/information/2862759" TargetMode="External" Id="rId2" /><Relationship Type="http://schemas.openxmlformats.org/officeDocument/2006/relationships/hyperlink" Target="https://www.worldbank.org/en/research/commodity-markets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inlineStr">
        <is>
          <t>Menuiserie Bois - Hypotheses</t>
        </is>
      </c>
      <c r="K1" s="1" t="n"/>
      <c r="L1" s="1" t="n"/>
      <c r="M1" s="1" t="n"/>
      <c r="N1" s="1" t="n"/>
    </row>
    <row r="2" ht="20" customHeight="1">
      <c r="A2" s="2" t="inlineStr">
        <is>
          <t>Metier: Industrial SME profile inferred from the business description. | Archetype: woodworking | CA cible A1: 1,500,000 EUR | Blue cells are editable</t>
        </is>
      </c>
      <c r="K2" s="2" t="n"/>
      <c r="L2" s="2" t="n"/>
      <c r="M2" s="2" t="n"/>
      <c r="N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0" customHeight="1">
      <c r="A4" s="3" t="inlineStr">
        <is>
          <t>Chiffre d'affaires annuel HT - Annee 1 (EUR)</t>
        </is>
      </c>
      <c r="B4" s="3" t="n"/>
      <c r="C4" s="4" t="n">
        <v>1500000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" customHeight="1">
      <c r="A5" s="3" t="inlineStr">
        <is>
          <t>Taux de TVA moyen sur les ventes</t>
        </is>
      </c>
      <c r="B5" s="3" t="n"/>
      <c r="C5" s="4" t="n">
        <v>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20" customHeight="1">
      <c r="A6" s="3" t="inlineStr">
        <is>
          <t>Taux de TVA moyen sur les achats</t>
        </is>
      </c>
      <c r="B6" s="3" t="n"/>
      <c r="C6" s="4" t="n">
        <v>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3" t="inlineStr">
        <is>
          <t>Tresorerie disponible au 1er janvier A1 (EUR)</t>
        </is>
      </c>
      <c r="B7" s="3" t="n"/>
      <c r="C7" s="4" t="n">
        <v>82500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20" customHeight="1">
      <c r="A8" s="3" t="inlineStr">
        <is>
          <t>Cotisations sociales dirigeant - par trimestre A1 (EUR)</t>
        </is>
      </c>
      <c r="B8" s="3" t="n"/>
      <c r="C8" s="4" t="n">
        <v>27000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20" customHeight="1">
      <c r="A9" s="3" t="inlineStr">
        <is>
          <t>Remboursement emprunt materiel - mensualite fixe (EUR)</t>
        </is>
      </c>
      <c r="B9" s="3" t="n"/>
      <c r="C9" s="4" t="n">
        <v>15000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0" customHeight="1">
      <c r="A10" s="3" t="inlineStr">
        <is>
          <t>Part du CA encaissee le mois meme</t>
        </is>
      </c>
      <c r="B10" s="3" t="n"/>
      <c r="C10" s="4" t="n">
        <v>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20" customHeight="1">
      <c r="A11" s="3" t="inlineStr">
        <is>
          <t>Part du CA encaissee a M-1</t>
        </is>
      </c>
      <c r="B11" s="3" t="n"/>
      <c r="C11" s="4" t="n">
        <v>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20" customHeight="1">
      <c r="A12" s="3" t="inlineStr">
        <is>
          <t>Part du CA encaissee a M-2</t>
        </is>
      </c>
      <c r="B12" s="3" t="n"/>
      <c r="C12" s="4" t="n">
        <v>0</v>
      </c>
      <c r="D12" s="3" t="inlineStr">
        <is>
          <t>Control should equal 100%</t>
        </is>
      </c>
      <c r="E12" s="5">
        <f>SUM(C10:C12)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20" customHeight="1">
      <c r="A13" s="3" t="inlineStr">
        <is>
          <t>Taux de croissance du CA - par an</t>
        </is>
      </c>
      <c r="B13" s="3" t="n"/>
      <c r="C13" s="4" t="n">
        <v>0.03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20" customHeight="1">
      <c r="A14" s="3" t="inlineStr">
        <is>
          <t>Taux d'inflation des prix d'achat - par an</t>
        </is>
      </c>
      <c r="B14" s="3" t="n"/>
      <c r="C14" s="4" t="n">
        <v>0.035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20" customHeight="1">
      <c r="A16" s="3" t="inlineStr">
        <is>
          <t>Month pattern repeated every year</t>
        </is>
      </c>
      <c r="B16" s="3" t="n"/>
      <c r="C16" s="3" t="inlineStr">
        <is>
          <t>Jan</t>
        </is>
      </c>
      <c r="D16" s="3" t="inlineStr">
        <is>
          <t>Feb</t>
        </is>
      </c>
      <c r="E16" s="3" t="inlineStr">
        <is>
          <t>Mar</t>
        </is>
      </c>
      <c r="F16" s="3" t="inlineStr">
        <is>
          <t>Apr</t>
        </is>
      </c>
      <c r="G16" s="3" t="inlineStr">
        <is>
          <t>May</t>
        </is>
      </c>
      <c r="H16" s="3" t="inlineStr">
        <is>
          <t>Jun</t>
        </is>
      </c>
      <c r="I16" s="3" t="inlineStr">
        <is>
          <t>Jul</t>
        </is>
      </c>
      <c r="J16" s="3" t="inlineStr">
        <is>
          <t>Aug</t>
        </is>
      </c>
      <c r="K16" s="3" t="inlineStr">
        <is>
          <t>Sep</t>
        </is>
      </c>
      <c r="L16" s="3" t="inlineStr">
        <is>
          <t>Oct</t>
        </is>
      </c>
      <c r="M16" s="3" t="inlineStr">
        <is>
          <t>Nov</t>
        </is>
      </c>
      <c r="N16" s="3" t="inlineStr">
        <is>
          <t>Dec</t>
        </is>
      </c>
    </row>
    <row r="17" ht="20" customHeight="1">
      <c r="A17" s="3" t="inlineStr">
        <is>
          <t>Seasonality index (1 = average month)</t>
        </is>
      </c>
      <c r="B17" s="3" t="n"/>
      <c r="C17" s="4" t="n">
        <v>1.02</v>
      </c>
      <c r="D17" s="4" t="n">
        <v>0.96</v>
      </c>
      <c r="E17" s="4" t="n">
        <v>0.98</v>
      </c>
      <c r="F17" s="4" t="n">
        <v>1</v>
      </c>
      <c r="G17" s="4" t="n">
        <v>1.02</v>
      </c>
      <c r="H17" s="4" t="n">
        <v>1.03</v>
      </c>
      <c r="I17" s="4" t="n">
        <v>1.04</v>
      </c>
      <c r="J17" s="4" t="n">
        <v>0.88</v>
      </c>
      <c r="K17" s="4" t="n">
        <v>1.03</v>
      </c>
      <c r="L17" s="4" t="n">
        <v>1.05</v>
      </c>
      <c r="M17" s="4" t="n">
        <v>1.02</v>
      </c>
      <c r="N17" s="4" t="n">
        <v>1.07</v>
      </c>
    </row>
    <row r="18" ht="20" customHeight="1">
      <c r="A18" s="3" t="inlineStr">
        <is>
          <t>Month weight in year (normalized)</t>
        </is>
      </c>
      <c r="B18" s="3" t="n"/>
      <c r="C18" s="5">
        <f>C17/SUM($C$17:$N$17)</f>
        <v/>
      </c>
      <c r="D18" s="5">
        <f>D17/SUM($C$17:$N$17)</f>
        <v/>
      </c>
      <c r="E18" s="5">
        <f>E17/SUM($C$17:$N$17)</f>
        <v/>
      </c>
      <c r="F18" s="5">
        <f>F17/SUM($C$17:$N$17)</f>
        <v/>
      </c>
      <c r="G18" s="5">
        <f>G17/SUM($C$17:$N$17)</f>
        <v/>
      </c>
      <c r="H18" s="5">
        <f>H17/SUM($C$17:$N$17)</f>
        <v/>
      </c>
      <c r="I18" s="5">
        <f>I17/SUM($C$17:$N$17)</f>
        <v/>
      </c>
      <c r="J18" s="5">
        <f>J17/SUM($C$17:$N$17)</f>
        <v/>
      </c>
      <c r="K18" s="5">
        <f>K17/SUM($C$17:$N$17)</f>
        <v/>
      </c>
      <c r="L18" s="5">
        <f>L17/SUM($C$17:$N$17)</f>
        <v/>
      </c>
      <c r="M18" s="5">
        <f>M17/SUM($C$17:$N$17)</f>
        <v/>
      </c>
      <c r="N18" s="5">
        <f>N17/SUM($C$17:$N$17)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20" customHeight="1">
      <c r="A21" s="3" t="inlineStr">
        <is>
          <t>v1 note: ratios and quantities are synthetic benchmark assumptions unless a source/API is explicitly listed.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20" customHeight="1">
      <c r="A22" s="3" t="inlineStr">
        <is>
          <t>Commodity-linked rows preserve realistic monthly variation. External series are normalized to the model unit price.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20" customHeight="1">
      <c r="A23" s="3" t="inlineStr">
        <is>
          <t>INSEE support is intentionally configurable by URL/series because exact indicators depend on the sector and use case.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20" customHeight="1">
      <c r="A25" s="3" t="inlineStr">
        <is>
          <t>Legend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20" customHeight="1">
      <c r="A26" s="3" t="inlineStr">
        <is>
          <t>Blue</t>
        </is>
      </c>
      <c r="B26" s="3" t="inlineStr">
        <is>
          <t>Editable assumption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20" customHeight="1">
      <c r="A27" s="3" t="inlineStr">
        <is>
          <t>Gray</t>
        </is>
      </c>
      <c r="B27" s="3" t="inlineStr">
        <is>
          <t>Formula calculated automatically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20" customHeight="1">
      <c r="A28" s="3" t="inlineStr">
        <is>
          <t>Light blue</t>
        </is>
      </c>
      <c r="B28" s="3" t="inlineStr">
        <is>
          <t>Link to another sheet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20" customHeight="1">
      <c r="A29" s="3" t="inlineStr">
        <is>
          <t>Yellow</t>
        </is>
      </c>
      <c r="B29" s="3" t="inlineStr">
        <is>
          <t>Source/API note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mergeCells count="5">
    <mergeCell ref="A1:J1"/>
    <mergeCell ref="A23:J23"/>
    <mergeCell ref="A22:J22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Menuiserie Bois - Revenus mensuels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Revenue streams x annual mix x seasonality x annual growth.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Source de revenus</t>
        </is>
      </c>
      <c r="B4" s="6" t="inlineStr">
        <is>
          <t>% du CA annuel</t>
        </is>
      </c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Production contracts</t>
        </is>
      </c>
      <c r="B5" s="4" t="n">
        <v>0.62</v>
      </c>
      <c r="C5" s="5">
        <f>'Hypotheses'!$C$4*$B5*'Hypotheses'!C$18*(1+'Hypotheses'!$C$13)^0</f>
        <v/>
      </c>
      <c r="D5" s="5">
        <f>'Hypotheses'!$C$4*$B5*'Hypotheses'!D$18*(1+'Hypotheses'!$C$13)^0</f>
        <v/>
      </c>
      <c r="E5" s="5">
        <f>'Hypotheses'!$C$4*$B5*'Hypotheses'!E$18*(1+'Hypotheses'!$C$13)^0</f>
        <v/>
      </c>
      <c r="F5" s="5">
        <f>'Hypotheses'!$C$4*$B5*'Hypotheses'!F$18*(1+'Hypotheses'!$C$13)^0</f>
        <v/>
      </c>
      <c r="G5" s="5">
        <f>'Hypotheses'!$C$4*$B5*'Hypotheses'!G$18*(1+'Hypotheses'!$C$13)^0</f>
        <v/>
      </c>
      <c r="H5" s="5">
        <f>'Hypotheses'!$C$4*$B5*'Hypotheses'!H$18*(1+'Hypotheses'!$C$13)^0</f>
        <v/>
      </c>
      <c r="I5" s="5">
        <f>'Hypotheses'!$C$4*$B5*'Hypotheses'!I$18*(1+'Hypotheses'!$C$13)^0</f>
        <v/>
      </c>
      <c r="J5" s="5">
        <f>'Hypotheses'!$C$4*$B5*'Hypotheses'!J$18*(1+'Hypotheses'!$C$13)^0</f>
        <v/>
      </c>
      <c r="K5" s="5">
        <f>'Hypotheses'!$C$4*$B5*'Hypotheses'!K$18*(1+'Hypotheses'!$C$13)^0</f>
        <v/>
      </c>
      <c r="L5" s="5">
        <f>'Hypotheses'!$C$4*$B5*'Hypotheses'!L$18*(1+'Hypotheses'!$C$13)^0</f>
        <v/>
      </c>
      <c r="M5" s="5">
        <f>'Hypotheses'!$C$4*$B5*'Hypotheses'!M$18*(1+'Hypotheses'!$C$13)^0</f>
        <v/>
      </c>
      <c r="N5" s="5">
        <f>'Hypotheses'!$C$4*$B5*'Hypotheses'!N$18*(1+'Hypotheses'!$C$13)^0</f>
        <v/>
      </c>
      <c r="O5" s="5">
        <f>'Hypotheses'!$C$4*$B5*'Hypotheses'!C$18*(1+'Hypotheses'!$C$13)^1</f>
        <v/>
      </c>
      <c r="P5" s="5">
        <f>'Hypotheses'!$C$4*$B5*'Hypotheses'!D$18*(1+'Hypotheses'!$C$13)^1</f>
        <v/>
      </c>
      <c r="Q5" s="5">
        <f>'Hypotheses'!$C$4*$B5*'Hypotheses'!E$18*(1+'Hypotheses'!$C$13)^1</f>
        <v/>
      </c>
      <c r="R5" s="5">
        <f>'Hypotheses'!$C$4*$B5*'Hypotheses'!F$18*(1+'Hypotheses'!$C$13)^1</f>
        <v/>
      </c>
      <c r="S5" s="5">
        <f>'Hypotheses'!$C$4*$B5*'Hypotheses'!G$18*(1+'Hypotheses'!$C$13)^1</f>
        <v/>
      </c>
      <c r="T5" s="5">
        <f>'Hypotheses'!$C$4*$B5*'Hypotheses'!H$18*(1+'Hypotheses'!$C$13)^1</f>
        <v/>
      </c>
      <c r="U5" s="5">
        <f>'Hypotheses'!$C$4*$B5*'Hypotheses'!I$18*(1+'Hypotheses'!$C$13)^1</f>
        <v/>
      </c>
      <c r="V5" s="5">
        <f>'Hypotheses'!$C$4*$B5*'Hypotheses'!J$18*(1+'Hypotheses'!$C$13)^1</f>
        <v/>
      </c>
      <c r="W5" s="5">
        <f>'Hypotheses'!$C$4*$B5*'Hypotheses'!K$18*(1+'Hypotheses'!$C$13)^1</f>
        <v/>
      </c>
      <c r="X5" s="5">
        <f>'Hypotheses'!$C$4*$B5*'Hypotheses'!L$18*(1+'Hypotheses'!$C$13)^1</f>
        <v/>
      </c>
      <c r="Y5" s="5">
        <f>'Hypotheses'!$C$4*$B5*'Hypotheses'!M$18*(1+'Hypotheses'!$C$13)^1</f>
        <v/>
      </c>
      <c r="Z5" s="5">
        <f>'Hypotheses'!$C$4*$B5*'Hypotheses'!N$18*(1+'Hypotheses'!$C$13)^1</f>
        <v/>
      </c>
      <c r="AA5" s="5">
        <f>'Hypotheses'!$C$4*$B5*'Hypotheses'!C$18*(1+'Hypotheses'!$C$13)^2</f>
        <v/>
      </c>
      <c r="AB5" s="5">
        <f>'Hypotheses'!$C$4*$B5*'Hypotheses'!D$18*(1+'Hypotheses'!$C$13)^2</f>
        <v/>
      </c>
      <c r="AC5" s="5">
        <f>'Hypotheses'!$C$4*$B5*'Hypotheses'!E$18*(1+'Hypotheses'!$C$13)^2</f>
        <v/>
      </c>
      <c r="AD5" s="5">
        <f>'Hypotheses'!$C$4*$B5*'Hypotheses'!F$18*(1+'Hypotheses'!$C$13)^2</f>
        <v/>
      </c>
      <c r="AE5" s="5">
        <f>'Hypotheses'!$C$4*$B5*'Hypotheses'!G$18*(1+'Hypotheses'!$C$13)^2</f>
        <v/>
      </c>
      <c r="AF5" s="5">
        <f>'Hypotheses'!$C$4*$B5*'Hypotheses'!H$18*(1+'Hypotheses'!$C$13)^2</f>
        <v/>
      </c>
      <c r="AG5" s="5">
        <f>'Hypotheses'!$C$4*$B5*'Hypotheses'!I$18*(1+'Hypotheses'!$C$13)^2</f>
        <v/>
      </c>
      <c r="AH5" s="5">
        <f>'Hypotheses'!$C$4*$B5*'Hypotheses'!J$18*(1+'Hypotheses'!$C$13)^2</f>
        <v/>
      </c>
      <c r="AI5" s="5">
        <f>'Hypotheses'!$C$4*$B5*'Hypotheses'!K$18*(1+'Hypotheses'!$C$13)^2</f>
        <v/>
      </c>
      <c r="AJ5" s="5">
        <f>'Hypotheses'!$C$4*$B5*'Hypotheses'!L$18*(1+'Hypotheses'!$C$13)^2</f>
        <v/>
      </c>
      <c r="AK5" s="5">
        <f>'Hypotheses'!$C$4*$B5*'Hypotheses'!M$18*(1+'Hypotheses'!$C$13)^2</f>
        <v/>
      </c>
      <c r="AL5" s="5">
        <f>'Hypotheses'!$C$4*$B5*'Hypotheses'!N$18*(1+'Hypotheses'!$C$13)^2</f>
        <v/>
      </c>
    </row>
    <row r="6" ht="20" customHeight="1">
      <c r="A6" s="3" t="inlineStr">
        <is>
          <t>Small series and custom jobs</t>
        </is>
      </c>
      <c r="B6" s="4" t="n">
        <v>0.24</v>
      </c>
      <c r="C6" s="5">
        <f>'Hypotheses'!$C$4*$B6*'Hypotheses'!C$18*(1+'Hypotheses'!$C$13)^0</f>
        <v/>
      </c>
      <c r="D6" s="5">
        <f>'Hypotheses'!$C$4*$B6*'Hypotheses'!D$18*(1+'Hypotheses'!$C$13)^0</f>
        <v/>
      </c>
      <c r="E6" s="5">
        <f>'Hypotheses'!$C$4*$B6*'Hypotheses'!E$18*(1+'Hypotheses'!$C$13)^0</f>
        <v/>
      </c>
      <c r="F6" s="5">
        <f>'Hypotheses'!$C$4*$B6*'Hypotheses'!F$18*(1+'Hypotheses'!$C$13)^0</f>
        <v/>
      </c>
      <c r="G6" s="5">
        <f>'Hypotheses'!$C$4*$B6*'Hypotheses'!G$18*(1+'Hypotheses'!$C$13)^0</f>
        <v/>
      </c>
      <c r="H6" s="5">
        <f>'Hypotheses'!$C$4*$B6*'Hypotheses'!H$18*(1+'Hypotheses'!$C$13)^0</f>
        <v/>
      </c>
      <c r="I6" s="5">
        <f>'Hypotheses'!$C$4*$B6*'Hypotheses'!I$18*(1+'Hypotheses'!$C$13)^0</f>
        <v/>
      </c>
      <c r="J6" s="5">
        <f>'Hypotheses'!$C$4*$B6*'Hypotheses'!J$18*(1+'Hypotheses'!$C$13)^0</f>
        <v/>
      </c>
      <c r="K6" s="5">
        <f>'Hypotheses'!$C$4*$B6*'Hypotheses'!K$18*(1+'Hypotheses'!$C$13)^0</f>
        <v/>
      </c>
      <c r="L6" s="5">
        <f>'Hypotheses'!$C$4*$B6*'Hypotheses'!L$18*(1+'Hypotheses'!$C$13)^0</f>
        <v/>
      </c>
      <c r="M6" s="5">
        <f>'Hypotheses'!$C$4*$B6*'Hypotheses'!M$18*(1+'Hypotheses'!$C$13)^0</f>
        <v/>
      </c>
      <c r="N6" s="5">
        <f>'Hypotheses'!$C$4*$B6*'Hypotheses'!N$18*(1+'Hypotheses'!$C$13)^0</f>
        <v/>
      </c>
      <c r="O6" s="5">
        <f>'Hypotheses'!$C$4*$B6*'Hypotheses'!C$18*(1+'Hypotheses'!$C$13)^1</f>
        <v/>
      </c>
      <c r="P6" s="5">
        <f>'Hypotheses'!$C$4*$B6*'Hypotheses'!D$18*(1+'Hypotheses'!$C$13)^1</f>
        <v/>
      </c>
      <c r="Q6" s="5">
        <f>'Hypotheses'!$C$4*$B6*'Hypotheses'!E$18*(1+'Hypotheses'!$C$13)^1</f>
        <v/>
      </c>
      <c r="R6" s="5">
        <f>'Hypotheses'!$C$4*$B6*'Hypotheses'!F$18*(1+'Hypotheses'!$C$13)^1</f>
        <v/>
      </c>
      <c r="S6" s="5">
        <f>'Hypotheses'!$C$4*$B6*'Hypotheses'!G$18*(1+'Hypotheses'!$C$13)^1</f>
        <v/>
      </c>
      <c r="T6" s="5">
        <f>'Hypotheses'!$C$4*$B6*'Hypotheses'!H$18*(1+'Hypotheses'!$C$13)^1</f>
        <v/>
      </c>
      <c r="U6" s="5">
        <f>'Hypotheses'!$C$4*$B6*'Hypotheses'!I$18*(1+'Hypotheses'!$C$13)^1</f>
        <v/>
      </c>
      <c r="V6" s="5">
        <f>'Hypotheses'!$C$4*$B6*'Hypotheses'!J$18*(1+'Hypotheses'!$C$13)^1</f>
        <v/>
      </c>
      <c r="W6" s="5">
        <f>'Hypotheses'!$C$4*$B6*'Hypotheses'!K$18*(1+'Hypotheses'!$C$13)^1</f>
        <v/>
      </c>
      <c r="X6" s="5">
        <f>'Hypotheses'!$C$4*$B6*'Hypotheses'!L$18*(1+'Hypotheses'!$C$13)^1</f>
        <v/>
      </c>
      <c r="Y6" s="5">
        <f>'Hypotheses'!$C$4*$B6*'Hypotheses'!M$18*(1+'Hypotheses'!$C$13)^1</f>
        <v/>
      </c>
      <c r="Z6" s="5">
        <f>'Hypotheses'!$C$4*$B6*'Hypotheses'!N$18*(1+'Hypotheses'!$C$13)^1</f>
        <v/>
      </c>
      <c r="AA6" s="5">
        <f>'Hypotheses'!$C$4*$B6*'Hypotheses'!C$18*(1+'Hypotheses'!$C$13)^2</f>
        <v/>
      </c>
      <c r="AB6" s="5">
        <f>'Hypotheses'!$C$4*$B6*'Hypotheses'!D$18*(1+'Hypotheses'!$C$13)^2</f>
        <v/>
      </c>
      <c r="AC6" s="5">
        <f>'Hypotheses'!$C$4*$B6*'Hypotheses'!E$18*(1+'Hypotheses'!$C$13)^2</f>
        <v/>
      </c>
      <c r="AD6" s="5">
        <f>'Hypotheses'!$C$4*$B6*'Hypotheses'!F$18*(1+'Hypotheses'!$C$13)^2</f>
        <v/>
      </c>
      <c r="AE6" s="5">
        <f>'Hypotheses'!$C$4*$B6*'Hypotheses'!G$18*(1+'Hypotheses'!$C$13)^2</f>
        <v/>
      </c>
      <c r="AF6" s="5">
        <f>'Hypotheses'!$C$4*$B6*'Hypotheses'!H$18*(1+'Hypotheses'!$C$13)^2</f>
        <v/>
      </c>
      <c r="AG6" s="5">
        <f>'Hypotheses'!$C$4*$B6*'Hypotheses'!I$18*(1+'Hypotheses'!$C$13)^2</f>
        <v/>
      </c>
      <c r="AH6" s="5">
        <f>'Hypotheses'!$C$4*$B6*'Hypotheses'!J$18*(1+'Hypotheses'!$C$13)^2</f>
        <v/>
      </c>
      <c r="AI6" s="5">
        <f>'Hypotheses'!$C$4*$B6*'Hypotheses'!K$18*(1+'Hypotheses'!$C$13)^2</f>
        <v/>
      </c>
      <c r="AJ6" s="5">
        <f>'Hypotheses'!$C$4*$B6*'Hypotheses'!L$18*(1+'Hypotheses'!$C$13)^2</f>
        <v/>
      </c>
      <c r="AK6" s="5">
        <f>'Hypotheses'!$C$4*$B6*'Hypotheses'!M$18*(1+'Hypotheses'!$C$13)^2</f>
        <v/>
      </c>
      <c r="AL6" s="5">
        <f>'Hypotheses'!$C$4*$B6*'Hypotheses'!N$18*(1+'Hypotheses'!$C$13)^2</f>
        <v/>
      </c>
    </row>
    <row r="7" ht="20" customHeight="1">
      <c r="A7" s="3" t="inlineStr">
        <is>
          <t>Maintenance, tooling and services</t>
        </is>
      </c>
      <c r="B7" s="4" t="n">
        <v>0.14</v>
      </c>
      <c r="C7" s="5">
        <f>'Hypotheses'!$C$4*$B7*'Hypotheses'!C$18*(1+'Hypotheses'!$C$13)^0</f>
        <v/>
      </c>
      <c r="D7" s="5">
        <f>'Hypotheses'!$C$4*$B7*'Hypotheses'!D$18*(1+'Hypotheses'!$C$13)^0</f>
        <v/>
      </c>
      <c r="E7" s="5">
        <f>'Hypotheses'!$C$4*$B7*'Hypotheses'!E$18*(1+'Hypotheses'!$C$13)^0</f>
        <v/>
      </c>
      <c r="F7" s="5">
        <f>'Hypotheses'!$C$4*$B7*'Hypotheses'!F$18*(1+'Hypotheses'!$C$13)^0</f>
        <v/>
      </c>
      <c r="G7" s="5">
        <f>'Hypotheses'!$C$4*$B7*'Hypotheses'!G$18*(1+'Hypotheses'!$C$13)^0</f>
        <v/>
      </c>
      <c r="H7" s="5">
        <f>'Hypotheses'!$C$4*$B7*'Hypotheses'!H$18*(1+'Hypotheses'!$C$13)^0</f>
        <v/>
      </c>
      <c r="I7" s="5">
        <f>'Hypotheses'!$C$4*$B7*'Hypotheses'!I$18*(1+'Hypotheses'!$C$13)^0</f>
        <v/>
      </c>
      <c r="J7" s="5">
        <f>'Hypotheses'!$C$4*$B7*'Hypotheses'!J$18*(1+'Hypotheses'!$C$13)^0</f>
        <v/>
      </c>
      <c r="K7" s="5">
        <f>'Hypotheses'!$C$4*$B7*'Hypotheses'!K$18*(1+'Hypotheses'!$C$13)^0</f>
        <v/>
      </c>
      <c r="L7" s="5">
        <f>'Hypotheses'!$C$4*$B7*'Hypotheses'!L$18*(1+'Hypotheses'!$C$13)^0</f>
        <v/>
      </c>
      <c r="M7" s="5">
        <f>'Hypotheses'!$C$4*$B7*'Hypotheses'!M$18*(1+'Hypotheses'!$C$13)^0</f>
        <v/>
      </c>
      <c r="N7" s="5">
        <f>'Hypotheses'!$C$4*$B7*'Hypotheses'!N$18*(1+'Hypotheses'!$C$13)^0</f>
        <v/>
      </c>
      <c r="O7" s="5">
        <f>'Hypotheses'!$C$4*$B7*'Hypotheses'!C$18*(1+'Hypotheses'!$C$13)^1</f>
        <v/>
      </c>
      <c r="P7" s="5">
        <f>'Hypotheses'!$C$4*$B7*'Hypotheses'!D$18*(1+'Hypotheses'!$C$13)^1</f>
        <v/>
      </c>
      <c r="Q7" s="5">
        <f>'Hypotheses'!$C$4*$B7*'Hypotheses'!E$18*(1+'Hypotheses'!$C$13)^1</f>
        <v/>
      </c>
      <c r="R7" s="5">
        <f>'Hypotheses'!$C$4*$B7*'Hypotheses'!F$18*(1+'Hypotheses'!$C$13)^1</f>
        <v/>
      </c>
      <c r="S7" s="5">
        <f>'Hypotheses'!$C$4*$B7*'Hypotheses'!G$18*(1+'Hypotheses'!$C$13)^1</f>
        <v/>
      </c>
      <c r="T7" s="5">
        <f>'Hypotheses'!$C$4*$B7*'Hypotheses'!H$18*(1+'Hypotheses'!$C$13)^1</f>
        <v/>
      </c>
      <c r="U7" s="5">
        <f>'Hypotheses'!$C$4*$B7*'Hypotheses'!I$18*(1+'Hypotheses'!$C$13)^1</f>
        <v/>
      </c>
      <c r="V7" s="5">
        <f>'Hypotheses'!$C$4*$B7*'Hypotheses'!J$18*(1+'Hypotheses'!$C$13)^1</f>
        <v/>
      </c>
      <c r="W7" s="5">
        <f>'Hypotheses'!$C$4*$B7*'Hypotheses'!K$18*(1+'Hypotheses'!$C$13)^1</f>
        <v/>
      </c>
      <c r="X7" s="5">
        <f>'Hypotheses'!$C$4*$B7*'Hypotheses'!L$18*(1+'Hypotheses'!$C$13)^1</f>
        <v/>
      </c>
      <c r="Y7" s="5">
        <f>'Hypotheses'!$C$4*$B7*'Hypotheses'!M$18*(1+'Hypotheses'!$C$13)^1</f>
        <v/>
      </c>
      <c r="Z7" s="5">
        <f>'Hypotheses'!$C$4*$B7*'Hypotheses'!N$18*(1+'Hypotheses'!$C$13)^1</f>
        <v/>
      </c>
      <c r="AA7" s="5">
        <f>'Hypotheses'!$C$4*$B7*'Hypotheses'!C$18*(1+'Hypotheses'!$C$13)^2</f>
        <v/>
      </c>
      <c r="AB7" s="5">
        <f>'Hypotheses'!$C$4*$B7*'Hypotheses'!D$18*(1+'Hypotheses'!$C$13)^2</f>
        <v/>
      </c>
      <c r="AC7" s="5">
        <f>'Hypotheses'!$C$4*$B7*'Hypotheses'!E$18*(1+'Hypotheses'!$C$13)^2</f>
        <v/>
      </c>
      <c r="AD7" s="5">
        <f>'Hypotheses'!$C$4*$B7*'Hypotheses'!F$18*(1+'Hypotheses'!$C$13)^2</f>
        <v/>
      </c>
      <c r="AE7" s="5">
        <f>'Hypotheses'!$C$4*$B7*'Hypotheses'!G$18*(1+'Hypotheses'!$C$13)^2</f>
        <v/>
      </c>
      <c r="AF7" s="5">
        <f>'Hypotheses'!$C$4*$B7*'Hypotheses'!H$18*(1+'Hypotheses'!$C$13)^2</f>
        <v/>
      </c>
      <c r="AG7" s="5">
        <f>'Hypotheses'!$C$4*$B7*'Hypotheses'!I$18*(1+'Hypotheses'!$C$13)^2</f>
        <v/>
      </c>
      <c r="AH7" s="5">
        <f>'Hypotheses'!$C$4*$B7*'Hypotheses'!J$18*(1+'Hypotheses'!$C$13)^2</f>
        <v/>
      </c>
      <c r="AI7" s="5">
        <f>'Hypotheses'!$C$4*$B7*'Hypotheses'!K$18*(1+'Hypotheses'!$C$13)^2</f>
        <v/>
      </c>
      <c r="AJ7" s="5">
        <f>'Hypotheses'!$C$4*$B7*'Hypotheses'!L$18*(1+'Hypotheses'!$C$13)^2</f>
        <v/>
      </c>
      <c r="AK7" s="5">
        <f>'Hypotheses'!$C$4*$B7*'Hypotheses'!M$18*(1+'Hypotheses'!$C$13)^2</f>
        <v/>
      </c>
      <c r="AL7" s="5">
        <f>'Hypotheses'!$C$4*$B7*'Hypotheses'!N$18*(1+'Hypotheses'!$C$13)^2</f>
        <v/>
      </c>
    </row>
    <row r="8" ht="20" customHeight="1">
      <c r="A8" s="7" t="inlineStr">
        <is>
          <t>TOTAL CA HT</t>
        </is>
      </c>
      <c r="B8" s="7" t="n"/>
      <c r="C8" s="7">
        <f>SUM(C5:C7)</f>
        <v/>
      </c>
      <c r="D8" s="7">
        <f>SUM(D5:D7)</f>
        <v/>
      </c>
      <c r="E8" s="7">
        <f>SUM(E5:E7)</f>
        <v/>
      </c>
      <c r="F8" s="7">
        <f>SUM(F5:F7)</f>
        <v/>
      </c>
      <c r="G8" s="7">
        <f>SUM(G5:G7)</f>
        <v/>
      </c>
      <c r="H8" s="7">
        <f>SUM(H5:H7)</f>
        <v/>
      </c>
      <c r="I8" s="7">
        <f>SUM(I5:I7)</f>
        <v/>
      </c>
      <c r="J8" s="7">
        <f>SUM(J5:J7)</f>
        <v/>
      </c>
      <c r="K8" s="7">
        <f>SUM(K5:K7)</f>
        <v/>
      </c>
      <c r="L8" s="7">
        <f>SUM(L5:L7)</f>
        <v/>
      </c>
      <c r="M8" s="7">
        <f>SUM(M5:M7)</f>
        <v/>
      </c>
      <c r="N8" s="7">
        <f>SUM(N5:N7)</f>
        <v/>
      </c>
      <c r="O8" s="7">
        <f>SUM(O5:O7)</f>
        <v/>
      </c>
      <c r="P8" s="7">
        <f>SUM(P5:P7)</f>
        <v/>
      </c>
      <c r="Q8" s="7">
        <f>SUM(Q5:Q7)</f>
        <v/>
      </c>
      <c r="R8" s="7">
        <f>SUM(R5:R7)</f>
        <v/>
      </c>
      <c r="S8" s="7">
        <f>SUM(S5:S7)</f>
        <v/>
      </c>
      <c r="T8" s="7">
        <f>SUM(T5:T7)</f>
        <v/>
      </c>
      <c r="U8" s="7">
        <f>SUM(U5:U7)</f>
        <v/>
      </c>
      <c r="V8" s="7">
        <f>SUM(V5:V7)</f>
        <v/>
      </c>
      <c r="W8" s="7">
        <f>SUM(W5:W7)</f>
        <v/>
      </c>
      <c r="X8" s="7">
        <f>SUM(X5:X7)</f>
        <v/>
      </c>
      <c r="Y8" s="7">
        <f>SUM(Y5:Y7)</f>
        <v/>
      </c>
      <c r="Z8" s="7">
        <f>SUM(Z5:Z7)</f>
        <v/>
      </c>
      <c r="AA8" s="7">
        <f>SUM(AA5:AA7)</f>
        <v/>
      </c>
      <c r="AB8" s="7">
        <f>SUM(AB5:AB7)</f>
        <v/>
      </c>
      <c r="AC8" s="7">
        <f>SUM(AC5:AC7)</f>
        <v/>
      </c>
      <c r="AD8" s="7">
        <f>SUM(AD5:AD7)</f>
        <v/>
      </c>
      <c r="AE8" s="7">
        <f>SUM(AE5:AE7)</f>
        <v/>
      </c>
      <c r="AF8" s="7">
        <f>SUM(AF5:AF7)</f>
        <v/>
      </c>
      <c r="AG8" s="7">
        <f>SUM(AG5:AG7)</f>
        <v/>
      </c>
      <c r="AH8" s="7">
        <f>SUM(AH5:AH7)</f>
        <v/>
      </c>
      <c r="AI8" s="7">
        <f>SUM(AI5:AI7)</f>
        <v/>
      </c>
      <c r="AJ8" s="7">
        <f>SUM(AJ5:AJ7)</f>
        <v/>
      </c>
      <c r="AK8" s="7">
        <f>SUM(AK5:AK7)</f>
        <v/>
      </c>
      <c r="AL8" s="7">
        <f>SUM(AL5:AL7)</f>
        <v/>
      </c>
    </row>
    <row r="9" ht="20" customHeight="1">
      <c r="A9" s="7" t="inlineStr">
        <is>
          <t>Control sum revenue mix</t>
        </is>
      </c>
      <c r="B9" s="8">
        <f>SUM(B5:B7)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7" t="inlineStr">
        <is>
          <t>TVA collectee sur les ventes</t>
        </is>
      </c>
      <c r="B10" s="7" t="n"/>
      <c r="C10" s="7">
        <f>C8*'Hypotheses'!$C$5</f>
        <v/>
      </c>
      <c r="D10" s="7">
        <f>D8*'Hypotheses'!$C$5</f>
        <v/>
      </c>
      <c r="E10" s="7">
        <f>E8*'Hypotheses'!$C$5</f>
        <v/>
      </c>
      <c r="F10" s="7">
        <f>F8*'Hypotheses'!$C$5</f>
        <v/>
      </c>
      <c r="G10" s="7">
        <f>G8*'Hypotheses'!$C$5</f>
        <v/>
      </c>
      <c r="H10" s="7">
        <f>H8*'Hypotheses'!$C$5</f>
        <v/>
      </c>
      <c r="I10" s="7">
        <f>I8*'Hypotheses'!$C$5</f>
        <v/>
      </c>
      <c r="J10" s="7">
        <f>J8*'Hypotheses'!$C$5</f>
        <v/>
      </c>
      <c r="K10" s="7">
        <f>K8*'Hypotheses'!$C$5</f>
        <v/>
      </c>
      <c r="L10" s="7">
        <f>L8*'Hypotheses'!$C$5</f>
        <v/>
      </c>
      <c r="M10" s="7">
        <f>M8*'Hypotheses'!$C$5</f>
        <v/>
      </c>
      <c r="N10" s="7">
        <f>N8*'Hypotheses'!$C$5</f>
        <v/>
      </c>
      <c r="O10" s="7">
        <f>O8*'Hypotheses'!$C$5</f>
        <v/>
      </c>
      <c r="P10" s="7">
        <f>P8*'Hypotheses'!$C$5</f>
        <v/>
      </c>
      <c r="Q10" s="7">
        <f>Q8*'Hypotheses'!$C$5</f>
        <v/>
      </c>
      <c r="R10" s="7">
        <f>R8*'Hypotheses'!$C$5</f>
        <v/>
      </c>
      <c r="S10" s="7">
        <f>S8*'Hypotheses'!$C$5</f>
        <v/>
      </c>
      <c r="T10" s="7">
        <f>T8*'Hypotheses'!$C$5</f>
        <v/>
      </c>
      <c r="U10" s="7">
        <f>U8*'Hypotheses'!$C$5</f>
        <v/>
      </c>
      <c r="V10" s="7">
        <f>V8*'Hypotheses'!$C$5</f>
        <v/>
      </c>
      <c r="W10" s="7">
        <f>W8*'Hypotheses'!$C$5</f>
        <v/>
      </c>
      <c r="X10" s="7">
        <f>X8*'Hypotheses'!$C$5</f>
        <v/>
      </c>
      <c r="Y10" s="7">
        <f>Y8*'Hypotheses'!$C$5</f>
        <v/>
      </c>
      <c r="Z10" s="7">
        <f>Z8*'Hypotheses'!$C$5</f>
        <v/>
      </c>
      <c r="AA10" s="7">
        <f>AA8*'Hypotheses'!$C$5</f>
        <v/>
      </c>
      <c r="AB10" s="7">
        <f>AB8*'Hypotheses'!$C$5</f>
        <v/>
      </c>
      <c r="AC10" s="7">
        <f>AC8*'Hypotheses'!$C$5</f>
        <v/>
      </c>
      <c r="AD10" s="7">
        <f>AD8*'Hypotheses'!$C$5</f>
        <v/>
      </c>
      <c r="AE10" s="7">
        <f>AE8*'Hypotheses'!$C$5</f>
        <v/>
      </c>
      <c r="AF10" s="7">
        <f>AF8*'Hypotheses'!$C$5</f>
        <v/>
      </c>
      <c r="AG10" s="7">
        <f>AG8*'Hypotheses'!$C$5</f>
        <v/>
      </c>
      <c r="AH10" s="7">
        <f>AH8*'Hypotheses'!$C$5</f>
        <v/>
      </c>
      <c r="AI10" s="7">
        <f>AI8*'Hypotheses'!$C$5</f>
        <v/>
      </c>
      <c r="AJ10" s="7">
        <f>AJ8*'Hypotheses'!$C$5</f>
        <v/>
      </c>
      <c r="AK10" s="7">
        <f>AK8*'Hypotheses'!$C$5</f>
        <v/>
      </c>
      <c r="AL10" s="7">
        <f>AL8*'Hypotheses'!$C$5</f>
        <v/>
      </c>
    </row>
    <row r="11" ht="20" customHeight="1">
      <c r="A11" s="7" t="inlineStr">
        <is>
          <t>CA TTC encaissable</t>
        </is>
      </c>
      <c r="B11" s="7" t="n"/>
      <c r="C11" s="7">
        <f>C8+C10</f>
        <v/>
      </c>
      <c r="D11" s="7">
        <f>D8+D10</f>
        <v/>
      </c>
      <c r="E11" s="7">
        <f>E8+E10</f>
        <v/>
      </c>
      <c r="F11" s="7">
        <f>F8+F10</f>
        <v/>
      </c>
      <c r="G11" s="7">
        <f>G8+G10</f>
        <v/>
      </c>
      <c r="H11" s="7">
        <f>H8+H10</f>
        <v/>
      </c>
      <c r="I11" s="7">
        <f>I8+I10</f>
        <v/>
      </c>
      <c r="J11" s="7">
        <f>J8+J10</f>
        <v/>
      </c>
      <c r="K11" s="7">
        <f>K8+K10</f>
        <v/>
      </c>
      <c r="L11" s="7">
        <f>L8+L10</f>
        <v/>
      </c>
      <c r="M11" s="7">
        <f>M8+M10</f>
        <v/>
      </c>
      <c r="N11" s="7">
        <f>N8+N10</f>
        <v/>
      </c>
      <c r="O11" s="7">
        <f>O8+O10</f>
        <v/>
      </c>
      <c r="P11" s="7">
        <f>P8+P10</f>
        <v/>
      </c>
      <c r="Q11" s="7">
        <f>Q8+Q10</f>
        <v/>
      </c>
      <c r="R11" s="7">
        <f>R8+R10</f>
        <v/>
      </c>
      <c r="S11" s="7">
        <f>S8+S10</f>
        <v/>
      </c>
      <c r="T11" s="7">
        <f>T8+T10</f>
        <v/>
      </c>
      <c r="U11" s="7">
        <f>U8+U10</f>
        <v/>
      </c>
      <c r="V11" s="7">
        <f>V8+V10</f>
        <v/>
      </c>
      <c r="W11" s="7">
        <f>W8+W10</f>
        <v/>
      </c>
      <c r="X11" s="7">
        <f>X8+X10</f>
        <v/>
      </c>
      <c r="Y11" s="7">
        <f>Y8+Y10</f>
        <v/>
      </c>
      <c r="Z11" s="7">
        <f>Z8+Z10</f>
        <v/>
      </c>
      <c r="AA11" s="7">
        <f>AA8+AA10</f>
        <v/>
      </c>
      <c r="AB11" s="7">
        <f>AB8+AB10</f>
        <v/>
      </c>
      <c r="AC11" s="7">
        <f>AC8+AC10</f>
        <v/>
      </c>
      <c r="AD11" s="7">
        <f>AD8+AD10</f>
        <v/>
      </c>
      <c r="AE11" s="7">
        <f>AE8+AE10</f>
        <v/>
      </c>
      <c r="AF11" s="7">
        <f>AF8+AF10</f>
        <v/>
      </c>
      <c r="AG11" s="7">
        <f>AG8+AG10</f>
        <v/>
      </c>
      <c r="AH11" s="7">
        <f>AH8+AH10</f>
        <v/>
      </c>
      <c r="AI11" s="7">
        <f>AI8+AI10</f>
        <v/>
      </c>
      <c r="AJ11" s="7">
        <f>AJ8+AJ10</f>
        <v/>
      </c>
      <c r="AK11" s="7">
        <f>AK8+AK10</f>
        <v/>
      </c>
      <c r="AL11" s="7">
        <f>AL8+AL10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0" customHeight="1">
      <c r="A1" s="1" t="inlineStr">
        <is>
          <t>Menuiserie Bois - Depenses detaillees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20" customHeight="1">
      <c r="A2" s="2" t="inlineStr">
        <is>
          <t>Quantity x seasonality x unit price x inflation = monthly cost. Market rows use monthly price series.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inlineStr">
        <is>
          <t>ANNEE 1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inlineStr">
        <is>
          <t>ANNEE 2</t>
        </is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inlineStr">
        <is>
          <t>ANNEE 3</t>
        </is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 ht="20" customHeight="1">
      <c r="A4" s="6" t="inlineStr">
        <is>
          <t>Categorie</t>
        </is>
      </c>
      <c r="B4" s="6" t="inlineStr">
        <is>
          <t>Poste</t>
        </is>
      </c>
      <c r="C4" s="6" t="inlineStr">
        <is>
          <t>Qte base/mois A1</t>
        </is>
      </c>
      <c r="D4" s="6" t="inlineStr">
        <is>
          <t>Unite</t>
        </is>
      </c>
      <c r="E4" s="6" t="inlineStr">
        <is>
          <t>Prix unitaire A1</t>
        </is>
      </c>
      <c r="F4" s="6" t="inlineStr">
        <is>
          <t>Underlying</t>
        </is>
      </c>
      <c r="G4" s="6" t="inlineStr">
        <is>
          <t>Source prix</t>
        </is>
      </c>
      <c r="H4" s="6" t="inlineStr">
        <is>
          <t>Jan A1</t>
        </is>
      </c>
      <c r="I4" s="6" t="inlineStr">
        <is>
          <t>Feb A1</t>
        </is>
      </c>
      <c r="J4" s="6" t="inlineStr">
        <is>
          <t>Mar A1</t>
        </is>
      </c>
      <c r="K4" s="6" t="inlineStr">
        <is>
          <t>Apr A1</t>
        </is>
      </c>
      <c r="L4" s="6" t="inlineStr">
        <is>
          <t>May A1</t>
        </is>
      </c>
      <c r="M4" s="6" t="inlineStr">
        <is>
          <t>Jun A1</t>
        </is>
      </c>
      <c r="N4" s="6" t="inlineStr">
        <is>
          <t>Jul A1</t>
        </is>
      </c>
      <c r="O4" s="6" t="inlineStr">
        <is>
          <t>Aug A1</t>
        </is>
      </c>
      <c r="P4" s="6" t="inlineStr">
        <is>
          <t>Sep A1</t>
        </is>
      </c>
      <c r="Q4" s="6" t="inlineStr">
        <is>
          <t>Oct A1</t>
        </is>
      </c>
      <c r="R4" s="6" t="inlineStr">
        <is>
          <t>Nov A1</t>
        </is>
      </c>
      <c r="S4" s="6" t="inlineStr">
        <is>
          <t>Dec A1</t>
        </is>
      </c>
      <c r="T4" s="6" t="inlineStr">
        <is>
          <t>Jan A2</t>
        </is>
      </c>
      <c r="U4" s="6" t="inlineStr">
        <is>
          <t>Feb A2</t>
        </is>
      </c>
      <c r="V4" s="6" t="inlineStr">
        <is>
          <t>Mar A2</t>
        </is>
      </c>
      <c r="W4" s="6" t="inlineStr">
        <is>
          <t>Apr A2</t>
        </is>
      </c>
      <c r="X4" s="6" t="inlineStr">
        <is>
          <t>May A2</t>
        </is>
      </c>
      <c r="Y4" s="6" t="inlineStr">
        <is>
          <t>Jun A2</t>
        </is>
      </c>
      <c r="Z4" s="6" t="inlineStr">
        <is>
          <t>Jul A2</t>
        </is>
      </c>
      <c r="AA4" s="6" t="inlineStr">
        <is>
          <t>Aug A2</t>
        </is>
      </c>
      <c r="AB4" s="6" t="inlineStr">
        <is>
          <t>Sep A2</t>
        </is>
      </c>
      <c r="AC4" s="6" t="inlineStr">
        <is>
          <t>Oct A2</t>
        </is>
      </c>
      <c r="AD4" s="6" t="inlineStr">
        <is>
          <t>Nov A2</t>
        </is>
      </c>
      <c r="AE4" s="6" t="inlineStr">
        <is>
          <t>Dec A2</t>
        </is>
      </c>
      <c r="AF4" s="6" t="inlineStr">
        <is>
          <t>Jan A3</t>
        </is>
      </c>
      <c r="AG4" s="6" t="inlineStr">
        <is>
          <t>Feb A3</t>
        </is>
      </c>
      <c r="AH4" s="6" t="inlineStr">
        <is>
          <t>Mar A3</t>
        </is>
      </c>
      <c r="AI4" s="6" t="inlineStr">
        <is>
          <t>Apr A3</t>
        </is>
      </c>
      <c r="AJ4" s="6" t="inlineStr">
        <is>
          <t>May A3</t>
        </is>
      </c>
      <c r="AK4" s="6" t="inlineStr">
        <is>
          <t>Jun A3</t>
        </is>
      </c>
      <c r="AL4" s="6" t="inlineStr">
        <is>
          <t>Jul A3</t>
        </is>
      </c>
      <c r="AM4" s="6" t="inlineStr">
        <is>
          <t>Aug A3</t>
        </is>
      </c>
      <c r="AN4" s="6" t="inlineStr">
        <is>
          <t>Sep A3</t>
        </is>
      </c>
      <c r="AO4" s="6" t="inlineStr">
        <is>
          <t>Oct A3</t>
        </is>
      </c>
      <c r="AP4" s="6" t="inlineStr">
        <is>
          <t>Nov A3</t>
        </is>
      </c>
      <c r="AQ4" s="6" t="inlineStr">
        <is>
          <t>Dec A3</t>
        </is>
      </c>
    </row>
    <row r="5" ht="20" customHeight="1">
      <c r="A5" s="3" t="inlineStr">
        <is>
          <t>Raw materials</t>
        </is>
      </c>
      <c r="B5" s="3" t="inlineStr">
        <is>
          <t>Timber, boards and panels - market price</t>
        </is>
      </c>
      <c r="C5" s="4" t="n">
        <v>73.47539999999999</v>
      </c>
      <c r="D5" s="3" t="inlineStr">
        <is>
          <t>m3</t>
        </is>
      </c>
      <c r="E5" s="3">
        <f>AVERAGE(H5:AQ5)</f>
        <v/>
      </c>
      <c r="F5" s="3" t="inlineStr">
        <is>
          <t>Wood</t>
        </is>
      </c>
      <c r="G5" s="9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cube); normalized to model unit price</t>
        </is>
      </c>
      <c r="H5" s="9" t="n">
        <v/>
      </c>
      <c r="I5" s="9" t="n">
        <v/>
      </c>
      <c r="J5" s="9" t="n">
        <v/>
      </c>
      <c r="K5" s="9" t="n">
        <v/>
      </c>
      <c r="L5" s="9" t="n">
        <v/>
      </c>
      <c r="M5" s="9" t="n">
        <v/>
      </c>
      <c r="N5" s="9" t="n">
        <v/>
      </c>
      <c r="O5" s="9" t="n">
        <v/>
      </c>
      <c r="P5" s="9" t="n">
        <v/>
      </c>
      <c r="Q5" s="9" t="n">
        <v/>
      </c>
      <c r="R5" s="9" t="n">
        <v/>
      </c>
      <c r="S5" s="9" t="n">
        <v/>
      </c>
      <c r="T5" s="9" t="n">
        <v/>
      </c>
      <c r="U5" s="9" t="n">
        <v/>
      </c>
      <c r="V5" s="9" t="n">
        <v/>
      </c>
      <c r="W5" s="9" t="n">
        <v/>
      </c>
      <c r="X5" s="9" t="n">
        <v/>
      </c>
      <c r="Y5" s="9" t="n">
        <v/>
      </c>
      <c r="Z5" s="9" t="n">
        <v/>
      </c>
      <c r="AA5" s="9" t="n">
        <v/>
      </c>
      <c r="AB5" s="9" t="n">
        <v/>
      </c>
      <c r="AC5" s="9" t="n">
        <v/>
      </c>
      <c r="AD5" s="9" t="n">
        <v/>
      </c>
      <c r="AE5" s="9" t="n">
        <v/>
      </c>
      <c r="AF5" s="9" t="n">
        <v/>
      </c>
      <c r="AG5" s="9" t="n">
        <v/>
      </c>
      <c r="AH5" s="9" t="n">
        <v/>
      </c>
      <c r="AI5" s="9" t="n">
        <v/>
      </c>
      <c r="AJ5" s="9" t="n">
        <v/>
      </c>
      <c r="AK5" s="9" t="n">
        <v/>
      </c>
      <c r="AL5" s="9" t="n">
        <v/>
      </c>
      <c r="AM5" s="9" t="n">
        <v/>
      </c>
      <c r="AN5" s="9" t="n">
        <v/>
      </c>
      <c r="AO5" s="9" t="n">
        <v/>
      </c>
      <c r="AP5" s="9" t="n">
        <v/>
      </c>
      <c r="AQ5" s="9" t="n">
        <v/>
      </c>
    </row>
    <row r="6" ht="20" customHeight="1">
      <c r="A6" s="3" t="inlineStr">
        <is>
          <t>Raw materials</t>
        </is>
      </c>
      <c r="B6" s="3" t="inlineStr">
        <is>
          <t>Cost (Timber, boards and panels)</t>
        </is>
      </c>
      <c r="C6" s="4" t="n">
        <v>73.47539999999999</v>
      </c>
      <c r="D6" s="3" t="inlineStr">
        <is>
          <t>m3</t>
        </is>
      </c>
      <c r="E6" s="5">
        <f>E5</f>
        <v/>
      </c>
      <c r="F6" s="3" t="inlineStr">
        <is>
          <t>Wood</t>
        </is>
      </c>
      <c r="G6" s="3" t="inlineStr">
        <is>
          <t>Cost = quantity x seasonality x monthly market price</t>
        </is>
      </c>
      <c r="H6" s="5">
        <f>$C6*'Hypotheses'!C$17*H5</f>
        <v/>
      </c>
      <c r="I6" s="5">
        <f>$C6*'Hypotheses'!D$17*I5</f>
        <v/>
      </c>
      <c r="J6" s="5">
        <f>$C6*'Hypotheses'!E$17*J5</f>
        <v/>
      </c>
      <c r="K6" s="5">
        <f>$C6*'Hypotheses'!F$17*K5</f>
        <v/>
      </c>
      <c r="L6" s="5">
        <f>$C6*'Hypotheses'!G$17*L5</f>
        <v/>
      </c>
      <c r="M6" s="5">
        <f>$C6*'Hypotheses'!H$17*M5</f>
        <v/>
      </c>
      <c r="N6" s="5">
        <f>$C6*'Hypotheses'!I$17*N5</f>
        <v/>
      </c>
      <c r="O6" s="5">
        <f>$C6*'Hypotheses'!J$17*O5</f>
        <v/>
      </c>
      <c r="P6" s="5">
        <f>$C6*'Hypotheses'!K$17*P5</f>
        <v/>
      </c>
      <c r="Q6" s="5">
        <f>$C6*'Hypotheses'!L$17*Q5</f>
        <v/>
      </c>
      <c r="R6" s="5">
        <f>$C6*'Hypotheses'!M$17*R5</f>
        <v/>
      </c>
      <c r="S6" s="5">
        <f>$C6*'Hypotheses'!N$17*S5</f>
        <v/>
      </c>
      <c r="T6" s="5">
        <f>$C6*'Hypotheses'!C$17*T5</f>
        <v/>
      </c>
      <c r="U6" s="5">
        <f>$C6*'Hypotheses'!D$17*U5</f>
        <v/>
      </c>
      <c r="V6" s="5">
        <f>$C6*'Hypotheses'!E$17*V5</f>
        <v/>
      </c>
      <c r="W6" s="5">
        <f>$C6*'Hypotheses'!F$17*W5</f>
        <v/>
      </c>
      <c r="X6" s="5">
        <f>$C6*'Hypotheses'!G$17*X5</f>
        <v/>
      </c>
      <c r="Y6" s="5">
        <f>$C6*'Hypotheses'!H$17*Y5</f>
        <v/>
      </c>
      <c r="Z6" s="5">
        <f>$C6*'Hypotheses'!I$17*Z5</f>
        <v/>
      </c>
      <c r="AA6" s="5">
        <f>$C6*'Hypotheses'!J$17*AA5</f>
        <v/>
      </c>
      <c r="AB6" s="5">
        <f>$C6*'Hypotheses'!K$17*AB5</f>
        <v/>
      </c>
      <c r="AC6" s="5">
        <f>$C6*'Hypotheses'!L$17*AC5</f>
        <v/>
      </c>
      <c r="AD6" s="5">
        <f>$C6*'Hypotheses'!M$17*AD5</f>
        <v/>
      </c>
      <c r="AE6" s="5">
        <f>$C6*'Hypotheses'!N$17*AE5</f>
        <v/>
      </c>
      <c r="AF6" s="5">
        <f>$C6*'Hypotheses'!C$17*AF5</f>
        <v/>
      </c>
      <c r="AG6" s="5">
        <f>$C6*'Hypotheses'!D$17*AG5</f>
        <v/>
      </c>
      <c r="AH6" s="5">
        <f>$C6*'Hypotheses'!E$17*AH5</f>
        <v/>
      </c>
      <c r="AI6" s="5">
        <f>$C6*'Hypotheses'!F$17*AI5</f>
        <v/>
      </c>
      <c r="AJ6" s="5">
        <f>$C6*'Hypotheses'!G$17*AJ5</f>
        <v/>
      </c>
      <c r="AK6" s="5">
        <f>$C6*'Hypotheses'!H$17*AK5</f>
        <v/>
      </c>
      <c r="AL6" s="5">
        <f>$C6*'Hypotheses'!I$17*AL5</f>
        <v/>
      </c>
      <c r="AM6" s="5">
        <f>$C6*'Hypotheses'!J$17*AM5</f>
        <v/>
      </c>
      <c r="AN6" s="5">
        <f>$C6*'Hypotheses'!K$17*AN5</f>
        <v/>
      </c>
      <c r="AO6" s="5">
        <f>$C6*'Hypotheses'!L$17*AO5</f>
        <v/>
      </c>
      <c r="AP6" s="5">
        <f>$C6*'Hypotheses'!M$17*AP5</f>
        <v/>
      </c>
      <c r="AQ6" s="5">
        <f>$C6*'Hypotheses'!N$17*AQ5</f>
        <v/>
      </c>
    </row>
    <row r="7" ht="20" customHeight="1">
      <c r="A7" s="3" t="inlineStr">
        <is>
          <t>Raw materials</t>
        </is>
      </c>
      <c r="B7" s="3" t="inlineStr">
        <is>
          <t>Glue, varnish and oil-linked finishing chemicals - market price</t>
        </is>
      </c>
      <c r="C7" s="4" t="n">
        <v>797.9050999999999</v>
      </c>
      <c r="D7" s="3" t="inlineStr">
        <is>
          <t>kg</t>
        </is>
      </c>
      <c r="E7" s="3">
        <f>AVERAGE(H7:AQ7)</f>
        <v/>
      </c>
      <c r="F7" s="3" t="inlineStr">
        <is>
          <t>Oil</t>
        </is>
      </c>
      <c r="G7" s="9" t="inlineStr">
        <is>
          <t>INSEE BDM 010002078: Cours des matières premières importées - Pétrole brut Brent (Londres) - Prix au comptant en euros par baril ; normalized to model unit price</t>
        </is>
      </c>
      <c r="H7" s="9" t="n">
        <v>5.4</v>
      </c>
      <c r="I7" s="9" t="n">
        <v>6.18</v>
      </c>
      <c r="J7" s="9" t="n">
        <v>6.6</v>
      </c>
      <c r="K7" s="9" t="n">
        <v>6.492</v>
      </c>
      <c r="L7" s="9" t="n">
        <v>6.768</v>
      </c>
      <c r="M7" s="9" t="n">
        <v>7.296</v>
      </c>
      <c r="N7" s="9" t="n">
        <v>7.62</v>
      </c>
      <c r="O7" s="9" t="n">
        <v>7.224</v>
      </c>
      <c r="P7" s="9" t="n">
        <v>7.596</v>
      </c>
      <c r="Q7" s="9" t="n">
        <v>8.640000000000001</v>
      </c>
      <c r="R7" s="9" t="n">
        <v>8.52</v>
      </c>
      <c r="S7" s="9" t="n">
        <v>7.896</v>
      </c>
      <c r="T7" s="9" t="n">
        <v>9.18</v>
      </c>
      <c r="U7" s="9" t="n">
        <v>10.248</v>
      </c>
      <c r="V7" s="9" t="n">
        <v>12.768</v>
      </c>
      <c r="W7" s="9" t="n">
        <v>11.604</v>
      </c>
      <c r="X7" s="9" t="n">
        <v>12.828</v>
      </c>
      <c r="Y7" s="9" t="n">
        <v>13.86</v>
      </c>
      <c r="Z7" s="9" t="n">
        <v>13.188</v>
      </c>
      <c r="AA7" s="9" t="n">
        <v>11.928</v>
      </c>
      <c r="AB7" s="9" t="n">
        <v>10.872</v>
      </c>
      <c r="AC7" s="9" t="n">
        <v>11.4</v>
      </c>
      <c r="AD7" s="9" t="n">
        <v>10.764</v>
      </c>
      <c r="AE7" s="9" t="n">
        <v>9.18</v>
      </c>
      <c r="AF7" s="9" t="n">
        <v>9.192</v>
      </c>
      <c r="AG7" s="9" t="n">
        <v>9.276</v>
      </c>
      <c r="AH7" s="9" t="n">
        <v>8.795999999999999</v>
      </c>
      <c r="AI7" s="9" t="n">
        <v>9.263999999999999</v>
      </c>
      <c r="AJ7" s="9" t="n">
        <v>8.352</v>
      </c>
      <c r="AK7" s="9" t="n">
        <v>8.279999999999999</v>
      </c>
      <c r="AL7" s="9" t="n">
        <v>8.688000000000001</v>
      </c>
      <c r="AM7" s="9" t="n">
        <v>9.468</v>
      </c>
      <c r="AN7" s="9" t="n">
        <v>10.5</v>
      </c>
      <c r="AO7" s="9" t="n">
        <v>10.296</v>
      </c>
      <c r="AP7" s="9" t="n">
        <v>9.215999999999999</v>
      </c>
      <c r="AQ7" s="9" t="n">
        <v>8.544</v>
      </c>
    </row>
    <row r="8" ht="20" customHeight="1">
      <c r="A8" s="3" t="inlineStr">
        <is>
          <t>Raw materials</t>
        </is>
      </c>
      <c r="B8" s="3" t="inlineStr">
        <is>
          <t>Cost (Glue, varnish and oil-linked finishing chemicals)</t>
        </is>
      </c>
      <c r="C8" s="4" t="n">
        <v>797.9050999999999</v>
      </c>
      <c r="D8" s="3" t="inlineStr">
        <is>
          <t>kg</t>
        </is>
      </c>
      <c r="E8" s="5">
        <f>E7</f>
        <v/>
      </c>
      <c r="F8" s="3" t="inlineStr">
        <is>
          <t>Oil</t>
        </is>
      </c>
      <c r="G8" s="3" t="inlineStr">
        <is>
          <t>Cost = quantity x seasonality x monthly market price</t>
        </is>
      </c>
      <c r="H8" s="5">
        <f>$C8*'Hypotheses'!C$17*H7</f>
        <v/>
      </c>
      <c r="I8" s="5">
        <f>$C8*'Hypotheses'!D$17*I7</f>
        <v/>
      </c>
      <c r="J8" s="5">
        <f>$C8*'Hypotheses'!E$17*J7</f>
        <v/>
      </c>
      <c r="K8" s="5">
        <f>$C8*'Hypotheses'!F$17*K7</f>
        <v/>
      </c>
      <c r="L8" s="5">
        <f>$C8*'Hypotheses'!G$17*L7</f>
        <v/>
      </c>
      <c r="M8" s="5">
        <f>$C8*'Hypotheses'!H$17*M7</f>
        <v/>
      </c>
      <c r="N8" s="5">
        <f>$C8*'Hypotheses'!I$17*N7</f>
        <v/>
      </c>
      <c r="O8" s="5">
        <f>$C8*'Hypotheses'!J$17*O7</f>
        <v/>
      </c>
      <c r="P8" s="5">
        <f>$C8*'Hypotheses'!K$17*P7</f>
        <v/>
      </c>
      <c r="Q8" s="5">
        <f>$C8*'Hypotheses'!L$17*Q7</f>
        <v/>
      </c>
      <c r="R8" s="5">
        <f>$C8*'Hypotheses'!M$17*R7</f>
        <v/>
      </c>
      <c r="S8" s="5">
        <f>$C8*'Hypotheses'!N$17*S7</f>
        <v/>
      </c>
      <c r="T8" s="5">
        <f>$C8*'Hypotheses'!C$17*T7</f>
        <v/>
      </c>
      <c r="U8" s="5">
        <f>$C8*'Hypotheses'!D$17*U7</f>
        <v/>
      </c>
      <c r="V8" s="5">
        <f>$C8*'Hypotheses'!E$17*V7</f>
        <v/>
      </c>
      <c r="W8" s="5">
        <f>$C8*'Hypotheses'!F$17*W7</f>
        <v/>
      </c>
      <c r="X8" s="5">
        <f>$C8*'Hypotheses'!G$17*X7</f>
        <v/>
      </c>
      <c r="Y8" s="5">
        <f>$C8*'Hypotheses'!H$17*Y7</f>
        <v/>
      </c>
      <c r="Z8" s="5">
        <f>$C8*'Hypotheses'!I$17*Z7</f>
        <v/>
      </c>
      <c r="AA8" s="5">
        <f>$C8*'Hypotheses'!J$17*AA7</f>
        <v/>
      </c>
      <c r="AB8" s="5">
        <f>$C8*'Hypotheses'!K$17*AB7</f>
        <v/>
      </c>
      <c r="AC8" s="5">
        <f>$C8*'Hypotheses'!L$17*AC7</f>
        <v/>
      </c>
      <c r="AD8" s="5">
        <f>$C8*'Hypotheses'!M$17*AD7</f>
        <v/>
      </c>
      <c r="AE8" s="5">
        <f>$C8*'Hypotheses'!N$17*AE7</f>
        <v/>
      </c>
      <c r="AF8" s="5">
        <f>$C8*'Hypotheses'!C$17*AF7</f>
        <v/>
      </c>
      <c r="AG8" s="5">
        <f>$C8*'Hypotheses'!D$17*AG7</f>
        <v/>
      </c>
      <c r="AH8" s="5">
        <f>$C8*'Hypotheses'!E$17*AH7</f>
        <v/>
      </c>
      <c r="AI8" s="5">
        <f>$C8*'Hypotheses'!F$17*AI7</f>
        <v/>
      </c>
      <c r="AJ8" s="5">
        <f>$C8*'Hypotheses'!G$17*AJ7</f>
        <v/>
      </c>
      <c r="AK8" s="5">
        <f>$C8*'Hypotheses'!H$17*AK7</f>
        <v/>
      </c>
      <c r="AL8" s="5">
        <f>$C8*'Hypotheses'!I$17*AL7</f>
        <v/>
      </c>
      <c r="AM8" s="5">
        <f>$C8*'Hypotheses'!J$17*AM7</f>
        <v/>
      </c>
      <c r="AN8" s="5">
        <f>$C8*'Hypotheses'!K$17*AN7</f>
        <v/>
      </c>
      <c r="AO8" s="5">
        <f>$C8*'Hypotheses'!L$17*AO7</f>
        <v/>
      </c>
      <c r="AP8" s="5">
        <f>$C8*'Hypotheses'!M$17*AP7</f>
        <v/>
      </c>
      <c r="AQ8" s="5">
        <f>$C8*'Hypotheses'!N$17*AQ7</f>
        <v/>
      </c>
    </row>
    <row r="9" ht="20" customHeight="1">
      <c r="A9" s="3" t="inlineStr">
        <is>
          <t>Raw materials</t>
        </is>
      </c>
      <c r="B9" s="3" t="inlineStr">
        <is>
          <t>Steel screws, brackets and structural hardware - market price</t>
        </is>
      </c>
      <c r="C9" s="4" t="n">
        <v>2593.7982</v>
      </c>
      <c r="D9" s="3" t="inlineStr">
        <is>
          <t>kg</t>
        </is>
      </c>
      <c r="E9" s="3">
        <f>AVERAGE(H9:AQ9)</f>
        <v/>
      </c>
      <c r="F9" s="3" t="inlineStr">
        <is>
          <t>Steel</t>
        </is>
      </c>
      <c r="G9" s="9" t="inlineStr">
        <is>
          <t>INSEE BDM 010002059: Cours des matières premières importées - Minerai de fer, Type 62 % Fe - Importations chinoises, port de Tianjin - Prix au comptant - CAF - Prix en dollars US par tonne; normalized to model unit price</t>
        </is>
      </c>
      <c r="H9" s="9" t="n">
        <v>0.95</v>
      </c>
      <c r="I9" s="9" t="n">
        <v>0.9175</v>
      </c>
      <c r="J9" s="9" t="n">
        <v>0.9422</v>
      </c>
      <c r="K9" s="9" t="n">
        <v>1.0071</v>
      </c>
      <c r="L9" s="9" t="n">
        <v>1.1634</v>
      </c>
      <c r="M9" s="9" t="n">
        <v>1.2009</v>
      </c>
      <c r="N9" s="9" t="n">
        <v>1.1993</v>
      </c>
      <c r="O9" s="9" t="n">
        <v>0.9085</v>
      </c>
      <c r="P9" s="9" t="n">
        <v>0.6974</v>
      </c>
      <c r="Q9" s="9" t="n">
        <v>0.6884</v>
      </c>
      <c r="R9" s="9" t="n">
        <v>0.5389</v>
      </c>
      <c r="S9" s="9" t="n">
        <v>0.6554</v>
      </c>
      <c r="T9" s="9" t="n">
        <v>0.7422</v>
      </c>
      <c r="U9" s="9" t="n">
        <v>0.7999000000000001</v>
      </c>
      <c r="V9" s="9" t="n">
        <v>0.852</v>
      </c>
      <c r="W9" s="9" t="n">
        <v>0.8469</v>
      </c>
      <c r="X9" s="9" t="n">
        <v>0.7349</v>
      </c>
      <c r="Y9" s="9" t="n">
        <v>0.7321</v>
      </c>
      <c r="Z9" s="9" t="n">
        <v>0.6083</v>
      </c>
      <c r="AA9" s="9" t="n">
        <v>0.6094000000000001</v>
      </c>
      <c r="AB9" s="9" t="n">
        <v>0.5590000000000001</v>
      </c>
      <c r="AC9" s="9" t="n">
        <v>0.5187</v>
      </c>
      <c r="AD9" s="9" t="n">
        <v>0.5226</v>
      </c>
      <c r="AE9" s="9" t="n">
        <v>0.6262</v>
      </c>
      <c r="AF9" s="9" t="n">
        <v>0.6845</v>
      </c>
      <c r="AG9" s="9" t="n">
        <v>0.7147</v>
      </c>
      <c r="AH9" s="9" t="n">
        <v>0.7192</v>
      </c>
      <c r="AI9" s="9" t="n">
        <v>0.6576</v>
      </c>
      <c r="AJ9" s="9" t="n">
        <v>0.5893</v>
      </c>
      <c r="AK9" s="9" t="n">
        <v>0.6352</v>
      </c>
      <c r="AL9" s="9" t="n">
        <v>0.6408</v>
      </c>
      <c r="AM9" s="9" t="n">
        <v>0.6173</v>
      </c>
      <c r="AN9" s="9" t="n">
        <v>0.6778</v>
      </c>
      <c r="AO9" s="9" t="n">
        <v>0.6666</v>
      </c>
      <c r="AP9" s="9" t="n">
        <v>0.7343</v>
      </c>
      <c r="AQ9" s="9" t="n">
        <v>0.768</v>
      </c>
    </row>
    <row r="10" ht="20" customHeight="1">
      <c r="A10" s="3" t="inlineStr">
        <is>
          <t>Raw materials</t>
        </is>
      </c>
      <c r="B10" s="3" t="inlineStr">
        <is>
          <t>Cost (Steel screws, brackets and structural hardware)</t>
        </is>
      </c>
      <c r="C10" s="4" t="n">
        <v>2593.7982</v>
      </c>
      <c r="D10" s="3" t="inlineStr">
        <is>
          <t>kg</t>
        </is>
      </c>
      <c r="E10" s="5">
        <f>E9</f>
        <v/>
      </c>
      <c r="F10" s="3" t="inlineStr">
        <is>
          <t>Steel</t>
        </is>
      </c>
      <c r="G10" s="3" t="inlineStr">
        <is>
          <t>Cost = quantity x seasonality x monthly market price</t>
        </is>
      </c>
      <c r="H10" s="5">
        <f>$C10*'Hypotheses'!C$17*H9</f>
        <v/>
      </c>
      <c r="I10" s="5">
        <f>$C10*'Hypotheses'!D$17*I9</f>
        <v/>
      </c>
      <c r="J10" s="5">
        <f>$C10*'Hypotheses'!E$17*J9</f>
        <v/>
      </c>
      <c r="K10" s="5">
        <f>$C10*'Hypotheses'!F$17*K9</f>
        <v/>
      </c>
      <c r="L10" s="5">
        <f>$C10*'Hypotheses'!G$17*L9</f>
        <v/>
      </c>
      <c r="M10" s="5">
        <f>$C10*'Hypotheses'!H$17*M9</f>
        <v/>
      </c>
      <c r="N10" s="5">
        <f>$C10*'Hypotheses'!I$17*N9</f>
        <v/>
      </c>
      <c r="O10" s="5">
        <f>$C10*'Hypotheses'!J$17*O9</f>
        <v/>
      </c>
      <c r="P10" s="5">
        <f>$C10*'Hypotheses'!K$17*P9</f>
        <v/>
      </c>
      <c r="Q10" s="5">
        <f>$C10*'Hypotheses'!L$17*Q9</f>
        <v/>
      </c>
      <c r="R10" s="5">
        <f>$C10*'Hypotheses'!M$17*R9</f>
        <v/>
      </c>
      <c r="S10" s="5">
        <f>$C10*'Hypotheses'!N$17*S9</f>
        <v/>
      </c>
      <c r="T10" s="5">
        <f>$C10*'Hypotheses'!C$17*T9</f>
        <v/>
      </c>
      <c r="U10" s="5">
        <f>$C10*'Hypotheses'!D$17*U9</f>
        <v/>
      </c>
      <c r="V10" s="5">
        <f>$C10*'Hypotheses'!E$17*V9</f>
        <v/>
      </c>
      <c r="W10" s="5">
        <f>$C10*'Hypotheses'!F$17*W9</f>
        <v/>
      </c>
      <c r="X10" s="5">
        <f>$C10*'Hypotheses'!G$17*X9</f>
        <v/>
      </c>
      <c r="Y10" s="5">
        <f>$C10*'Hypotheses'!H$17*Y9</f>
        <v/>
      </c>
      <c r="Z10" s="5">
        <f>$C10*'Hypotheses'!I$17*Z9</f>
        <v/>
      </c>
      <c r="AA10" s="5">
        <f>$C10*'Hypotheses'!J$17*AA9</f>
        <v/>
      </c>
      <c r="AB10" s="5">
        <f>$C10*'Hypotheses'!K$17*AB9</f>
        <v/>
      </c>
      <c r="AC10" s="5">
        <f>$C10*'Hypotheses'!L$17*AC9</f>
        <v/>
      </c>
      <c r="AD10" s="5">
        <f>$C10*'Hypotheses'!M$17*AD9</f>
        <v/>
      </c>
      <c r="AE10" s="5">
        <f>$C10*'Hypotheses'!N$17*AE9</f>
        <v/>
      </c>
      <c r="AF10" s="5">
        <f>$C10*'Hypotheses'!C$17*AF9</f>
        <v/>
      </c>
      <c r="AG10" s="5">
        <f>$C10*'Hypotheses'!D$17*AG9</f>
        <v/>
      </c>
      <c r="AH10" s="5">
        <f>$C10*'Hypotheses'!E$17*AH9</f>
        <v/>
      </c>
      <c r="AI10" s="5">
        <f>$C10*'Hypotheses'!F$17*AI9</f>
        <v/>
      </c>
      <c r="AJ10" s="5">
        <f>$C10*'Hypotheses'!G$17*AJ9</f>
        <v/>
      </c>
      <c r="AK10" s="5">
        <f>$C10*'Hypotheses'!H$17*AK9</f>
        <v/>
      </c>
      <c r="AL10" s="5">
        <f>$C10*'Hypotheses'!I$17*AL9</f>
        <v/>
      </c>
      <c r="AM10" s="5">
        <f>$C10*'Hypotheses'!J$17*AM9</f>
        <v/>
      </c>
      <c r="AN10" s="5">
        <f>$C10*'Hypotheses'!K$17*AN9</f>
        <v/>
      </c>
      <c r="AO10" s="5">
        <f>$C10*'Hypotheses'!L$17*AO9</f>
        <v/>
      </c>
      <c r="AP10" s="5">
        <f>$C10*'Hypotheses'!M$17*AP9</f>
        <v/>
      </c>
      <c r="AQ10" s="5">
        <f>$C10*'Hypotheses'!N$17*AQ9</f>
        <v/>
      </c>
    </row>
    <row r="11" ht="20" customHeight="1">
      <c r="A11" s="3" t="inlineStr">
        <is>
          <t>Raw materials</t>
        </is>
      </c>
      <c r="B11" s="3" t="inlineStr">
        <is>
          <t>Zinc-plated hinges, fasteners and handles - market price</t>
        </is>
      </c>
      <c r="C11" s="4" t="n">
        <v>520.1112000000001</v>
      </c>
      <c r="D11" s="3" t="inlineStr">
        <is>
          <t>kg</t>
        </is>
      </c>
      <c r="E11" s="3">
        <f>AVERAGE(H11:AQ11)</f>
        <v/>
      </c>
      <c r="F11" s="3" t="inlineStr">
        <is>
          <t>Zinc</t>
        </is>
      </c>
      <c r="G11" s="9" t="inlineStr">
        <is>
          <t>INSEE BDM 010002072: Cours des matières premières importées - Zinc, Pureté 99,995% - prix d’acquisition au comptant, LME (London Metal Exchange) - Prix en dollars US par tonne; normalized to model unit price</t>
        </is>
      </c>
      <c r="H11" s="9" t="n">
        <v>2.8</v>
      </c>
      <c r="I11" s="9" t="n">
        <v>2.8367</v>
      </c>
      <c r="J11" s="9" t="n">
        <v>2.8869</v>
      </c>
      <c r="K11" s="9" t="n">
        <v>2.9237</v>
      </c>
      <c r="L11" s="9" t="n">
        <v>3.0716</v>
      </c>
      <c r="M11" s="9" t="n">
        <v>3.0507</v>
      </c>
      <c r="N11" s="9" t="n">
        <v>3.0433</v>
      </c>
      <c r="O11" s="9" t="n">
        <v>3.0908</v>
      </c>
      <c r="P11" s="9" t="n">
        <v>3.1447</v>
      </c>
      <c r="Q11" s="9" t="n">
        <v>3.4836</v>
      </c>
      <c r="R11" s="9" t="n">
        <v>3.429</v>
      </c>
      <c r="S11" s="9" t="n">
        <v>3.5229</v>
      </c>
      <c r="T11" s="9" t="n">
        <v>3.7316</v>
      </c>
      <c r="U11" s="9" t="n">
        <v>3.7673</v>
      </c>
      <c r="V11" s="9" t="n">
        <v>4.1083</v>
      </c>
      <c r="W11" s="9" t="n">
        <v>4.5188</v>
      </c>
      <c r="X11" s="9" t="n">
        <v>3.8862</v>
      </c>
      <c r="Y11" s="9" t="n">
        <v>3.7668</v>
      </c>
      <c r="Z11" s="9" t="n">
        <v>3.2015</v>
      </c>
      <c r="AA11" s="9" t="n">
        <v>3.693</v>
      </c>
      <c r="AB11" s="9" t="n">
        <v>3.2419</v>
      </c>
      <c r="AC11" s="9" t="n">
        <v>3.0591</v>
      </c>
      <c r="AD11" s="9" t="n">
        <v>3.0218</v>
      </c>
      <c r="AE11" s="9" t="n">
        <v>3.2334</v>
      </c>
      <c r="AF11" s="9" t="n">
        <v>3.3998</v>
      </c>
      <c r="AG11" s="9" t="n">
        <v>3.2494</v>
      </c>
      <c r="AH11" s="9" t="n">
        <v>3.0556</v>
      </c>
      <c r="AI11" s="9" t="n">
        <v>2.8658</v>
      </c>
      <c r="AJ11" s="9" t="n">
        <v>2.5609</v>
      </c>
      <c r="AK11" s="9" t="n">
        <v>2.4479</v>
      </c>
      <c r="AL11" s="9" t="n">
        <v>2.4771</v>
      </c>
      <c r="AM11" s="9" t="n">
        <v>2.4817</v>
      </c>
      <c r="AN11" s="9" t="n">
        <v>2.5722</v>
      </c>
      <c r="AO11" s="9" t="n">
        <v>2.5318</v>
      </c>
      <c r="AP11" s="9" t="n">
        <v>2.6294</v>
      </c>
      <c r="AQ11" s="9" t="n">
        <v>2.5862</v>
      </c>
    </row>
    <row r="12" ht="20" customHeight="1">
      <c r="A12" s="3" t="inlineStr">
        <is>
          <t>Raw materials</t>
        </is>
      </c>
      <c r="B12" s="3" t="inlineStr">
        <is>
          <t>Cost (Zinc-plated hinges, fasteners and handles)</t>
        </is>
      </c>
      <c r="C12" s="4" t="n">
        <v>520.1112000000001</v>
      </c>
      <c r="D12" s="3" t="inlineStr">
        <is>
          <t>kg</t>
        </is>
      </c>
      <c r="E12" s="5">
        <f>E11</f>
        <v/>
      </c>
      <c r="F12" s="3" t="inlineStr">
        <is>
          <t>Zinc</t>
        </is>
      </c>
      <c r="G12" s="3" t="inlineStr">
        <is>
          <t>Cost = quantity x seasonality x monthly market price</t>
        </is>
      </c>
      <c r="H12" s="5">
        <f>$C12*'Hypotheses'!C$17*H11</f>
        <v/>
      </c>
      <c r="I12" s="5">
        <f>$C12*'Hypotheses'!D$17*I11</f>
        <v/>
      </c>
      <c r="J12" s="5">
        <f>$C12*'Hypotheses'!E$17*J11</f>
        <v/>
      </c>
      <c r="K12" s="5">
        <f>$C12*'Hypotheses'!F$17*K11</f>
        <v/>
      </c>
      <c r="L12" s="5">
        <f>$C12*'Hypotheses'!G$17*L11</f>
        <v/>
      </c>
      <c r="M12" s="5">
        <f>$C12*'Hypotheses'!H$17*M11</f>
        <v/>
      </c>
      <c r="N12" s="5">
        <f>$C12*'Hypotheses'!I$17*N11</f>
        <v/>
      </c>
      <c r="O12" s="5">
        <f>$C12*'Hypotheses'!J$17*O11</f>
        <v/>
      </c>
      <c r="P12" s="5">
        <f>$C12*'Hypotheses'!K$17*P11</f>
        <v/>
      </c>
      <c r="Q12" s="5">
        <f>$C12*'Hypotheses'!L$17*Q11</f>
        <v/>
      </c>
      <c r="R12" s="5">
        <f>$C12*'Hypotheses'!M$17*R11</f>
        <v/>
      </c>
      <c r="S12" s="5">
        <f>$C12*'Hypotheses'!N$17*S11</f>
        <v/>
      </c>
      <c r="T12" s="5">
        <f>$C12*'Hypotheses'!C$17*T11</f>
        <v/>
      </c>
      <c r="U12" s="5">
        <f>$C12*'Hypotheses'!D$17*U11</f>
        <v/>
      </c>
      <c r="V12" s="5">
        <f>$C12*'Hypotheses'!E$17*V11</f>
        <v/>
      </c>
      <c r="W12" s="5">
        <f>$C12*'Hypotheses'!F$17*W11</f>
        <v/>
      </c>
      <c r="X12" s="5">
        <f>$C12*'Hypotheses'!G$17*X11</f>
        <v/>
      </c>
      <c r="Y12" s="5">
        <f>$C12*'Hypotheses'!H$17*Y11</f>
        <v/>
      </c>
      <c r="Z12" s="5">
        <f>$C12*'Hypotheses'!I$17*Z11</f>
        <v/>
      </c>
      <c r="AA12" s="5">
        <f>$C12*'Hypotheses'!J$17*AA11</f>
        <v/>
      </c>
      <c r="AB12" s="5">
        <f>$C12*'Hypotheses'!K$17*AB11</f>
        <v/>
      </c>
      <c r="AC12" s="5">
        <f>$C12*'Hypotheses'!L$17*AC11</f>
        <v/>
      </c>
      <c r="AD12" s="5">
        <f>$C12*'Hypotheses'!M$17*AD11</f>
        <v/>
      </c>
      <c r="AE12" s="5">
        <f>$C12*'Hypotheses'!N$17*AE11</f>
        <v/>
      </c>
      <c r="AF12" s="5">
        <f>$C12*'Hypotheses'!C$17*AF11</f>
        <v/>
      </c>
      <c r="AG12" s="5">
        <f>$C12*'Hypotheses'!D$17*AG11</f>
        <v/>
      </c>
      <c r="AH12" s="5">
        <f>$C12*'Hypotheses'!E$17*AH11</f>
        <v/>
      </c>
      <c r="AI12" s="5">
        <f>$C12*'Hypotheses'!F$17*AI11</f>
        <v/>
      </c>
      <c r="AJ12" s="5">
        <f>$C12*'Hypotheses'!G$17*AJ11</f>
        <v/>
      </c>
      <c r="AK12" s="5">
        <f>$C12*'Hypotheses'!H$17*AK11</f>
        <v/>
      </c>
      <c r="AL12" s="5">
        <f>$C12*'Hypotheses'!I$17*AL11</f>
        <v/>
      </c>
      <c r="AM12" s="5">
        <f>$C12*'Hypotheses'!J$17*AM11</f>
        <v/>
      </c>
      <c r="AN12" s="5">
        <f>$C12*'Hypotheses'!K$17*AN11</f>
        <v/>
      </c>
      <c r="AO12" s="5">
        <f>$C12*'Hypotheses'!L$17*AO11</f>
        <v/>
      </c>
      <c r="AP12" s="5">
        <f>$C12*'Hypotheses'!M$17*AP11</f>
        <v/>
      </c>
      <c r="AQ12" s="5">
        <f>$C12*'Hypotheses'!N$17*AQ11</f>
        <v/>
      </c>
    </row>
    <row r="13" ht="20" customHeight="1">
      <c r="A13" s="3" t="inlineStr">
        <is>
          <t>Raw materials</t>
        </is>
      </c>
      <c r="B13" s="3" t="inlineStr">
        <is>
          <t>Aluminium rails and light fittings - market price</t>
        </is>
      </c>
      <c r="C13" s="4" t="n">
        <v>595.5344</v>
      </c>
      <c r="D13" s="3" t="inlineStr">
        <is>
          <t>kg</t>
        </is>
      </c>
      <c r="E13" s="3">
        <f>AVERAGE(H13:AQ13)</f>
        <v/>
      </c>
      <c r="F13" s="3" t="inlineStr">
        <is>
          <t>Aluminium</t>
        </is>
      </c>
      <c r="G13" s="9" t="inlineStr">
        <is>
          <t>INSEE BDM 010002041: Cours des matières premières importées - Aluminium, pureté 99,7 % - Prix d’acquisition au comptant, LME (London Metal Exchange) - Prix en dollars US par tonne; normalized to model unit price</t>
        </is>
      </c>
      <c r="H13" s="9" t="n">
        <v>2.6</v>
      </c>
      <c r="I13" s="9" t="n">
        <v>2.6984</v>
      </c>
      <c r="J13" s="9" t="n">
        <v>2.8437</v>
      </c>
      <c r="K13" s="9" t="n">
        <v>3.0152</v>
      </c>
      <c r="L13" s="9" t="n">
        <v>3.1579</v>
      </c>
      <c r="M13" s="9" t="n">
        <v>3.1648</v>
      </c>
      <c r="N13" s="9" t="n">
        <v>3.2335</v>
      </c>
      <c r="O13" s="9" t="n">
        <v>3.3873</v>
      </c>
      <c r="P13" s="9" t="n">
        <v>3.684</v>
      </c>
      <c r="Q13" s="9" t="n">
        <v>3.8336</v>
      </c>
      <c r="R13" s="9" t="n">
        <v>3.4264</v>
      </c>
      <c r="S13" s="9" t="n">
        <v>3.4961</v>
      </c>
      <c r="T13" s="9" t="n">
        <v>3.8955</v>
      </c>
      <c r="U13" s="9" t="n">
        <v>4.2296</v>
      </c>
      <c r="V13" s="9" t="n">
        <v>4.589</v>
      </c>
      <c r="W13" s="9" t="n">
        <v>4.2243</v>
      </c>
      <c r="X13" s="9" t="n">
        <v>3.6662</v>
      </c>
      <c r="Y13" s="9" t="n">
        <v>3.3245</v>
      </c>
      <c r="Z13" s="9" t="n">
        <v>3.1149</v>
      </c>
      <c r="AA13" s="9" t="n">
        <v>3.1537</v>
      </c>
      <c r="AB13" s="9" t="n">
        <v>2.8923</v>
      </c>
      <c r="AC13" s="9" t="n">
        <v>2.9097</v>
      </c>
      <c r="AD13" s="9" t="n">
        <v>3.0291</v>
      </c>
      <c r="AE13" s="9" t="n">
        <v>3.1064</v>
      </c>
      <c r="AF13" s="9" t="n">
        <v>3.2285</v>
      </c>
      <c r="AG13" s="9" t="n">
        <v>3.1352</v>
      </c>
      <c r="AH13" s="9" t="n">
        <v>2.9704</v>
      </c>
      <c r="AI13" s="9" t="n">
        <v>3.0365</v>
      </c>
      <c r="AJ13" s="9" t="n">
        <v>2.9413</v>
      </c>
      <c r="AK13" s="9" t="n">
        <v>2.8291</v>
      </c>
      <c r="AL13" s="9" t="n">
        <v>2.7918</v>
      </c>
      <c r="AM13" s="9" t="n">
        <v>2.7682</v>
      </c>
      <c r="AN13" s="9" t="n">
        <v>2.8246</v>
      </c>
      <c r="AO13" s="9" t="n">
        <v>2.8439</v>
      </c>
      <c r="AP13" s="9" t="n">
        <v>2.8567</v>
      </c>
      <c r="AQ13" s="9" t="n">
        <v>2.8205</v>
      </c>
    </row>
    <row r="14" ht="20" customHeight="1">
      <c r="A14" s="3" t="inlineStr">
        <is>
          <t>Raw materials</t>
        </is>
      </c>
      <c r="B14" s="3" t="inlineStr">
        <is>
          <t>Cost (Aluminium rails and light fittings)</t>
        </is>
      </c>
      <c r="C14" s="4" t="n">
        <v>595.5344</v>
      </c>
      <c r="D14" s="3" t="inlineStr">
        <is>
          <t>kg</t>
        </is>
      </c>
      <c r="E14" s="5">
        <f>E13</f>
        <v/>
      </c>
      <c r="F14" s="3" t="inlineStr">
        <is>
          <t>Aluminium</t>
        </is>
      </c>
      <c r="G14" s="3" t="inlineStr">
        <is>
          <t>Cost = quantity x seasonality x monthly market price</t>
        </is>
      </c>
      <c r="H14" s="5">
        <f>$C14*'Hypotheses'!C$17*H13</f>
        <v/>
      </c>
      <c r="I14" s="5">
        <f>$C14*'Hypotheses'!D$17*I13</f>
        <v/>
      </c>
      <c r="J14" s="5">
        <f>$C14*'Hypotheses'!E$17*J13</f>
        <v/>
      </c>
      <c r="K14" s="5">
        <f>$C14*'Hypotheses'!F$17*K13</f>
        <v/>
      </c>
      <c r="L14" s="5">
        <f>$C14*'Hypotheses'!G$17*L13</f>
        <v/>
      </c>
      <c r="M14" s="5">
        <f>$C14*'Hypotheses'!H$17*M13</f>
        <v/>
      </c>
      <c r="N14" s="5">
        <f>$C14*'Hypotheses'!I$17*N13</f>
        <v/>
      </c>
      <c r="O14" s="5">
        <f>$C14*'Hypotheses'!J$17*O13</f>
        <v/>
      </c>
      <c r="P14" s="5">
        <f>$C14*'Hypotheses'!K$17*P13</f>
        <v/>
      </c>
      <c r="Q14" s="5">
        <f>$C14*'Hypotheses'!L$17*Q13</f>
        <v/>
      </c>
      <c r="R14" s="5">
        <f>$C14*'Hypotheses'!M$17*R13</f>
        <v/>
      </c>
      <c r="S14" s="5">
        <f>$C14*'Hypotheses'!N$17*S13</f>
        <v/>
      </c>
      <c r="T14" s="5">
        <f>$C14*'Hypotheses'!C$17*T13</f>
        <v/>
      </c>
      <c r="U14" s="5">
        <f>$C14*'Hypotheses'!D$17*U13</f>
        <v/>
      </c>
      <c r="V14" s="5">
        <f>$C14*'Hypotheses'!E$17*V13</f>
        <v/>
      </c>
      <c r="W14" s="5">
        <f>$C14*'Hypotheses'!F$17*W13</f>
        <v/>
      </c>
      <c r="X14" s="5">
        <f>$C14*'Hypotheses'!G$17*X13</f>
        <v/>
      </c>
      <c r="Y14" s="5">
        <f>$C14*'Hypotheses'!H$17*Y13</f>
        <v/>
      </c>
      <c r="Z14" s="5">
        <f>$C14*'Hypotheses'!I$17*Z13</f>
        <v/>
      </c>
      <c r="AA14" s="5">
        <f>$C14*'Hypotheses'!J$17*AA13</f>
        <v/>
      </c>
      <c r="AB14" s="5">
        <f>$C14*'Hypotheses'!K$17*AB13</f>
        <v/>
      </c>
      <c r="AC14" s="5">
        <f>$C14*'Hypotheses'!L$17*AC13</f>
        <v/>
      </c>
      <c r="AD14" s="5">
        <f>$C14*'Hypotheses'!M$17*AD13</f>
        <v/>
      </c>
      <c r="AE14" s="5">
        <f>$C14*'Hypotheses'!N$17*AE13</f>
        <v/>
      </c>
      <c r="AF14" s="5">
        <f>$C14*'Hypotheses'!C$17*AF13</f>
        <v/>
      </c>
      <c r="AG14" s="5">
        <f>$C14*'Hypotheses'!D$17*AG13</f>
        <v/>
      </c>
      <c r="AH14" s="5">
        <f>$C14*'Hypotheses'!E$17*AH13</f>
        <v/>
      </c>
      <c r="AI14" s="5">
        <f>$C14*'Hypotheses'!F$17*AI13</f>
        <v/>
      </c>
      <c r="AJ14" s="5">
        <f>$C14*'Hypotheses'!G$17*AJ13</f>
        <v/>
      </c>
      <c r="AK14" s="5">
        <f>$C14*'Hypotheses'!H$17*AK13</f>
        <v/>
      </c>
      <c r="AL14" s="5">
        <f>$C14*'Hypotheses'!I$17*AL13</f>
        <v/>
      </c>
      <c r="AM14" s="5">
        <f>$C14*'Hypotheses'!J$17*AM13</f>
        <v/>
      </c>
      <c r="AN14" s="5">
        <f>$C14*'Hypotheses'!K$17*AN13</f>
        <v/>
      </c>
      <c r="AO14" s="5">
        <f>$C14*'Hypotheses'!L$17*AO13</f>
        <v/>
      </c>
      <c r="AP14" s="5">
        <f>$C14*'Hypotheses'!M$17*AP13</f>
        <v/>
      </c>
      <c r="AQ14" s="5">
        <f>$C14*'Hypotheses'!N$17*AQ13</f>
        <v/>
      </c>
    </row>
    <row r="15" ht="20" customHeight="1">
      <c r="A15" s="10" t="inlineStr">
        <is>
          <t>SOUS-TOTAL Raw materials</t>
        </is>
      </c>
      <c r="B15" s="10" t="n"/>
      <c r="C15" s="10" t="n"/>
      <c r="D15" s="10" t="n"/>
      <c r="E15" s="10" t="n"/>
      <c r="F15" s="10" t="n"/>
      <c r="G15" s="10" t="n"/>
      <c r="H15" s="10">
        <f>SUM(H6,H8,H10,H12,H14)</f>
        <v/>
      </c>
      <c r="I15" s="10">
        <f>SUM(I6,I8,I10,I12,I14)</f>
        <v/>
      </c>
      <c r="J15" s="10">
        <f>SUM(J6,J8,J10,J12,J14)</f>
        <v/>
      </c>
      <c r="K15" s="10">
        <f>SUM(K6,K8,K10,K12,K14)</f>
        <v/>
      </c>
      <c r="L15" s="10">
        <f>SUM(L6,L8,L10,L12,L14)</f>
        <v/>
      </c>
      <c r="M15" s="10">
        <f>SUM(M6,M8,M10,M12,M14)</f>
        <v/>
      </c>
      <c r="N15" s="10">
        <f>SUM(N6,N8,N10,N12,N14)</f>
        <v/>
      </c>
      <c r="O15" s="10">
        <f>SUM(O6,O8,O10,O12,O14)</f>
        <v/>
      </c>
      <c r="P15" s="10">
        <f>SUM(P6,P8,P10,P12,P14)</f>
        <v/>
      </c>
      <c r="Q15" s="10">
        <f>SUM(Q6,Q8,Q10,Q12,Q14)</f>
        <v/>
      </c>
      <c r="R15" s="10">
        <f>SUM(R6,R8,R10,R12,R14)</f>
        <v/>
      </c>
      <c r="S15" s="10">
        <f>SUM(S6,S8,S10,S12,S14)</f>
        <v/>
      </c>
      <c r="T15" s="10">
        <f>SUM(T6,T8,T10,T12,T14)</f>
        <v/>
      </c>
      <c r="U15" s="10">
        <f>SUM(U6,U8,U10,U12,U14)</f>
        <v/>
      </c>
      <c r="V15" s="10">
        <f>SUM(V6,V8,V10,V12,V14)</f>
        <v/>
      </c>
      <c r="W15" s="10">
        <f>SUM(W6,W8,W10,W12,W14)</f>
        <v/>
      </c>
      <c r="X15" s="10">
        <f>SUM(X6,X8,X10,X12,X14)</f>
        <v/>
      </c>
      <c r="Y15" s="10">
        <f>SUM(Y6,Y8,Y10,Y12,Y14)</f>
        <v/>
      </c>
      <c r="Z15" s="10">
        <f>SUM(Z6,Z8,Z10,Z12,Z14)</f>
        <v/>
      </c>
      <c r="AA15" s="10">
        <f>SUM(AA6,AA8,AA10,AA12,AA14)</f>
        <v/>
      </c>
      <c r="AB15" s="10">
        <f>SUM(AB6,AB8,AB10,AB12,AB14)</f>
        <v/>
      </c>
      <c r="AC15" s="10">
        <f>SUM(AC6,AC8,AC10,AC12,AC14)</f>
        <v/>
      </c>
      <c r="AD15" s="10">
        <f>SUM(AD6,AD8,AD10,AD12,AD14)</f>
        <v/>
      </c>
      <c r="AE15" s="10">
        <f>SUM(AE6,AE8,AE10,AE12,AE14)</f>
        <v/>
      </c>
      <c r="AF15" s="10">
        <f>SUM(AF6,AF8,AF10,AF12,AF14)</f>
        <v/>
      </c>
      <c r="AG15" s="10">
        <f>SUM(AG6,AG8,AG10,AG12,AG14)</f>
        <v/>
      </c>
      <c r="AH15" s="10">
        <f>SUM(AH6,AH8,AH10,AH12,AH14)</f>
        <v/>
      </c>
      <c r="AI15" s="10">
        <f>SUM(AI6,AI8,AI10,AI12,AI14)</f>
        <v/>
      </c>
      <c r="AJ15" s="10">
        <f>SUM(AJ6,AJ8,AJ10,AJ12,AJ14)</f>
        <v/>
      </c>
      <c r="AK15" s="10">
        <f>SUM(AK6,AK8,AK10,AK12,AK14)</f>
        <v/>
      </c>
      <c r="AL15" s="10">
        <f>SUM(AL6,AL8,AL10,AL12,AL14)</f>
        <v/>
      </c>
      <c r="AM15" s="10">
        <f>SUM(AM6,AM8,AM10,AM12,AM14)</f>
        <v/>
      </c>
      <c r="AN15" s="10">
        <f>SUM(AN6,AN8,AN10,AN12,AN14)</f>
        <v/>
      </c>
      <c r="AO15" s="10">
        <f>SUM(AO6,AO8,AO10,AO12,AO14)</f>
        <v/>
      </c>
      <c r="AP15" s="10">
        <f>SUM(AP6,AP8,AP10,AP12,AP14)</f>
        <v/>
      </c>
      <c r="AQ15" s="10">
        <f>SUM(AQ6,AQ8,AQ10,AQ12,AQ14)</f>
        <v/>
      </c>
    </row>
    <row r="16" ht="20" customHeight="1">
      <c r="A16" s="3" t="inlineStr">
        <is>
          <t>Energy</t>
        </is>
      </c>
      <c r="B16" s="3" t="inlineStr">
        <is>
          <t>Electricity for CNC, saws and dust extraction - market price</t>
        </is>
      </c>
      <c r="C16" s="4" t="n">
        <v>19214.3209</v>
      </c>
      <c r="D16" s="3" t="inlineStr">
        <is>
          <t>kWh</t>
        </is>
      </c>
      <c r="E16" s="3">
        <f>AVERAGE(H16:AQ16)</f>
        <v/>
      </c>
      <c r="F16" s="3" t="inlineStr">
        <is>
          <t>Electricity</t>
        </is>
      </c>
      <c r="G16" s="9" t="inlineStr">
        <is>
          <t>INSEE BDM 010777317: Indice mensuel des prix d'achat des moyens de production agricole (IPAMPA) - Electricité; normalized to model unit price</t>
        </is>
      </c>
      <c r="H16" s="9" t="n">
        <v>0.16</v>
      </c>
      <c r="I16" s="9" t="n">
        <v>0.1624</v>
      </c>
      <c r="J16" s="9" t="n">
        <v>0.1624</v>
      </c>
      <c r="K16" s="9" t="n">
        <v>0.1624</v>
      </c>
      <c r="L16" s="9" t="n">
        <v>0.1625</v>
      </c>
      <c r="M16" s="9" t="n">
        <v>0.1625</v>
      </c>
      <c r="N16" s="9" t="n">
        <v>0.1625</v>
      </c>
      <c r="O16" s="9" t="n">
        <v>0.1635</v>
      </c>
      <c r="P16" s="9" t="n">
        <v>0.1635</v>
      </c>
      <c r="Q16" s="9" t="n">
        <v>0.164</v>
      </c>
      <c r="R16" s="9" t="n">
        <v>0.1651</v>
      </c>
      <c r="S16" s="9" t="n">
        <v>0.1647</v>
      </c>
      <c r="T16" s="9" t="n">
        <v>0.1662</v>
      </c>
      <c r="U16" s="9" t="n">
        <v>0.1703</v>
      </c>
      <c r="V16" s="9" t="n">
        <v>0.1722</v>
      </c>
      <c r="W16" s="9" t="n">
        <v>0.1736</v>
      </c>
      <c r="X16" s="9" t="n">
        <v>0.173</v>
      </c>
      <c r="Y16" s="9" t="n">
        <v>0.1749</v>
      </c>
      <c r="Z16" s="9" t="n">
        <v>0.176</v>
      </c>
      <c r="AA16" s="9" t="n">
        <v>0.1761</v>
      </c>
      <c r="AB16" s="9" t="n">
        <v>0.1809</v>
      </c>
      <c r="AC16" s="9" t="n">
        <v>0.1784</v>
      </c>
      <c r="AD16" s="9" t="n">
        <v>0.1814</v>
      </c>
      <c r="AE16" s="9" t="n">
        <v>0.1768</v>
      </c>
      <c r="AF16" s="9" t="n">
        <v>0.1714</v>
      </c>
      <c r="AG16" s="9" t="n">
        <v>0.1875</v>
      </c>
      <c r="AH16" s="9" t="n">
        <v>0.1912</v>
      </c>
      <c r="AI16" s="9" t="n">
        <v>0.1931</v>
      </c>
      <c r="AJ16" s="9" t="n">
        <v>0.1926</v>
      </c>
      <c r="AK16" s="9" t="n">
        <v>0.1924</v>
      </c>
      <c r="AL16" s="9" t="n">
        <v>0.1924</v>
      </c>
      <c r="AM16" s="9" t="n">
        <v>0.2078</v>
      </c>
      <c r="AN16" s="9" t="n">
        <v>0.21</v>
      </c>
      <c r="AO16" s="9" t="n">
        <v>0.2113</v>
      </c>
      <c r="AP16" s="9" t="n">
        <v>0.2105</v>
      </c>
      <c r="AQ16" s="9" t="n">
        <v>0.2103</v>
      </c>
    </row>
    <row r="17" ht="20" customHeight="1">
      <c r="A17" s="3" t="inlineStr">
        <is>
          <t>Energy</t>
        </is>
      </c>
      <c r="B17" s="3" t="inlineStr">
        <is>
          <t>Cost (Electricity for CNC, saws and dust extraction)</t>
        </is>
      </c>
      <c r="C17" s="4" t="n">
        <v>19214.3209</v>
      </c>
      <c r="D17" s="3" t="inlineStr">
        <is>
          <t>kWh</t>
        </is>
      </c>
      <c r="E17" s="5">
        <f>E16</f>
        <v/>
      </c>
      <c r="F17" s="3" t="inlineStr">
        <is>
          <t>Electricity</t>
        </is>
      </c>
      <c r="G17" s="3" t="inlineStr">
        <is>
          <t>Cost = quantity x seasonality x monthly market price</t>
        </is>
      </c>
      <c r="H17" s="5">
        <f>$C17*'Hypotheses'!C$17*H16</f>
        <v/>
      </c>
      <c r="I17" s="5">
        <f>$C17*'Hypotheses'!D$17*I16</f>
        <v/>
      </c>
      <c r="J17" s="5">
        <f>$C17*'Hypotheses'!E$17*J16</f>
        <v/>
      </c>
      <c r="K17" s="5">
        <f>$C17*'Hypotheses'!F$17*K16</f>
        <v/>
      </c>
      <c r="L17" s="5">
        <f>$C17*'Hypotheses'!G$17*L16</f>
        <v/>
      </c>
      <c r="M17" s="5">
        <f>$C17*'Hypotheses'!H$17*M16</f>
        <v/>
      </c>
      <c r="N17" s="5">
        <f>$C17*'Hypotheses'!I$17*N16</f>
        <v/>
      </c>
      <c r="O17" s="5">
        <f>$C17*'Hypotheses'!J$17*O16</f>
        <v/>
      </c>
      <c r="P17" s="5">
        <f>$C17*'Hypotheses'!K$17*P16</f>
        <v/>
      </c>
      <c r="Q17" s="5">
        <f>$C17*'Hypotheses'!L$17*Q16</f>
        <v/>
      </c>
      <c r="R17" s="5">
        <f>$C17*'Hypotheses'!M$17*R16</f>
        <v/>
      </c>
      <c r="S17" s="5">
        <f>$C17*'Hypotheses'!N$17*S16</f>
        <v/>
      </c>
      <c r="T17" s="5">
        <f>$C17*'Hypotheses'!C$17*T16</f>
        <v/>
      </c>
      <c r="U17" s="5">
        <f>$C17*'Hypotheses'!D$17*U16</f>
        <v/>
      </c>
      <c r="V17" s="5">
        <f>$C17*'Hypotheses'!E$17*V16</f>
        <v/>
      </c>
      <c r="W17" s="5">
        <f>$C17*'Hypotheses'!F$17*W16</f>
        <v/>
      </c>
      <c r="X17" s="5">
        <f>$C17*'Hypotheses'!G$17*X16</f>
        <v/>
      </c>
      <c r="Y17" s="5">
        <f>$C17*'Hypotheses'!H$17*Y16</f>
        <v/>
      </c>
      <c r="Z17" s="5">
        <f>$C17*'Hypotheses'!I$17*Z16</f>
        <v/>
      </c>
      <c r="AA17" s="5">
        <f>$C17*'Hypotheses'!J$17*AA16</f>
        <v/>
      </c>
      <c r="AB17" s="5">
        <f>$C17*'Hypotheses'!K$17*AB16</f>
        <v/>
      </c>
      <c r="AC17" s="5">
        <f>$C17*'Hypotheses'!L$17*AC16</f>
        <v/>
      </c>
      <c r="AD17" s="5">
        <f>$C17*'Hypotheses'!M$17*AD16</f>
        <v/>
      </c>
      <c r="AE17" s="5">
        <f>$C17*'Hypotheses'!N$17*AE16</f>
        <v/>
      </c>
      <c r="AF17" s="5">
        <f>$C17*'Hypotheses'!C$17*AF16</f>
        <v/>
      </c>
      <c r="AG17" s="5">
        <f>$C17*'Hypotheses'!D$17*AG16</f>
        <v/>
      </c>
      <c r="AH17" s="5">
        <f>$C17*'Hypotheses'!E$17*AH16</f>
        <v/>
      </c>
      <c r="AI17" s="5">
        <f>$C17*'Hypotheses'!F$17*AI16</f>
        <v/>
      </c>
      <c r="AJ17" s="5">
        <f>$C17*'Hypotheses'!G$17*AJ16</f>
        <v/>
      </c>
      <c r="AK17" s="5">
        <f>$C17*'Hypotheses'!H$17*AK16</f>
        <v/>
      </c>
      <c r="AL17" s="5">
        <f>$C17*'Hypotheses'!I$17*AL16</f>
        <v/>
      </c>
      <c r="AM17" s="5">
        <f>$C17*'Hypotheses'!J$17*AM16</f>
        <v/>
      </c>
      <c r="AN17" s="5">
        <f>$C17*'Hypotheses'!K$17*AN16</f>
        <v/>
      </c>
      <c r="AO17" s="5">
        <f>$C17*'Hypotheses'!L$17*AO16</f>
        <v/>
      </c>
      <c r="AP17" s="5">
        <f>$C17*'Hypotheses'!M$17*AP16</f>
        <v/>
      </c>
      <c r="AQ17" s="5">
        <f>$C17*'Hypotheses'!N$17*AQ16</f>
        <v/>
      </c>
    </row>
    <row r="18" ht="20" customHeight="1">
      <c r="A18" s="10" t="inlineStr">
        <is>
          <t>SOUS-TOTAL Energy</t>
        </is>
      </c>
      <c r="B18" s="10" t="n"/>
      <c r="C18" s="10" t="n"/>
      <c r="D18" s="10" t="n"/>
      <c r="E18" s="10" t="n"/>
      <c r="F18" s="10" t="n"/>
      <c r="G18" s="10" t="n"/>
      <c r="H18" s="10">
        <f>SUM(H17)</f>
        <v/>
      </c>
      <c r="I18" s="10">
        <f>SUM(I17)</f>
        <v/>
      </c>
      <c r="J18" s="10">
        <f>SUM(J17)</f>
        <v/>
      </c>
      <c r="K18" s="10">
        <f>SUM(K17)</f>
        <v/>
      </c>
      <c r="L18" s="10">
        <f>SUM(L17)</f>
        <v/>
      </c>
      <c r="M18" s="10">
        <f>SUM(M17)</f>
        <v/>
      </c>
      <c r="N18" s="10">
        <f>SUM(N17)</f>
        <v/>
      </c>
      <c r="O18" s="10">
        <f>SUM(O17)</f>
        <v/>
      </c>
      <c r="P18" s="10">
        <f>SUM(P17)</f>
        <v/>
      </c>
      <c r="Q18" s="10">
        <f>SUM(Q17)</f>
        <v/>
      </c>
      <c r="R18" s="10">
        <f>SUM(R17)</f>
        <v/>
      </c>
      <c r="S18" s="10">
        <f>SUM(S17)</f>
        <v/>
      </c>
      <c r="T18" s="10">
        <f>SUM(T17)</f>
        <v/>
      </c>
      <c r="U18" s="10">
        <f>SUM(U17)</f>
        <v/>
      </c>
      <c r="V18" s="10">
        <f>SUM(V17)</f>
        <v/>
      </c>
      <c r="W18" s="10">
        <f>SUM(W17)</f>
        <v/>
      </c>
      <c r="X18" s="10">
        <f>SUM(X17)</f>
        <v/>
      </c>
      <c r="Y18" s="10">
        <f>SUM(Y17)</f>
        <v/>
      </c>
      <c r="Z18" s="10">
        <f>SUM(Z17)</f>
        <v/>
      </c>
      <c r="AA18" s="10">
        <f>SUM(AA17)</f>
        <v/>
      </c>
      <c r="AB18" s="10">
        <f>SUM(AB17)</f>
        <v/>
      </c>
      <c r="AC18" s="10">
        <f>SUM(AC17)</f>
        <v/>
      </c>
      <c r="AD18" s="10">
        <f>SUM(AD17)</f>
        <v/>
      </c>
      <c r="AE18" s="10">
        <f>SUM(AE17)</f>
        <v/>
      </c>
      <c r="AF18" s="10">
        <f>SUM(AF17)</f>
        <v/>
      </c>
      <c r="AG18" s="10">
        <f>SUM(AG17)</f>
        <v/>
      </c>
      <c r="AH18" s="10">
        <f>SUM(AH17)</f>
        <v/>
      </c>
      <c r="AI18" s="10">
        <f>SUM(AI17)</f>
        <v/>
      </c>
      <c r="AJ18" s="10">
        <f>SUM(AJ17)</f>
        <v/>
      </c>
      <c r="AK18" s="10">
        <f>SUM(AK17)</f>
        <v/>
      </c>
      <c r="AL18" s="10">
        <f>SUM(AL17)</f>
        <v/>
      </c>
      <c r="AM18" s="10">
        <f>SUM(AM17)</f>
        <v/>
      </c>
      <c r="AN18" s="10">
        <f>SUM(AN17)</f>
        <v/>
      </c>
      <c r="AO18" s="10">
        <f>SUM(AO17)</f>
        <v/>
      </c>
      <c r="AP18" s="10">
        <f>SUM(AP17)</f>
        <v/>
      </c>
      <c r="AQ18" s="10">
        <f>SUM(AQ17)</f>
        <v/>
      </c>
    </row>
    <row r="19" ht="20" customHeight="1">
      <c r="A19" s="3" t="inlineStr">
        <is>
          <t>Fuel and mobility</t>
        </is>
      </c>
      <c r="B19" s="3" t="inlineStr">
        <is>
          <t>Delivery fuel - market price</t>
        </is>
      </c>
      <c r="C19" s="4" t="n">
        <v>1881.2612</v>
      </c>
      <c r="D19" s="3" t="inlineStr">
        <is>
          <t>L</t>
        </is>
      </c>
      <c r="E19" s="3">
        <f>AVERAGE(H19:AQ19)</f>
        <v/>
      </c>
      <c r="F19" s="3" t="inlineStr">
        <is>
          <t>Oil</t>
        </is>
      </c>
      <c r="G19" s="9" t="inlineStr">
        <is>
          <t>INSEE BDM 010002076: Cours des matières premières importées - Gazole à faible teneur en soufre - Prix en euros par tonne - CAF - 1% de soufre; normalized to model unit price</t>
        </is>
      </c>
      <c r="H19" s="9" t="n">
        <v>1.62</v>
      </c>
      <c r="I19" s="9" t="n">
        <v>1.8426</v>
      </c>
      <c r="J19" s="9" t="n">
        <v>1.9319</v>
      </c>
      <c r="K19" s="9" t="n">
        <v>1.9055</v>
      </c>
      <c r="L19" s="9" t="n">
        <v>2.0115</v>
      </c>
      <c r="M19" s="9" t="n">
        <v>2.161</v>
      </c>
      <c r="N19" s="9" t="n">
        <v>2.2288</v>
      </c>
      <c r="O19" s="9" t="n">
        <v>2.1654</v>
      </c>
      <c r="P19" s="9" t="n">
        <v>2.351</v>
      </c>
      <c r="Q19" s="9" t="n">
        <v>2.7408</v>
      </c>
      <c r="R19" s="9" t="n">
        <v>2.6638</v>
      </c>
      <c r="S19" s="9" t="n">
        <v>2.5164</v>
      </c>
      <c r="T19" s="9" t="n">
        <v>2.9022</v>
      </c>
      <c r="U19" s="9" t="n">
        <v>3.2268</v>
      </c>
      <c r="V19" s="9" t="n">
        <v>4.5798</v>
      </c>
      <c r="W19" s="9" t="n">
        <v>4.4676</v>
      </c>
      <c r="X19" s="9" t="n">
        <v>4.7148</v>
      </c>
      <c r="Y19" s="9" t="n">
        <v>5.3966</v>
      </c>
      <c r="Z19" s="9" t="n">
        <v>4.8169</v>
      </c>
      <c r="AA19" s="9" t="n">
        <v>4.622</v>
      </c>
      <c r="AB19" s="9" t="n">
        <v>4.5261</v>
      </c>
      <c r="AC19" s="9" t="n">
        <v>5.0421</v>
      </c>
      <c r="AD19" s="9" t="n">
        <v>4.268</v>
      </c>
      <c r="AE19" s="9" t="n">
        <v>3.6834</v>
      </c>
      <c r="AF19" s="9" t="n">
        <v>3.7749</v>
      </c>
      <c r="AG19" s="9" t="n">
        <v>3.3671</v>
      </c>
      <c r="AH19" s="9" t="n">
        <v>3.2519</v>
      </c>
      <c r="AI19" s="9" t="n">
        <v>3.0007</v>
      </c>
      <c r="AJ19" s="9" t="n">
        <v>2.7496</v>
      </c>
      <c r="AK19" s="9" t="n">
        <v>2.8727</v>
      </c>
      <c r="AL19" s="9" t="n">
        <v>3.0931</v>
      </c>
      <c r="AM19" s="9" t="n">
        <v>3.6693</v>
      </c>
      <c r="AN19" s="9" t="n">
        <v>4.0102</v>
      </c>
      <c r="AO19" s="9" t="n">
        <v>3.7586</v>
      </c>
      <c r="AP19" s="9" t="n">
        <v>3.3966</v>
      </c>
      <c r="AQ19" s="9" t="n">
        <v>3.1353</v>
      </c>
    </row>
    <row r="20" ht="20" customHeight="1">
      <c r="A20" s="3" t="inlineStr">
        <is>
          <t>Fuel and mobility</t>
        </is>
      </c>
      <c r="B20" s="3" t="inlineStr">
        <is>
          <t>Cost (Delivery fuel)</t>
        </is>
      </c>
      <c r="C20" s="4" t="n">
        <v>1881.2612</v>
      </c>
      <c r="D20" s="3" t="inlineStr">
        <is>
          <t>L</t>
        </is>
      </c>
      <c r="E20" s="5">
        <f>E19</f>
        <v/>
      </c>
      <c r="F20" s="3" t="inlineStr">
        <is>
          <t>Oil</t>
        </is>
      </c>
      <c r="G20" s="3" t="inlineStr">
        <is>
          <t>Cost = quantity x seasonality x monthly market price</t>
        </is>
      </c>
      <c r="H20" s="5">
        <f>$C20*'Hypotheses'!C$17*H19</f>
        <v/>
      </c>
      <c r="I20" s="5">
        <f>$C20*'Hypotheses'!D$17*I19</f>
        <v/>
      </c>
      <c r="J20" s="5">
        <f>$C20*'Hypotheses'!E$17*J19</f>
        <v/>
      </c>
      <c r="K20" s="5">
        <f>$C20*'Hypotheses'!F$17*K19</f>
        <v/>
      </c>
      <c r="L20" s="5">
        <f>$C20*'Hypotheses'!G$17*L19</f>
        <v/>
      </c>
      <c r="M20" s="5">
        <f>$C20*'Hypotheses'!H$17*M19</f>
        <v/>
      </c>
      <c r="N20" s="5">
        <f>$C20*'Hypotheses'!I$17*N19</f>
        <v/>
      </c>
      <c r="O20" s="5">
        <f>$C20*'Hypotheses'!J$17*O19</f>
        <v/>
      </c>
      <c r="P20" s="5">
        <f>$C20*'Hypotheses'!K$17*P19</f>
        <v/>
      </c>
      <c r="Q20" s="5">
        <f>$C20*'Hypotheses'!L$17*Q19</f>
        <v/>
      </c>
      <c r="R20" s="5">
        <f>$C20*'Hypotheses'!M$17*R19</f>
        <v/>
      </c>
      <c r="S20" s="5">
        <f>$C20*'Hypotheses'!N$17*S19</f>
        <v/>
      </c>
      <c r="T20" s="5">
        <f>$C20*'Hypotheses'!C$17*T19</f>
        <v/>
      </c>
      <c r="U20" s="5">
        <f>$C20*'Hypotheses'!D$17*U19</f>
        <v/>
      </c>
      <c r="V20" s="5">
        <f>$C20*'Hypotheses'!E$17*V19</f>
        <v/>
      </c>
      <c r="W20" s="5">
        <f>$C20*'Hypotheses'!F$17*W19</f>
        <v/>
      </c>
      <c r="X20" s="5">
        <f>$C20*'Hypotheses'!G$17*X19</f>
        <v/>
      </c>
      <c r="Y20" s="5">
        <f>$C20*'Hypotheses'!H$17*Y19</f>
        <v/>
      </c>
      <c r="Z20" s="5">
        <f>$C20*'Hypotheses'!I$17*Z19</f>
        <v/>
      </c>
      <c r="AA20" s="5">
        <f>$C20*'Hypotheses'!J$17*AA19</f>
        <v/>
      </c>
      <c r="AB20" s="5">
        <f>$C20*'Hypotheses'!K$17*AB19</f>
        <v/>
      </c>
      <c r="AC20" s="5">
        <f>$C20*'Hypotheses'!L$17*AC19</f>
        <v/>
      </c>
      <c r="AD20" s="5">
        <f>$C20*'Hypotheses'!M$17*AD19</f>
        <v/>
      </c>
      <c r="AE20" s="5">
        <f>$C20*'Hypotheses'!N$17*AE19</f>
        <v/>
      </c>
      <c r="AF20" s="5">
        <f>$C20*'Hypotheses'!C$17*AF19</f>
        <v/>
      </c>
      <c r="AG20" s="5">
        <f>$C20*'Hypotheses'!D$17*AG19</f>
        <v/>
      </c>
      <c r="AH20" s="5">
        <f>$C20*'Hypotheses'!E$17*AH19</f>
        <v/>
      </c>
      <c r="AI20" s="5">
        <f>$C20*'Hypotheses'!F$17*AI19</f>
        <v/>
      </c>
      <c r="AJ20" s="5">
        <f>$C20*'Hypotheses'!G$17*AJ19</f>
        <v/>
      </c>
      <c r="AK20" s="5">
        <f>$C20*'Hypotheses'!H$17*AK19</f>
        <v/>
      </c>
      <c r="AL20" s="5">
        <f>$C20*'Hypotheses'!I$17*AL19</f>
        <v/>
      </c>
      <c r="AM20" s="5">
        <f>$C20*'Hypotheses'!J$17*AM19</f>
        <v/>
      </c>
      <c r="AN20" s="5">
        <f>$C20*'Hypotheses'!K$17*AN19</f>
        <v/>
      </c>
      <c r="AO20" s="5">
        <f>$C20*'Hypotheses'!L$17*AO19</f>
        <v/>
      </c>
      <c r="AP20" s="5">
        <f>$C20*'Hypotheses'!M$17*AP19</f>
        <v/>
      </c>
      <c r="AQ20" s="5">
        <f>$C20*'Hypotheses'!N$17*AQ19</f>
        <v/>
      </c>
    </row>
    <row r="21" ht="20" customHeight="1">
      <c r="A21" s="10" t="inlineStr">
        <is>
          <t>SOUS-TOTAL Fuel and mobility</t>
        </is>
      </c>
      <c r="B21" s="10" t="n"/>
      <c r="C21" s="10" t="n"/>
      <c r="D21" s="10" t="n"/>
      <c r="E21" s="10" t="n"/>
      <c r="F21" s="10" t="n"/>
      <c r="G21" s="10" t="n"/>
      <c r="H21" s="10">
        <f>SUM(H20)</f>
        <v/>
      </c>
      <c r="I21" s="10">
        <f>SUM(I20)</f>
        <v/>
      </c>
      <c r="J21" s="10">
        <f>SUM(J20)</f>
        <v/>
      </c>
      <c r="K21" s="10">
        <f>SUM(K20)</f>
        <v/>
      </c>
      <c r="L21" s="10">
        <f>SUM(L20)</f>
        <v/>
      </c>
      <c r="M21" s="10">
        <f>SUM(M20)</f>
        <v/>
      </c>
      <c r="N21" s="10">
        <f>SUM(N20)</f>
        <v/>
      </c>
      <c r="O21" s="10">
        <f>SUM(O20)</f>
        <v/>
      </c>
      <c r="P21" s="10">
        <f>SUM(P20)</f>
        <v/>
      </c>
      <c r="Q21" s="10">
        <f>SUM(Q20)</f>
        <v/>
      </c>
      <c r="R21" s="10">
        <f>SUM(R20)</f>
        <v/>
      </c>
      <c r="S21" s="10">
        <f>SUM(S20)</f>
        <v/>
      </c>
      <c r="T21" s="10">
        <f>SUM(T20)</f>
        <v/>
      </c>
      <c r="U21" s="10">
        <f>SUM(U20)</f>
        <v/>
      </c>
      <c r="V21" s="10">
        <f>SUM(V20)</f>
        <v/>
      </c>
      <c r="W21" s="10">
        <f>SUM(W20)</f>
        <v/>
      </c>
      <c r="X21" s="10">
        <f>SUM(X20)</f>
        <v/>
      </c>
      <c r="Y21" s="10">
        <f>SUM(Y20)</f>
        <v/>
      </c>
      <c r="Z21" s="10">
        <f>SUM(Z20)</f>
        <v/>
      </c>
      <c r="AA21" s="10">
        <f>SUM(AA20)</f>
        <v/>
      </c>
      <c r="AB21" s="10">
        <f>SUM(AB20)</f>
        <v/>
      </c>
      <c r="AC21" s="10">
        <f>SUM(AC20)</f>
        <v/>
      </c>
      <c r="AD21" s="10">
        <f>SUM(AD20)</f>
        <v/>
      </c>
      <c r="AE21" s="10">
        <f>SUM(AE20)</f>
        <v/>
      </c>
      <c r="AF21" s="10">
        <f>SUM(AF20)</f>
        <v/>
      </c>
      <c r="AG21" s="10">
        <f>SUM(AG20)</f>
        <v/>
      </c>
      <c r="AH21" s="10">
        <f>SUM(AH20)</f>
        <v/>
      </c>
      <c r="AI21" s="10">
        <f>SUM(AI20)</f>
        <v/>
      </c>
      <c r="AJ21" s="10">
        <f>SUM(AJ20)</f>
        <v/>
      </c>
      <c r="AK21" s="10">
        <f>SUM(AK20)</f>
        <v/>
      </c>
      <c r="AL21" s="10">
        <f>SUM(AL20)</f>
        <v/>
      </c>
      <c r="AM21" s="10">
        <f>SUM(AM20)</f>
        <v/>
      </c>
      <c r="AN21" s="10">
        <f>SUM(AN20)</f>
        <v/>
      </c>
      <c r="AO21" s="10">
        <f>SUM(AO20)</f>
        <v/>
      </c>
      <c r="AP21" s="10">
        <f>SUM(AP20)</f>
        <v/>
      </c>
      <c r="AQ21" s="10">
        <f>SUM(AQ20)</f>
        <v/>
      </c>
    </row>
    <row r="22" ht="20" customHeight="1">
      <c r="A22" s="3" t="inlineStr">
        <is>
          <t>Personnel</t>
        </is>
      </c>
      <c r="B22" s="3" t="inlineStr">
        <is>
          <t>Workshop payroll and charges - market price</t>
        </is>
      </c>
      <c r="C22" s="4" t="n">
        <v>1.0083</v>
      </c>
      <c r="D22" s="3" t="inlineStr">
        <is>
          <t>monthly package</t>
        </is>
      </c>
      <c r="E22" s="3">
        <f>AVERAGE(H22:AQ22)</f>
        <v/>
      </c>
      <c r="F22" s="3" t="n"/>
      <c r="G22" s="9" t="inlineStr">
        <is>
          <t>INSEE BDM 010762004: Indice du coût du travail - Coût horaire - Industrie manufacturière (NAF rév. 2 section C) - Base 100 en 2020 ; normalized to model unit price</t>
        </is>
      </c>
      <c r="H22" s="9" t="n">
        <v>38750</v>
      </c>
      <c r="I22" s="9" t="n">
        <v>38750</v>
      </c>
      <c r="J22" s="9" t="n">
        <v>38750</v>
      </c>
      <c r="K22" s="9" t="n">
        <v>38750</v>
      </c>
      <c r="L22" s="9" t="n">
        <v>38750</v>
      </c>
      <c r="M22" s="9" t="n">
        <v>38750</v>
      </c>
      <c r="N22" s="9" t="n">
        <v>38750</v>
      </c>
      <c r="O22" s="9" t="n">
        <v>38750</v>
      </c>
      <c r="P22" s="9" t="n">
        <v>38750</v>
      </c>
      <c r="Q22" s="9" t="n">
        <v>38750</v>
      </c>
      <c r="R22" s="9" t="n">
        <v>38750</v>
      </c>
      <c r="S22" s="9" t="n">
        <v>38750</v>
      </c>
      <c r="T22" s="9" t="n">
        <v>38750</v>
      </c>
      <c r="U22" s="9" t="n">
        <v>38750</v>
      </c>
      <c r="V22" s="9" t="n">
        <v>38750</v>
      </c>
      <c r="W22" s="9" t="n">
        <v>38750</v>
      </c>
      <c r="X22" s="9" t="n">
        <v>38750</v>
      </c>
      <c r="Y22" s="9" t="n">
        <v>38750</v>
      </c>
      <c r="Z22" s="9" t="n">
        <v>38750</v>
      </c>
      <c r="AA22" s="9" t="n">
        <v>38750</v>
      </c>
      <c r="AB22" s="9" t="n">
        <v>38750</v>
      </c>
      <c r="AC22" s="9" t="n">
        <v>38750</v>
      </c>
      <c r="AD22" s="9" t="n">
        <v>38750</v>
      </c>
      <c r="AE22" s="9" t="n">
        <v>38750</v>
      </c>
      <c r="AF22" s="9" t="n">
        <v>38750</v>
      </c>
      <c r="AG22" s="9" t="n">
        <v>38750</v>
      </c>
      <c r="AH22" s="9" t="n">
        <v>38750</v>
      </c>
      <c r="AI22" s="9" t="n">
        <v>38750</v>
      </c>
      <c r="AJ22" s="9" t="n">
        <v>38750</v>
      </c>
      <c r="AK22" s="9" t="n">
        <v>38750</v>
      </c>
      <c r="AL22" s="9" t="n">
        <v>38750</v>
      </c>
      <c r="AM22" s="9" t="n">
        <v>38750</v>
      </c>
      <c r="AN22" s="9" t="n">
        <v>38750</v>
      </c>
      <c r="AO22" s="9" t="n">
        <v>38750</v>
      </c>
      <c r="AP22" s="9" t="n">
        <v>38750</v>
      </c>
      <c r="AQ22" s="9" t="n">
        <v>38750</v>
      </c>
    </row>
    <row r="23" ht="20" customHeight="1">
      <c r="A23" s="3" t="inlineStr">
        <is>
          <t>Personnel</t>
        </is>
      </c>
      <c r="B23" s="3" t="inlineStr">
        <is>
          <t>Cost (Workshop payroll and charges)</t>
        </is>
      </c>
      <c r="C23" s="4" t="n">
        <v>1.0083</v>
      </c>
      <c r="D23" s="3" t="inlineStr">
        <is>
          <t>monthly package</t>
        </is>
      </c>
      <c r="E23" s="5">
        <f>E22</f>
        <v/>
      </c>
      <c r="F23" s="3" t="n"/>
      <c r="G23" s="3" t="inlineStr">
        <is>
          <t>Cost = quantity x seasonality x monthly market price</t>
        </is>
      </c>
      <c r="H23" s="5">
        <f>$C23*H22</f>
        <v/>
      </c>
      <c r="I23" s="5">
        <f>$C23*I22</f>
        <v/>
      </c>
      <c r="J23" s="5">
        <f>$C23*J22</f>
        <v/>
      </c>
      <c r="K23" s="5">
        <f>$C23*K22</f>
        <v/>
      </c>
      <c r="L23" s="5">
        <f>$C23*L22</f>
        <v/>
      </c>
      <c r="M23" s="5">
        <f>$C23*M22</f>
        <v/>
      </c>
      <c r="N23" s="5">
        <f>$C23*N22</f>
        <v/>
      </c>
      <c r="O23" s="5">
        <f>$C23*O22</f>
        <v/>
      </c>
      <c r="P23" s="5">
        <f>$C23*P22</f>
        <v/>
      </c>
      <c r="Q23" s="5">
        <f>$C23*Q22</f>
        <v/>
      </c>
      <c r="R23" s="5">
        <f>$C23*R22</f>
        <v/>
      </c>
      <c r="S23" s="5">
        <f>$C23*S22</f>
        <v/>
      </c>
      <c r="T23" s="5">
        <f>$C23*T22</f>
        <v/>
      </c>
      <c r="U23" s="5">
        <f>$C23*U22</f>
        <v/>
      </c>
      <c r="V23" s="5">
        <f>$C23*V22</f>
        <v/>
      </c>
      <c r="W23" s="5">
        <f>$C23*W22</f>
        <v/>
      </c>
      <c r="X23" s="5">
        <f>$C23*X22</f>
        <v/>
      </c>
      <c r="Y23" s="5">
        <f>$C23*Y22</f>
        <v/>
      </c>
      <c r="Z23" s="5">
        <f>$C23*Z22</f>
        <v/>
      </c>
      <c r="AA23" s="5">
        <f>$C23*AA22</f>
        <v/>
      </c>
      <c r="AB23" s="5">
        <f>$C23*AB22</f>
        <v/>
      </c>
      <c r="AC23" s="5">
        <f>$C23*AC22</f>
        <v/>
      </c>
      <c r="AD23" s="5">
        <f>$C23*AD22</f>
        <v/>
      </c>
      <c r="AE23" s="5">
        <f>$C23*AE22</f>
        <v/>
      </c>
      <c r="AF23" s="5">
        <f>$C23*AF22</f>
        <v/>
      </c>
      <c r="AG23" s="5">
        <f>$C23*AG22</f>
        <v/>
      </c>
      <c r="AH23" s="5">
        <f>$C23*AH22</f>
        <v/>
      </c>
      <c r="AI23" s="5">
        <f>$C23*AI22</f>
        <v/>
      </c>
      <c r="AJ23" s="5">
        <f>$C23*AJ22</f>
        <v/>
      </c>
      <c r="AK23" s="5">
        <f>$C23*AK22</f>
        <v/>
      </c>
      <c r="AL23" s="5">
        <f>$C23*AL22</f>
        <v/>
      </c>
      <c r="AM23" s="5">
        <f>$C23*AM22</f>
        <v/>
      </c>
      <c r="AN23" s="5">
        <f>$C23*AN22</f>
        <v/>
      </c>
      <c r="AO23" s="5">
        <f>$C23*AO22</f>
        <v/>
      </c>
      <c r="AP23" s="5">
        <f>$C23*AP22</f>
        <v/>
      </c>
      <c r="AQ23" s="5">
        <f>$C23*AQ22</f>
        <v/>
      </c>
    </row>
    <row r="24" ht="20" customHeight="1">
      <c r="A24" s="10" t="inlineStr">
        <is>
          <t>SOUS-TOTAL Personnel</t>
        </is>
      </c>
      <c r="B24" s="10" t="n"/>
      <c r="C24" s="10" t="n"/>
      <c r="D24" s="10" t="n"/>
      <c r="E24" s="10" t="n"/>
      <c r="F24" s="10" t="n"/>
      <c r="G24" s="10" t="n"/>
      <c r="H24" s="10">
        <f>SUM(H23)</f>
        <v/>
      </c>
      <c r="I24" s="10">
        <f>SUM(I23)</f>
        <v/>
      </c>
      <c r="J24" s="10">
        <f>SUM(J23)</f>
        <v/>
      </c>
      <c r="K24" s="10">
        <f>SUM(K23)</f>
        <v/>
      </c>
      <c r="L24" s="10">
        <f>SUM(L23)</f>
        <v/>
      </c>
      <c r="M24" s="10">
        <f>SUM(M23)</f>
        <v/>
      </c>
      <c r="N24" s="10">
        <f>SUM(N23)</f>
        <v/>
      </c>
      <c r="O24" s="10">
        <f>SUM(O23)</f>
        <v/>
      </c>
      <c r="P24" s="10">
        <f>SUM(P23)</f>
        <v/>
      </c>
      <c r="Q24" s="10">
        <f>SUM(Q23)</f>
        <v/>
      </c>
      <c r="R24" s="10">
        <f>SUM(R23)</f>
        <v/>
      </c>
      <c r="S24" s="10">
        <f>SUM(S23)</f>
        <v/>
      </c>
      <c r="T24" s="10">
        <f>SUM(T23)</f>
        <v/>
      </c>
      <c r="U24" s="10">
        <f>SUM(U23)</f>
        <v/>
      </c>
      <c r="V24" s="10">
        <f>SUM(V23)</f>
        <v/>
      </c>
      <c r="W24" s="10">
        <f>SUM(W23)</f>
        <v/>
      </c>
      <c r="X24" s="10">
        <f>SUM(X23)</f>
        <v/>
      </c>
      <c r="Y24" s="10">
        <f>SUM(Y23)</f>
        <v/>
      </c>
      <c r="Z24" s="10">
        <f>SUM(Z23)</f>
        <v/>
      </c>
      <c r="AA24" s="10">
        <f>SUM(AA23)</f>
        <v/>
      </c>
      <c r="AB24" s="10">
        <f>SUM(AB23)</f>
        <v/>
      </c>
      <c r="AC24" s="10">
        <f>SUM(AC23)</f>
        <v/>
      </c>
      <c r="AD24" s="10">
        <f>SUM(AD23)</f>
        <v/>
      </c>
      <c r="AE24" s="10">
        <f>SUM(AE23)</f>
        <v/>
      </c>
      <c r="AF24" s="10">
        <f>SUM(AF23)</f>
        <v/>
      </c>
      <c r="AG24" s="10">
        <f>SUM(AG23)</f>
        <v/>
      </c>
      <c r="AH24" s="10">
        <f>SUM(AH23)</f>
        <v/>
      </c>
      <c r="AI24" s="10">
        <f>SUM(AI23)</f>
        <v/>
      </c>
      <c r="AJ24" s="10">
        <f>SUM(AJ23)</f>
        <v/>
      </c>
      <c r="AK24" s="10">
        <f>SUM(AK23)</f>
        <v/>
      </c>
      <c r="AL24" s="10">
        <f>SUM(AL23)</f>
        <v/>
      </c>
      <c r="AM24" s="10">
        <f>SUM(AM23)</f>
        <v/>
      </c>
      <c r="AN24" s="10">
        <f>SUM(AN23)</f>
        <v/>
      </c>
      <c r="AO24" s="10">
        <f>SUM(AO23)</f>
        <v/>
      </c>
      <c r="AP24" s="10">
        <f>SUM(AP23)</f>
        <v/>
      </c>
      <c r="AQ24" s="10">
        <f>SUM(AQ23)</f>
        <v/>
      </c>
    </row>
    <row r="25" ht="20" customHeight="1">
      <c r="A25" s="3" t="inlineStr">
        <is>
          <t>Fixed costs</t>
        </is>
      </c>
      <c r="B25" s="3" t="inlineStr">
        <is>
          <t>Workshop rent - market price</t>
        </is>
      </c>
      <c r="C25" s="4" t="n">
        <v>0.9647</v>
      </c>
      <c r="D25" s="3" t="inlineStr">
        <is>
          <t>monthly package</t>
        </is>
      </c>
      <c r="E25" s="3">
        <f>AVERAGE(H25:AQ25)</f>
        <v/>
      </c>
      <c r="F25" s="3" t="n"/>
      <c r="G25" s="9" t="inlineStr">
        <is>
          <t>INSEE BDM 001532540: Indice des loyers commerciaux (ILC) - Base 100 au 1er trimestre 2008; normalized to model unit price</t>
        </is>
      </c>
      <c r="H25" s="9" t="n">
        <v>9375</v>
      </c>
      <c r="I25" s="9" t="n">
        <v>9375</v>
      </c>
      <c r="J25" s="9" t="n">
        <v>9375</v>
      </c>
      <c r="K25" s="9" t="n">
        <v>9375</v>
      </c>
      <c r="L25" s="9" t="n">
        <v>9375</v>
      </c>
      <c r="M25" s="9" t="n">
        <v>9375</v>
      </c>
      <c r="N25" s="9" t="n">
        <v>9375</v>
      </c>
      <c r="O25" s="9" t="n">
        <v>9375</v>
      </c>
      <c r="P25" s="9" t="n">
        <v>9375</v>
      </c>
      <c r="Q25" s="9" t="n">
        <v>9375</v>
      </c>
      <c r="R25" s="9" t="n">
        <v>9375</v>
      </c>
      <c r="S25" s="9" t="n">
        <v>9375</v>
      </c>
      <c r="T25" s="9" t="n">
        <v>9375</v>
      </c>
      <c r="U25" s="9" t="n">
        <v>9375</v>
      </c>
      <c r="V25" s="9" t="n">
        <v>9375</v>
      </c>
      <c r="W25" s="9" t="n">
        <v>9375</v>
      </c>
      <c r="X25" s="9" t="n">
        <v>9375</v>
      </c>
      <c r="Y25" s="9" t="n">
        <v>9375</v>
      </c>
      <c r="Z25" s="9" t="n">
        <v>9375</v>
      </c>
      <c r="AA25" s="9" t="n">
        <v>9375</v>
      </c>
      <c r="AB25" s="9" t="n">
        <v>9375</v>
      </c>
      <c r="AC25" s="9" t="n">
        <v>9375</v>
      </c>
      <c r="AD25" s="9" t="n">
        <v>9375</v>
      </c>
      <c r="AE25" s="9" t="n">
        <v>9375</v>
      </c>
      <c r="AF25" s="9" t="n">
        <v>9375</v>
      </c>
      <c r="AG25" s="9" t="n">
        <v>9375</v>
      </c>
      <c r="AH25" s="9" t="n">
        <v>9375</v>
      </c>
      <c r="AI25" s="9" t="n">
        <v>9375</v>
      </c>
      <c r="AJ25" s="9" t="n">
        <v>9375</v>
      </c>
      <c r="AK25" s="9" t="n">
        <v>9375</v>
      </c>
      <c r="AL25" s="9" t="n">
        <v>9375</v>
      </c>
      <c r="AM25" s="9" t="n">
        <v>9375</v>
      </c>
      <c r="AN25" s="9" t="n">
        <v>9375</v>
      </c>
      <c r="AO25" s="9" t="n">
        <v>9375</v>
      </c>
      <c r="AP25" s="9" t="n">
        <v>9375</v>
      </c>
      <c r="AQ25" s="9" t="n">
        <v>9375</v>
      </c>
    </row>
    <row r="26" ht="20" customHeight="1">
      <c r="A26" s="3" t="inlineStr">
        <is>
          <t>Fixed costs</t>
        </is>
      </c>
      <c r="B26" s="3" t="inlineStr">
        <is>
          <t>Cost (Workshop rent)</t>
        </is>
      </c>
      <c r="C26" s="4" t="n">
        <v>0.9647</v>
      </c>
      <c r="D26" s="3" t="inlineStr">
        <is>
          <t>monthly package</t>
        </is>
      </c>
      <c r="E26" s="5">
        <f>E25</f>
        <v/>
      </c>
      <c r="F26" s="3" t="n"/>
      <c r="G26" s="3" t="inlineStr">
        <is>
          <t>Cost = quantity x seasonality x monthly market price</t>
        </is>
      </c>
      <c r="H26" s="5">
        <f>$C26*H25</f>
        <v/>
      </c>
      <c r="I26" s="5">
        <f>$C26*I25</f>
        <v/>
      </c>
      <c r="J26" s="5">
        <f>$C26*J25</f>
        <v/>
      </c>
      <c r="K26" s="5">
        <f>$C26*K25</f>
        <v/>
      </c>
      <c r="L26" s="5">
        <f>$C26*L25</f>
        <v/>
      </c>
      <c r="M26" s="5">
        <f>$C26*M25</f>
        <v/>
      </c>
      <c r="N26" s="5">
        <f>$C26*N25</f>
        <v/>
      </c>
      <c r="O26" s="5">
        <f>$C26*O25</f>
        <v/>
      </c>
      <c r="P26" s="5">
        <f>$C26*P25</f>
        <v/>
      </c>
      <c r="Q26" s="5">
        <f>$C26*Q25</f>
        <v/>
      </c>
      <c r="R26" s="5">
        <f>$C26*R25</f>
        <v/>
      </c>
      <c r="S26" s="5">
        <f>$C26*S25</f>
        <v/>
      </c>
      <c r="T26" s="5">
        <f>$C26*T25</f>
        <v/>
      </c>
      <c r="U26" s="5">
        <f>$C26*U25</f>
        <v/>
      </c>
      <c r="V26" s="5">
        <f>$C26*V25</f>
        <v/>
      </c>
      <c r="W26" s="5">
        <f>$C26*W25</f>
        <v/>
      </c>
      <c r="X26" s="5">
        <f>$C26*X25</f>
        <v/>
      </c>
      <c r="Y26" s="5">
        <f>$C26*Y25</f>
        <v/>
      </c>
      <c r="Z26" s="5">
        <f>$C26*Z25</f>
        <v/>
      </c>
      <c r="AA26" s="5">
        <f>$C26*AA25</f>
        <v/>
      </c>
      <c r="AB26" s="5">
        <f>$C26*AB25</f>
        <v/>
      </c>
      <c r="AC26" s="5">
        <f>$C26*AC25</f>
        <v/>
      </c>
      <c r="AD26" s="5">
        <f>$C26*AD25</f>
        <v/>
      </c>
      <c r="AE26" s="5">
        <f>$C26*AE25</f>
        <v/>
      </c>
      <c r="AF26" s="5">
        <f>$C26*AF25</f>
        <v/>
      </c>
      <c r="AG26" s="5">
        <f>$C26*AG25</f>
        <v/>
      </c>
      <c r="AH26" s="5">
        <f>$C26*AH25</f>
        <v/>
      </c>
      <c r="AI26" s="5">
        <f>$C26*AI25</f>
        <v/>
      </c>
      <c r="AJ26" s="5">
        <f>$C26*AJ25</f>
        <v/>
      </c>
      <c r="AK26" s="5">
        <f>$C26*AK25</f>
        <v/>
      </c>
      <c r="AL26" s="5">
        <f>$C26*AL25</f>
        <v/>
      </c>
      <c r="AM26" s="5">
        <f>$C26*AM25</f>
        <v/>
      </c>
      <c r="AN26" s="5">
        <f>$C26*AN25</f>
        <v/>
      </c>
      <c r="AO26" s="5">
        <f>$C26*AO25</f>
        <v/>
      </c>
      <c r="AP26" s="5">
        <f>$C26*AP25</f>
        <v/>
      </c>
      <c r="AQ26" s="5">
        <f>$C26*AQ25</f>
        <v/>
      </c>
    </row>
    <row r="27" ht="20" customHeight="1">
      <c r="A27" s="3" t="inlineStr">
        <is>
          <t>Fixed costs</t>
        </is>
      </c>
      <c r="B27" s="3" t="inlineStr">
        <is>
          <t>Machine maintenance, blades and tooling - market price</t>
        </is>
      </c>
      <c r="C27" s="4" t="n">
        <v>1.0257</v>
      </c>
      <c r="D27" s="3" t="inlineStr">
        <is>
          <t>monthly package</t>
        </is>
      </c>
      <c r="E27" s="3">
        <f>AVERAGE(H27:AQ27)</f>
        <v/>
      </c>
      <c r="F27" s="3" t="n"/>
      <c r="G27" s="9" t="inlineStr">
        <is>
          <t>INSEE BDM 010777481: Indice mensuel des prix d'achat des moyens de production agricole (IPAMPA) - Entretien et réparation; normalized to model unit price</t>
        </is>
      </c>
      <c r="H27" s="9" t="n">
        <v>6250</v>
      </c>
      <c r="I27" s="9" t="n">
        <v>6256.1335</v>
      </c>
      <c r="J27" s="9" t="n">
        <v>6280.6673</v>
      </c>
      <c r="K27" s="9" t="n">
        <v>6262.2669</v>
      </c>
      <c r="L27" s="9" t="n">
        <v>6274.5339</v>
      </c>
      <c r="M27" s="9" t="n">
        <v>6292.9342</v>
      </c>
      <c r="N27" s="9" t="n">
        <v>6317.4681</v>
      </c>
      <c r="O27" s="9" t="n">
        <v>6317.4681</v>
      </c>
      <c r="P27" s="9" t="n">
        <v>6329.735</v>
      </c>
      <c r="Q27" s="9" t="n">
        <v>6354.2689</v>
      </c>
      <c r="R27" s="9" t="n">
        <v>6372.6693</v>
      </c>
      <c r="S27" s="9" t="n">
        <v>6391.0697</v>
      </c>
      <c r="T27" s="9" t="n">
        <v>6458.5378</v>
      </c>
      <c r="U27" s="9" t="n">
        <v>6483.0716</v>
      </c>
      <c r="V27" s="9" t="n">
        <v>6519.8724</v>
      </c>
      <c r="W27" s="9" t="n">
        <v>6562.8067</v>
      </c>
      <c r="X27" s="9" t="n">
        <v>6605.7409</v>
      </c>
      <c r="Y27" s="9" t="n">
        <v>6667.0756</v>
      </c>
      <c r="Z27" s="9" t="n">
        <v>6722.2767</v>
      </c>
      <c r="AA27" s="9" t="n">
        <v>6765.211</v>
      </c>
      <c r="AB27" s="9" t="n">
        <v>6795.8783</v>
      </c>
      <c r="AC27" s="9" t="n">
        <v>6820.4122</v>
      </c>
      <c r="AD27" s="9" t="n">
        <v>6844.946</v>
      </c>
      <c r="AE27" s="9" t="n">
        <v>6869.4799</v>
      </c>
      <c r="AF27" s="9" t="n">
        <v>7004.4161</v>
      </c>
      <c r="AG27" s="9" t="n">
        <v>7071.8842</v>
      </c>
      <c r="AH27" s="9" t="n">
        <v>7108.685</v>
      </c>
      <c r="AI27" s="9" t="n">
        <v>7145.4858</v>
      </c>
      <c r="AJ27" s="9" t="n">
        <v>7163.8862</v>
      </c>
      <c r="AK27" s="9" t="n">
        <v>7176.1531</v>
      </c>
      <c r="AL27" s="9" t="n">
        <v>7194.5535</v>
      </c>
      <c r="AM27" s="9" t="n">
        <v>7212.9539</v>
      </c>
      <c r="AN27" s="9" t="n">
        <v>7249.7547</v>
      </c>
      <c r="AO27" s="9" t="n">
        <v>7286.5554</v>
      </c>
      <c r="AP27" s="9" t="n">
        <v>7304.9558</v>
      </c>
      <c r="AQ27" s="9" t="n">
        <v>7323.3562</v>
      </c>
    </row>
    <row r="28" ht="20" customHeight="1">
      <c r="A28" s="3" t="inlineStr">
        <is>
          <t>Fixed costs</t>
        </is>
      </c>
      <c r="B28" s="3" t="inlineStr">
        <is>
          <t>Cost (Machine maintenance, blades and tooling)</t>
        </is>
      </c>
      <c r="C28" s="4" t="n">
        <v>1.0257</v>
      </c>
      <c r="D28" s="3" t="inlineStr">
        <is>
          <t>monthly package</t>
        </is>
      </c>
      <c r="E28" s="5">
        <f>E27</f>
        <v/>
      </c>
      <c r="F28" s="3" t="n"/>
      <c r="G28" s="3" t="inlineStr">
        <is>
          <t>Cost = quantity x seasonality x monthly market price</t>
        </is>
      </c>
      <c r="H28" s="5">
        <f>$C28*H27</f>
        <v/>
      </c>
      <c r="I28" s="5">
        <f>$C28*I27</f>
        <v/>
      </c>
      <c r="J28" s="5">
        <f>$C28*J27</f>
        <v/>
      </c>
      <c r="K28" s="5">
        <f>$C28*K27</f>
        <v/>
      </c>
      <c r="L28" s="5">
        <f>$C28*L27</f>
        <v/>
      </c>
      <c r="M28" s="5">
        <f>$C28*M27</f>
        <v/>
      </c>
      <c r="N28" s="5">
        <f>$C28*N27</f>
        <v/>
      </c>
      <c r="O28" s="5">
        <f>$C28*O27</f>
        <v/>
      </c>
      <c r="P28" s="5">
        <f>$C28*P27</f>
        <v/>
      </c>
      <c r="Q28" s="5">
        <f>$C28*Q27</f>
        <v/>
      </c>
      <c r="R28" s="5">
        <f>$C28*R27</f>
        <v/>
      </c>
      <c r="S28" s="5">
        <f>$C28*S27</f>
        <v/>
      </c>
      <c r="T28" s="5">
        <f>$C28*T27</f>
        <v/>
      </c>
      <c r="U28" s="5">
        <f>$C28*U27</f>
        <v/>
      </c>
      <c r="V28" s="5">
        <f>$C28*V27</f>
        <v/>
      </c>
      <c r="W28" s="5">
        <f>$C28*W27</f>
        <v/>
      </c>
      <c r="X28" s="5">
        <f>$C28*X27</f>
        <v/>
      </c>
      <c r="Y28" s="5">
        <f>$C28*Y27</f>
        <v/>
      </c>
      <c r="Z28" s="5">
        <f>$C28*Z27</f>
        <v/>
      </c>
      <c r="AA28" s="5">
        <f>$C28*AA27</f>
        <v/>
      </c>
      <c r="AB28" s="5">
        <f>$C28*AB27</f>
        <v/>
      </c>
      <c r="AC28" s="5">
        <f>$C28*AC27</f>
        <v/>
      </c>
      <c r="AD28" s="5">
        <f>$C28*AD27</f>
        <v/>
      </c>
      <c r="AE28" s="5">
        <f>$C28*AE27</f>
        <v/>
      </c>
      <c r="AF28" s="5">
        <f>$C28*AF27</f>
        <v/>
      </c>
      <c r="AG28" s="5">
        <f>$C28*AG27</f>
        <v/>
      </c>
      <c r="AH28" s="5">
        <f>$C28*AH27</f>
        <v/>
      </c>
      <c r="AI28" s="5">
        <f>$C28*AI27</f>
        <v/>
      </c>
      <c r="AJ28" s="5">
        <f>$C28*AJ27</f>
        <v/>
      </c>
      <c r="AK28" s="5">
        <f>$C28*AK27</f>
        <v/>
      </c>
      <c r="AL28" s="5">
        <f>$C28*AL27</f>
        <v/>
      </c>
      <c r="AM28" s="5">
        <f>$C28*AM27</f>
        <v/>
      </c>
      <c r="AN28" s="5">
        <f>$C28*AN27</f>
        <v/>
      </c>
      <c r="AO28" s="5">
        <f>$C28*AO27</f>
        <v/>
      </c>
      <c r="AP28" s="5">
        <f>$C28*AP27</f>
        <v/>
      </c>
      <c r="AQ28" s="5">
        <f>$C28*AQ27</f>
        <v/>
      </c>
    </row>
    <row r="29" ht="20" customHeight="1">
      <c r="A29" s="3" t="inlineStr">
        <is>
          <t>Fixed costs</t>
        </is>
      </c>
      <c r="B29" s="3" t="inlineStr">
        <is>
          <t>Insurance, admin, accounting - market price</t>
        </is>
      </c>
      <c r="C29" s="4" t="n">
        <v>0.9715</v>
      </c>
      <c r="D29" s="3" t="inlineStr">
        <is>
          <t>monthly package</t>
        </is>
      </c>
      <c r="E29" s="3">
        <f>AVERAGE(H29:AQ29)</f>
        <v/>
      </c>
      <c r="F29" s="3" t="n"/>
      <c r="G29" s="9" t="inlineStr">
        <is>
          <t>INSEE BDM 010766756: Indices des prix de production des services français aux entreprises françaises (BtoB) − CPF 82.11 − Services administratifs combinés ; normalized to model unit price</t>
        </is>
      </c>
      <c r="H29" s="9" t="n">
        <v>5625</v>
      </c>
      <c r="I29" s="9" t="n">
        <v>5625</v>
      </c>
      <c r="J29" s="9" t="n">
        <v>5625</v>
      </c>
      <c r="K29" s="9" t="n">
        <v>5625</v>
      </c>
      <c r="L29" s="9" t="n">
        <v>5625</v>
      </c>
      <c r="M29" s="9" t="n">
        <v>5625</v>
      </c>
      <c r="N29" s="9" t="n">
        <v>5625</v>
      </c>
      <c r="O29" s="9" t="n">
        <v>5625</v>
      </c>
      <c r="P29" s="9" t="n">
        <v>5625</v>
      </c>
      <c r="Q29" s="9" t="n">
        <v>5625</v>
      </c>
      <c r="R29" s="9" t="n">
        <v>5625</v>
      </c>
      <c r="S29" s="9" t="n">
        <v>5625</v>
      </c>
      <c r="T29" s="9" t="n">
        <v>5625</v>
      </c>
      <c r="U29" s="9" t="n">
        <v>5625</v>
      </c>
      <c r="V29" s="9" t="n">
        <v>5625</v>
      </c>
      <c r="W29" s="9" t="n">
        <v>5625</v>
      </c>
      <c r="X29" s="9" t="n">
        <v>5625</v>
      </c>
      <c r="Y29" s="9" t="n">
        <v>5625</v>
      </c>
      <c r="Z29" s="9" t="n">
        <v>5625</v>
      </c>
      <c r="AA29" s="9" t="n">
        <v>5625</v>
      </c>
      <c r="AB29" s="9" t="n">
        <v>5625</v>
      </c>
      <c r="AC29" s="9" t="n">
        <v>5625</v>
      </c>
      <c r="AD29" s="9" t="n">
        <v>5625</v>
      </c>
      <c r="AE29" s="9" t="n">
        <v>5625</v>
      </c>
      <c r="AF29" s="9" t="n">
        <v>5625</v>
      </c>
      <c r="AG29" s="9" t="n">
        <v>5625</v>
      </c>
      <c r="AH29" s="9" t="n">
        <v>5625</v>
      </c>
      <c r="AI29" s="9" t="n">
        <v>5625</v>
      </c>
      <c r="AJ29" s="9" t="n">
        <v>5625</v>
      </c>
      <c r="AK29" s="9" t="n">
        <v>5625</v>
      </c>
      <c r="AL29" s="9" t="n">
        <v>5625</v>
      </c>
      <c r="AM29" s="9" t="n">
        <v>5625</v>
      </c>
      <c r="AN29" s="9" t="n">
        <v>5625</v>
      </c>
      <c r="AO29" s="9" t="n">
        <v>5625</v>
      </c>
      <c r="AP29" s="9" t="n">
        <v>5625</v>
      </c>
      <c r="AQ29" s="9" t="n">
        <v>5625</v>
      </c>
    </row>
    <row r="30" ht="20" customHeight="1">
      <c r="A30" s="3" t="inlineStr">
        <is>
          <t>Fixed costs</t>
        </is>
      </c>
      <c r="B30" s="3" t="inlineStr">
        <is>
          <t>Cost (Insurance, admin, accounting)</t>
        </is>
      </c>
      <c r="C30" s="4" t="n">
        <v>0.9715</v>
      </c>
      <c r="D30" s="3" t="inlineStr">
        <is>
          <t>monthly package</t>
        </is>
      </c>
      <c r="E30" s="5">
        <f>E29</f>
        <v/>
      </c>
      <c r="F30" s="3" t="n"/>
      <c r="G30" s="3" t="inlineStr">
        <is>
          <t>Cost = quantity x seasonality x monthly market price</t>
        </is>
      </c>
      <c r="H30" s="5">
        <f>$C30*H29</f>
        <v/>
      </c>
      <c r="I30" s="5">
        <f>$C30*I29</f>
        <v/>
      </c>
      <c r="J30" s="5">
        <f>$C30*J29</f>
        <v/>
      </c>
      <c r="K30" s="5">
        <f>$C30*K29</f>
        <v/>
      </c>
      <c r="L30" s="5">
        <f>$C30*L29</f>
        <v/>
      </c>
      <c r="M30" s="5">
        <f>$C30*M29</f>
        <v/>
      </c>
      <c r="N30" s="5">
        <f>$C30*N29</f>
        <v/>
      </c>
      <c r="O30" s="5">
        <f>$C30*O29</f>
        <v/>
      </c>
      <c r="P30" s="5">
        <f>$C30*P29</f>
        <v/>
      </c>
      <c r="Q30" s="5">
        <f>$C30*Q29</f>
        <v/>
      </c>
      <c r="R30" s="5">
        <f>$C30*R29</f>
        <v/>
      </c>
      <c r="S30" s="5">
        <f>$C30*S29</f>
        <v/>
      </c>
      <c r="T30" s="5">
        <f>$C30*T29</f>
        <v/>
      </c>
      <c r="U30" s="5">
        <f>$C30*U29</f>
        <v/>
      </c>
      <c r="V30" s="5">
        <f>$C30*V29</f>
        <v/>
      </c>
      <c r="W30" s="5">
        <f>$C30*W29</f>
        <v/>
      </c>
      <c r="X30" s="5">
        <f>$C30*X29</f>
        <v/>
      </c>
      <c r="Y30" s="5">
        <f>$C30*Y29</f>
        <v/>
      </c>
      <c r="Z30" s="5">
        <f>$C30*Z29</f>
        <v/>
      </c>
      <c r="AA30" s="5">
        <f>$C30*AA29</f>
        <v/>
      </c>
      <c r="AB30" s="5">
        <f>$C30*AB29</f>
        <v/>
      </c>
      <c r="AC30" s="5">
        <f>$C30*AC29</f>
        <v/>
      </c>
      <c r="AD30" s="5">
        <f>$C30*AD29</f>
        <v/>
      </c>
      <c r="AE30" s="5">
        <f>$C30*AE29</f>
        <v/>
      </c>
      <c r="AF30" s="5">
        <f>$C30*AF29</f>
        <v/>
      </c>
      <c r="AG30" s="5">
        <f>$C30*AG29</f>
        <v/>
      </c>
      <c r="AH30" s="5">
        <f>$C30*AH29</f>
        <v/>
      </c>
      <c r="AI30" s="5">
        <f>$C30*AI29</f>
        <v/>
      </c>
      <c r="AJ30" s="5">
        <f>$C30*AJ29</f>
        <v/>
      </c>
      <c r="AK30" s="5">
        <f>$C30*AK29</f>
        <v/>
      </c>
      <c r="AL30" s="5">
        <f>$C30*AL29</f>
        <v/>
      </c>
      <c r="AM30" s="5">
        <f>$C30*AM29</f>
        <v/>
      </c>
      <c r="AN30" s="5">
        <f>$C30*AN29</f>
        <v/>
      </c>
      <c r="AO30" s="5">
        <f>$C30*AO29</f>
        <v/>
      </c>
      <c r="AP30" s="5">
        <f>$C30*AP29</f>
        <v/>
      </c>
      <c r="AQ30" s="5">
        <f>$C30*AQ29</f>
        <v/>
      </c>
    </row>
    <row r="31" ht="20" customHeight="1">
      <c r="A31" s="10" t="inlineStr">
        <is>
          <t>SOUS-TOTAL Fixed costs</t>
        </is>
      </c>
      <c r="B31" s="10" t="n"/>
      <c r="C31" s="10" t="n"/>
      <c r="D31" s="10" t="n"/>
      <c r="E31" s="10" t="n"/>
      <c r="F31" s="10" t="n"/>
      <c r="G31" s="10" t="n"/>
      <c r="H31" s="10">
        <f>SUM(H26,H28,H30)</f>
        <v/>
      </c>
      <c r="I31" s="10">
        <f>SUM(I26,I28,I30)</f>
        <v/>
      </c>
      <c r="J31" s="10">
        <f>SUM(J26,J28,J30)</f>
        <v/>
      </c>
      <c r="K31" s="10">
        <f>SUM(K26,K28,K30)</f>
        <v/>
      </c>
      <c r="L31" s="10">
        <f>SUM(L26,L28,L30)</f>
        <v/>
      </c>
      <c r="M31" s="10">
        <f>SUM(M26,M28,M30)</f>
        <v/>
      </c>
      <c r="N31" s="10">
        <f>SUM(N26,N28,N30)</f>
        <v/>
      </c>
      <c r="O31" s="10">
        <f>SUM(O26,O28,O30)</f>
        <v/>
      </c>
      <c r="P31" s="10">
        <f>SUM(P26,P28,P30)</f>
        <v/>
      </c>
      <c r="Q31" s="10">
        <f>SUM(Q26,Q28,Q30)</f>
        <v/>
      </c>
      <c r="R31" s="10">
        <f>SUM(R26,R28,R30)</f>
        <v/>
      </c>
      <c r="S31" s="10">
        <f>SUM(S26,S28,S30)</f>
        <v/>
      </c>
      <c r="T31" s="10">
        <f>SUM(T26,T28,T30)</f>
        <v/>
      </c>
      <c r="U31" s="10">
        <f>SUM(U26,U28,U30)</f>
        <v/>
      </c>
      <c r="V31" s="10">
        <f>SUM(V26,V28,V30)</f>
        <v/>
      </c>
      <c r="W31" s="10">
        <f>SUM(W26,W28,W30)</f>
        <v/>
      </c>
      <c r="X31" s="10">
        <f>SUM(X26,X28,X30)</f>
        <v/>
      </c>
      <c r="Y31" s="10">
        <f>SUM(Y26,Y28,Y30)</f>
        <v/>
      </c>
      <c r="Z31" s="10">
        <f>SUM(Z26,Z28,Z30)</f>
        <v/>
      </c>
      <c r="AA31" s="10">
        <f>SUM(AA26,AA28,AA30)</f>
        <v/>
      </c>
      <c r="AB31" s="10">
        <f>SUM(AB26,AB28,AB30)</f>
        <v/>
      </c>
      <c r="AC31" s="10">
        <f>SUM(AC26,AC28,AC30)</f>
        <v/>
      </c>
      <c r="AD31" s="10">
        <f>SUM(AD26,AD28,AD30)</f>
        <v/>
      </c>
      <c r="AE31" s="10">
        <f>SUM(AE26,AE28,AE30)</f>
        <v/>
      </c>
      <c r="AF31" s="10">
        <f>SUM(AF26,AF28,AF30)</f>
        <v/>
      </c>
      <c r="AG31" s="10">
        <f>SUM(AG26,AG28,AG30)</f>
        <v/>
      </c>
      <c r="AH31" s="10">
        <f>SUM(AH26,AH28,AH30)</f>
        <v/>
      </c>
      <c r="AI31" s="10">
        <f>SUM(AI26,AI28,AI30)</f>
        <v/>
      </c>
      <c r="AJ31" s="10">
        <f>SUM(AJ26,AJ28,AJ30)</f>
        <v/>
      </c>
      <c r="AK31" s="10">
        <f>SUM(AK26,AK28,AK30)</f>
        <v/>
      </c>
      <c r="AL31" s="10">
        <f>SUM(AL26,AL28,AL30)</f>
        <v/>
      </c>
      <c r="AM31" s="10">
        <f>SUM(AM26,AM28,AM30)</f>
        <v/>
      </c>
      <c r="AN31" s="10">
        <f>SUM(AN26,AN28,AN30)</f>
        <v/>
      </c>
      <c r="AO31" s="10">
        <f>SUM(AO26,AO28,AO30)</f>
        <v/>
      </c>
      <c r="AP31" s="10">
        <f>SUM(AP26,AP28,AP30)</f>
        <v/>
      </c>
      <c r="AQ31" s="10">
        <f>SUM(AQ26,AQ28,AQ30)</f>
        <v/>
      </c>
    </row>
    <row r="32" ht="20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</row>
    <row r="33" ht="20" customHeight="1">
      <c r="A33" s="10" t="inlineStr">
        <is>
          <t>TOTAL GENERAL DEPENSES</t>
        </is>
      </c>
      <c r="B33" s="10" t="n"/>
      <c r="C33" s="10" t="n"/>
      <c r="D33" s="10" t="n"/>
      <c r="E33" s="10" t="n"/>
      <c r="F33" s="10" t="n"/>
      <c r="G33" s="10" t="n"/>
      <c r="H33" s="10">
        <f>SUM(H15,H18,H21,H24,H31)</f>
        <v/>
      </c>
      <c r="I33" s="10">
        <f>SUM(I15,I18,I21,I24,I31)</f>
        <v/>
      </c>
      <c r="J33" s="10">
        <f>SUM(J15,J18,J21,J24,J31)</f>
        <v/>
      </c>
      <c r="K33" s="10">
        <f>SUM(K15,K18,K21,K24,K31)</f>
        <v/>
      </c>
      <c r="L33" s="10">
        <f>SUM(L15,L18,L21,L24,L31)</f>
        <v/>
      </c>
      <c r="M33" s="10">
        <f>SUM(M15,M18,M21,M24,M31)</f>
        <v/>
      </c>
      <c r="N33" s="10">
        <f>SUM(N15,N18,N21,N24,N31)</f>
        <v/>
      </c>
      <c r="O33" s="10">
        <f>SUM(O15,O18,O21,O24,O31)</f>
        <v/>
      </c>
      <c r="P33" s="10">
        <f>SUM(P15,P18,P21,P24,P31)</f>
        <v/>
      </c>
      <c r="Q33" s="10">
        <f>SUM(Q15,Q18,Q21,Q24,Q31)</f>
        <v/>
      </c>
      <c r="R33" s="10">
        <f>SUM(R15,R18,R21,R24,R31)</f>
        <v/>
      </c>
      <c r="S33" s="10">
        <f>SUM(S15,S18,S21,S24,S31)</f>
        <v/>
      </c>
      <c r="T33" s="10">
        <f>SUM(T15,T18,T21,T24,T31)</f>
        <v/>
      </c>
      <c r="U33" s="10">
        <f>SUM(U15,U18,U21,U24,U31)</f>
        <v/>
      </c>
      <c r="V33" s="10">
        <f>SUM(V15,V18,V21,V24,V31)</f>
        <v/>
      </c>
      <c r="W33" s="10">
        <f>SUM(W15,W18,W21,W24,W31)</f>
        <v/>
      </c>
      <c r="X33" s="10">
        <f>SUM(X15,X18,X21,X24,X31)</f>
        <v/>
      </c>
      <c r="Y33" s="10">
        <f>SUM(Y15,Y18,Y21,Y24,Y31)</f>
        <v/>
      </c>
      <c r="Z33" s="10">
        <f>SUM(Z15,Z18,Z21,Z24,Z31)</f>
        <v/>
      </c>
      <c r="AA33" s="10">
        <f>SUM(AA15,AA18,AA21,AA24,AA31)</f>
        <v/>
      </c>
      <c r="AB33" s="10">
        <f>SUM(AB15,AB18,AB21,AB24,AB31)</f>
        <v/>
      </c>
      <c r="AC33" s="10">
        <f>SUM(AC15,AC18,AC21,AC24,AC31)</f>
        <v/>
      </c>
      <c r="AD33" s="10">
        <f>SUM(AD15,AD18,AD21,AD24,AD31)</f>
        <v/>
      </c>
      <c r="AE33" s="10">
        <f>SUM(AE15,AE18,AE21,AE24,AE31)</f>
        <v/>
      </c>
      <c r="AF33" s="10">
        <f>SUM(AF15,AF18,AF21,AF24,AF31)</f>
        <v/>
      </c>
      <c r="AG33" s="10">
        <f>SUM(AG15,AG18,AG21,AG24,AG31)</f>
        <v/>
      </c>
      <c r="AH33" s="10">
        <f>SUM(AH15,AH18,AH21,AH24,AH31)</f>
        <v/>
      </c>
      <c r="AI33" s="10">
        <f>SUM(AI15,AI18,AI21,AI24,AI31)</f>
        <v/>
      </c>
      <c r="AJ33" s="10">
        <f>SUM(AJ15,AJ18,AJ21,AJ24,AJ31)</f>
        <v/>
      </c>
      <c r="AK33" s="10">
        <f>SUM(AK15,AK18,AK21,AK24,AK31)</f>
        <v/>
      </c>
      <c r="AL33" s="10">
        <f>SUM(AL15,AL18,AL21,AL24,AL31)</f>
        <v/>
      </c>
      <c r="AM33" s="10">
        <f>SUM(AM15,AM18,AM21,AM24,AM31)</f>
        <v/>
      </c>
      <c r="AN33" s="10">
        <f>SUM(AN15,AN18,AN21,AN24,AN31)</f>
        <v/>
      </c>
      <c r="AO33" s="10">
        <f>SUM(AO15,AO18,AO21,AO24,AO31)</f>
        <v/>
      </c>
      <c r="AP33" s="10">
        <f>SUM(AP15,AP18,AP21,AP24,AP31)</f>
        <v/>
      </c>
      <c r="AQ33" s="10">
        <f>SUM(AQ15,AQ18,AQ21,AQ24,AQ31)</f>
        <v/>
      </c>
    </row>
    <row r="34" ht="20" customHeight="1">
      <c r="A34" s="3" t="inlineStr">
        <is>
          <t>Total depenses A1 / CA A1</t>
        </is>
      </c>
      <c r="B34" s="3" t="n"/>
      <c r="C34" s="5">
        <f>SUM(H33:S33)/'Hypotheses'!$C$4</f>
        <v/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Menuiserie Bois - Plan de tresorerie mensuel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Opening cash + collections - disbursements = ending cash.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Mois</t>
        </is>
      </c>
      <c r="B4" s="6" t="n"/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Tresorerie en debut de mois</t>
        </is>
      </c>
      <c r="B5" s="3" t="n"/>
      <c r="C5" s="5">
        <f>'Hypotheses'!$C$7</f>
        <v/>
      </c>
      <c r="D5" s="5">
        <f>C18</f>
        <v/>
      </c>
      <c r="E5" s="5">
        <f>D18</f>
        <v/>
      </c>
      <c r="F5" s="5">
        <f>E18</f>
        <v/>
      </c>
      <c r="G5" s="5">
        <f>F18</f>
        <v/>
      </c>
      <c r="H5" s="5">
        <f>G18</f>
        <v/>
      </c>
      <c r="I5" s="5">
        <f>H18</f>
        <v/>
      </c>
      <c r="J5" s="5">
        <f>I18</f>
        <v/>
      </c>
      <c r="K5" s="5">
        <f>J18</f>
        <v/>
      </c>
      <c r="L5" s="5">
        <f>K18</f>
        <v/>
      </c>
      <c r="M5" s="5">
        <f>L18</f>
        <v/>
      </c>
      <c r="N5" s="5">
        <f>M18</f>
        <v/>
      </c>
      <c r="O5" s="5">
        <f>N18</f>
        <v/>
      </c>
      <c r="P5" s="5">
        <f>O18</f>
        <v/>
      </c>
      <c r="Q5" s="5">
        <f>P18</f>
        <v/>
      </c>
      <c r="R5" s="5">
        <f>Q18</f>
        <v/>
      </c>
      <c r="S5" s="5">
        <f>R18</f>
        <v/>
      </c>
      <c r="T5" s="5">
        <f>S18</f>
        <v/>
      </c>
      <c r="U5" s="5">
        <f>T18</f>
        <v/>
      </c>
      <c r="V5" s="5">
        <f>U18</f>
        <v/>
      </c>
      <c r="W5" s="5">
        <f>V18</f>
        <v/>
      </c>
      <c r="X5" s="5">
        <f>W18</f>
        <v/>
      </c>
      <c r="Y5" s="5">
        <f>X18</f>
        <v/>
      </c>
      <c r="Z5" s="5">
        <f>Y18</f>
        <v/>
      </c>
      <c r="AA5" s="5">
        <f>Z18</f>
        <v/>
      </c>
      <c r="AB5" s="5">
        <f>AA18</f>
        <v/>
      </c>
      <c r="AC5" s="5">
        <f>AB18</f>
        <v/>
      </c>
      <c r="AD5" s="5">
        <f>AC18</f>
        <v/>
      </c>
      <c r="AE5" s="5">
        <f>AD18</f>
        <v/>
      </c>
      <c r="AF5" s="5">
        <f>AE18</f>
        <v/>
      </c>
      <c r="AG5" s="5">
        <f>AF18</f>
        <v/>
      </c>
      <c r="AH5" s="5">
        <f>AG18</f>
        <v/>
      </c>
      <c r="AI5" s="5">
        <f>AH18</f>
        <v/>
      </c>
      <c r="AJ5" s="5">
        <f>AI18</f>
        <v/>
      </c>
      <c r="AK5" s="5">
        <f>AJ18</f>
        <v/>
      </c>
      <c r="AL5" s="5">
        <f>AK18</f>
        <v/>
      </c>
    </row>
    <row r="6" ht="20" customHeight="1">
      <c r="A6" s="7" t="inlineStr">
        <is>
          <t>ENCAISSEMENTS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</row>
    <row r="7" ht="20" customHeight="1">
      <c r="A7" s="3" t="inlineStr">
        <is>
          <t>Encaissements clients TTC</t>
        </is>
      </c>
      <c r="B7" s="3" t="n"/>
      <c r="C7" s="5">
        <f>'Revenus'!C11*'Hypotheses'!$C$10+0+0</f>
        <v/>
      </c>
      <c r="D7" s="5">
        <f>'Revenus'!D11*'Hypotheses'!$C$10+'Revenus'!C11*'Hypotheses'!$C$11+0</f>
        <v/>
      </c>
      <c r="E7" s="5">
        <f>'Revenus'!E11*'Hypotheses'!$C$10+'Revenus'!D11*'Hypotheses'!$C$11+'Revenus'!C11*'Hypotheses'!$C$12</f>
        <v/>
      </c>
      <c r="F7" s="5">
        <f>'Revenus'!F11*'Hypotheses'!$C$10+'Revenus'!E11*'Hypotheses'!$C$11+'Revenus'!D11*'Hypotheses'!$C$12</f>
        <v/>
      </c>
      <c r="G7" s="5">
        <f>'Revenus'!G11*'Hypotheses'!$C$10+'Revenus'!F11*'Hypotheses'!$C$11+'Revenus'!E11*'Hypotheses'!$C$12</f>
        <v/>
      </c>
      <c r="H7" s="5">
        <f>'Revenus'!H11*'Hypotheses'!$C$10+'Revenus'!G11*'Hypotheses'!$C$11+'Revenus'!F11*'Hypotheses'!$C$12</f>
        <v/>
      </c>
      <c r="I7" s="5">
        <f>'Revenus'!I11*'Hypotheses'!$C$10+'Revenus'!H11*'Hypotheses'!$C$11+'Revenus'!G11*'Hypotheses'!$C$12</f>
        <v/>
      </c>
      <c r="J7" s="5">
        <f>'Revenus'!J11*'Hypotheses'!$C$10+'Revenus'!I11*'Hypotheses'!$C$11+'Revenus'!H11*'Hypotheses'!$C$12</f>
        <v/>
      </c>
      <c r="K7" s="5">
        <f>'Revenus'!K11*'Hypotheses'!$C$10+'Revenus'!J11*'Hypotheses'!$C$11+'Revenus'!I11*'Hypotheses'!$C$12</f>
        <v/>
      </c>
      <c r="L7" s="5">
        <f>'Revenus'!L11*'Hypotheses'!$C$10+'Revenus'!K11*'Hypotheses'!$C$11+'Revenus'!J11*'Hypotheses'!$C$12</f>
        <v/>
      </c>
      <c r="M7" s="5">
        <f>'Revenus'!M11*'Hypotheses'!$C$10+'Revenus'!L11*'Hypotheses'!$C$11+'Revenus'!K11*'Hypotheses'!$C$12</f>
        <v/>
      </c>
      <c r="N7" s="5">
        <f>'Revenus'!N11*'Hypotheses'!$C$10+'Revenus'!M11*'Hypotheses'!$C$11+'Revenus'!L11*'Hypotheses'!$C$12</f>
        <v/>
      </c>
      <c r="O7" s="5">
        <f>'Revenus'!O11*'Hypotheses'!$C$10+'Revenus'!N11*'Hypotheses'!$C$11+'Revenus'!M11*'Hypotheses'!$C$12</f>
        <v/>
      </c>
      <c r="P7" s="5">
        <f>'Revenus'!P11*'Hypotheses'!$C$10+'Revenus'!O11*'Hypotheses'!$C$11+'Revenus'!N11*'Hypotheses'!$C$12</f>
        <v/>
      </c>
      <c r="Q7" s="5">
        <f>'Revenus'!Q11*'Hypotheses'!$C$10+'Revenus'!P11*'Hypotheses'!$C$11+'Revenus'!O11*'Hypotheses'!$C$12</f>
        <v/>
      </c>
      <c r="R7" s="5">
        <f>'Revenus'!R11*'Hypotheses'!$C$10+'Revenus'!Q11*'Hypotheses'!$C$11+'Revenus'!P11*'Hypotheses'!$C$12</f>
        <v/>
      </c>
      <c r="S7" s="5">
        <f>'Revenus'!S11*'Hypotheses'!$C$10+'Revenus'!R11*'Hypotheses'!$C$11+'Revenus'!Q11*'Hypotheses'!$C$12</f>
        <v/>
      </c>
      <c r="T7" s="5">
        <f>'Revenus'!T11*'Hypotheses'!$C$10+'Revenus'!S11*'Hypotheses'!$C$11+'Revenus'!R11*'Hypotheses'!$C$12</f>
        <v/>
      </c>
      <c r="U7" s="5">
        <f>'Revenus'!U11*'Hypotheses'!$C$10+'Revenus'!T11*'Hypotheses'!$C$11+'Revenus'!S11*'Hypotheses'!$C$12</f>
        <v/>
      </c>
      <c r="V7" s="5">
        <f>'Revenus'!V11*'Hypotheses'!$C$10+'Revenus'!U11*'Hypotheses'!$C$11+'Revenus'!T11*'Hypotheses'!$C$12</f>
        <v/>
      </c>
      <c r="W7" s="5">
        <f>'Revenus'!W11*'Hypotheses'!$C$10+'Revenus'!V11*'Hypotheses'!$C$11+'Revenus'!U11*'Hypotheses'!$C$12</f>
        <v/>
      </c>
      <c r="X7" s="5">
        <f>'Revenus'!X11*'Hypotheses'!$C$10+'Revenus'!W11*'Hypotheses'!$C$11+'Revenus'!V11*'Hypotheses'!$C$12</f>
        <v/>
      </c>
      <c r="Y7" s="5">
        <f>'Revenus'!Y11*'Hypotheses'!$C$10+'Revenus'!X11*'Hypotheses'!$C$11+'Revenus'!W11*'Hypotheses'!$C$12</f>
        <v/>
      </c>
      <c r="Z7" s="5">
        <f>'Revenus'!Z11*'Hypotheses'!$C$10+'Revenus'!Y11*'Hypotheses'!$C$11+'Revenus'!X11*'Hypotheses'!$C$12</f>
        <v/>
      </c>
      <c r="AA7" s="5">
        <f>'Revenus'!AA11*'Hypotheses'!$C$10+'Revenus'!Z11*'Hypotheses'!$C$11+'Revenus'!Y11*'Hypotheses'!$C$12</f>
        <v/>
      </c>
      <c r="AB7" s="5">
        <f>'Revenus'!AB11*'Hypotheses'!$C$10+'Revenus'!AA11*'Hypotheses'!$C$11+'Revenus'!Z11*'Hypotheses'!$C$12</f>
        <v/>
      </c>
      <c r="AC7" s="5">
        <f>'Revenus'!AC11*'Hypotheses'!$C$10+'Revenus'!AB11*'Hypotheses'!$C$11+'Revenus'!AA11*'Hypotheses'!$C$12</f>
        <v/>
      </c>
      <c r="AD7" s="5">
        <f>'Revenus'!AD11*'Hypotheses'!$C$10+'Revenus'!AC11*'Hypotheses'!$C$11+'Revenus'!AB11*'Hypotheses'!$C$12</f>
        <v/>
      </c>
      <c r="AE7" s="5">
        <f>'Revenus'!AE11*'Hypotheses'!$C$10+'Revenus'!AD11*'Hypotheses'!$C$11+'Revenus'!AC11*'Hypotheses'!$C$12</f>
        <v/>
      </c>
      <c r="AF7" s="5">
        <f>'Revenus'!AF11*'Hypotheses'!$C$10+'Revenus'!AE11*'Hypotheses'!$C$11+'Revenus'!AD11*'Hypotheses'!$C$12</f>
        <v/>
      </c>
      <c r="AG7" s="5">
        <f>'Revenus'!AG11*'Hypotheses'!$C$10+'Revenus'!AF11*'Hypotheses'!$C$11+'Revenus'!AE11*'Hypotheses'!$C$12</f>
        <v/>
      </c>
      <c r="AH7" s="5">
        <f>'Revenus'!AH11*'Hypotheses'!$C$10+'Revenus'!AG11*'Hypotheses'!$C$11+'Revenus'!AF11*'Hypotheses'!$C$12</f>
        <v/>
      </c>
      <c r="AI7" s="5">
        <f>'Revenus'!AI11*'Hypotheses'!$C$10+'Revenus'!AH11*'Hypotheses'!$C$11+'Revenus'!AG11*'Hypotheses'!$C$12</f>
        <v/>
      </c>
      <c r="AJ7" s="5">
        <f>'Revenus'!AJ11*'Hypotheses'!$C$10+'Revenus'!AI11*'Hypotheses'!$C$11+'Revenus'!AH11*'Hypotheses'!$C$12</f>
        <v/>
      </c>
      <c r="AK7" s="5">
        <f>'Revenus'!AK11*'Hypotheses'!$C$10+'Revenus'!AJ11*'Hypotheses'!$C$11+'Revenus'!AI11*'Hypotheses'!$C$12</f>
        <v/>
      </c>
      <c r="AL7" s="5">
        <f>'Revenus'!AL11*'Hypotheses'!$C$10+'Revenus'!AK11*'Hypotheses'!$C$11+'Revenus'!AJ11*'Hypotheses'!$C$12</f>
        <v/>
      </c>
    </row>
    <row r="8" ht="20" customHeight="1">
      <c r="A8" s="7" t="inlineStr">
        <is>
          <t>TOTAL ENCAISSEMENTS</t>
        </is>
      </c>
      <c r="B8" s="7" t="n"/>
      <c r="C8" s="7">
        <f>C7</f>
        <v/>
      </c>
      <c r="D8" s="7">
        <f>D7</f>
        <v/>
      </c>
      <c r="E8" s="7">
        <f>E7</f>
        <v/>
      </c>
      <c r="F8" s="7">
        <f>F7</f>
        <v/>
      </c>
      <c r="G8" s="7">
        <f>G7</f>
        <v/>
      </c>
      <c r="H8" s="7">
        <f>H7</f>
        <v/>
      </c>
      <c r="I8" s="7">
        <f>I7</f>
        <v/>
      </c>
      <c r="J8" s="7">
        <f>J7</f>
        <v/>
      </c>
      <c r="K8" s="7">
        <f>K7</f>
        <v/>
      </c>
      <c r="L8" s="7">
        <f>L7</f>
        <v/>
      </c>
      <c r="M8" s="7">
        <f>M7</f>
        <v/>
      </c>
      <c r="N8" s="7">
        <f>N7</f>
        <v/>
      </c>
      <c r="O8" s="7">
        <f>O7</f>
        <v/>
      </c>
      <c r="P8" s="7">
        <f>P7</f>
        <v/>
      </c>
      <c r="Q8" s="7">
        <f>Q7</f>
        <v/>
      </c>
      <c r="R8" s="7">
        <f>R7</f>
        <v/>
      </c>
      <c r="S8" s="7">
        <f>S7</f>
        <v/>
      </c>
      <c r="T8" s="7">
        <f>T7</f>
        <v/>
      </c>
      <c r="U8" s="7">
        <f>U7</f>
        <v/>
      </c>
      <c r="V8" s="7">
        <f>V7</f>
        <v/>
      </c>
      <c r="W8" s="7">
        <f>W7</f>
        <v/>
      </c>
      <c r="X8" s="7">
        <f>X7</f>
        <v/>
      </c>
      <c r="Y8" s="7">
        <f>Y7</f>
        <v/>
      </c>
      <c r="Z8" s="7">
        <f>Z7</f>
        <v/>
      </c>
      <c r="AA8" s="7">
        <f>AA7</f>
        <v/>
      </c>
      <c r="AB8" s="7">
        <f>AB7</f>
        <v/>
      </c>
      <c r="AC8" s="7">
        <f>AC7</f>
        <v/>
      </c>
      <c r="AD8" s="7">
        <f>AD7</f>
        <v/>
      </c>
      <c r="AE8" s="7">
        <f>AE7</f>
        <v/>
      </c>
      <c r="AF8" s="7">
        <f>AF7</f>
        <v/>
      </c>
      <c r="AG8" s="7">
        <f>AG7</f>
        <v/>
      </c>
      <c r="AH8" s="7">
        <f>AH7</f>
        <v/>
      </c>
      <c r="AI8" s="7">
        <f>AI7</f>
        <v/>
      </c>
      <c r="AJ8" s="7">
        <f>AJ7</f>
        <v/>
      </c>
      <c r="AK8" s="7">
        <f>AK7</f>
        <v/>
      </c>
      <c r="AL8" s="7">
        <f>AL7</f>
        <v/>
      </c>
    </row>
    <row r="9" ht="20" customHeight="1">
      <c r="A9" s="7" t="inlineStr">
        <is>
          <t>DECAISSEMENTS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3" t="inlineStr">
        <is>
          <t>Achats variables et commodity-linked</t>
        </is>
      </c>
      <c r="B10" s="3" t="n"/>
      <c r="C10" s="5">
        <f>SUM('Depenses detaillees'!H15,'Depenses detaillees'!H18,'Depenses detaillees'!H21)</f>
        <v/>
      </c>
      <c r="D10" s="5">
        <f>SUM('Depenses detaillees'!I15,'Depenses detaillees'!I18,'Depenses detaillees'!I21)</f>
        <v/>
      </c>
      <c r="E10" s="5">
        <f>SUM('Depenses detaillees'!J15,'Depenses detaillees'!J18,'Depenses detaillees'!J21)</f>
        <v/>
      </c>
      <c r="F10" s="5">
        <f>SUM('Depenses detaillees'!K15,'Depenses detaillees'!K18,'Depenses detaillees'!K21)</f>
        <v/>
      </c>
      <c r="G10" s="5">
        <f>SUM('Depenses detaillees'!L15,'Depenses detaillees'!L18,'Depenses detaillees'!L21)</f>
        <v/>
      </c>
      <c r="H10" s="5">
        <f>SUM('Depenses detaillees'!M15,'Depenses detaillees'!M18,'Depenses detaillees'!M21)</f>
        <v/>
      </c>
      <c r="I10" s="5">
        <f>SUM('Depenses detaillees'!N15,'Depenses detaillees'!N18,'Depenses detaillees'!N21)</f>
        <v/>
      </c>
      <c r="J10" s="5">
        <f>SUM('Depenses detaillees'!O15,'Depenses detaillees'!O18,'Depenses detaillees'!O21)</f>
        <v/>
      </c>
      <c r="K10" s="5">
        <f>SUM('Depenses detaillees'!P15,'Depenses detaillees'!P18,'Depenses detaillees'!P21)</f>
        <v/>
      </c>
      <c r="L10" s="5">
        <f>SUM('Depenses detaillees'!Q15,'Depenses detaillees'!Q18,'Depenses detaillees'!Q21)</f>
        <v/>
      </c>
      <c r="M10" s="5">
        <f>SUM('Depenses detaillees'!R15,'Depenses detaillees'!R18,'Depenses detaillees'!R21)</f>
        <v/>
      </c>
      <c r="N10" s="5">
        <f>SUM('Depenses detaillees'!S15,'Depenses detaillees'!S18,'Depenses detaillees'!S21)</f>
        <v/>
      </c>
      <c r="O10" s="5">
        <f>SUM('Depenses detaillees'!T15,'Depenses detaillees'!T18,'Depenses detaillees'!T21)</f>
        <v/>
      </c>
      <c r="P10" s="5">
        <f>SUM('Depenses detaillees'!U15,'Depenses detaillees'!U18,'Depenses detaillees'!U21)</f>
        <v/>
      </c>
      <c r="Q10" s="5">
        <f>SUM('Depenses detaillees'!V15,'Depenses detaillees'!V18,'Depenses detaillees'!V21)</f>
        <v/>
      </c>
      <c r="R10" s="5">
        <f>SUM('Depenses detaillees'!W15,'Depenses detaillees'!W18,'Depenses detaillees'!W21)</f>
        <v/>
      </c>
      <c r="S10" s="5">
        <f>SUM('Depenses detaillees'!X15,'Depenses detaillees'!X18,'Depenses detaillees'!X21)</f>
        <v/>
      </c>
      <c r="T10" s="5">
        <f>SUM('Depenses detaillees'!Y15,'Depenses detaillees'!Y18,'Depenses detaillees'!Y21)</f>
        <v/>
      </c>
      <c r="U10" s="5">
        <f>SUM('Depenses detaillees'!Z15,'Depenses detaillees'!Z18,'Depenses detaillees'!Z21)</f>
        <v/>
      </c>
      <c r="V10" s="5">
        <f>SUM('Depenses detaillees'!AA15,'Depenses detaillees'!AA18,'Depenses detaillees'!AA21)</f>
        <v/>
      </c>
      <c r="W10" s="5">
        <f>SUM('Depenses detaillees'!AB15,'Depenses detaillees'!AB18,'Depenses detaillees'!AB21)</f>
        <v/>
      </c>
      <c r="X10" s="5">
        <f>SUM('Depenses detaillees'!AC15,'Depenses detaillees'!AC18,'Depenses detaillees'!AC21)</f>
        <v/>
      </c>
      <c r="Y10" s="5">
        <f>SUM('Depenses detaillees'!AD15,'Depenses detaillees'!AD18,'Depenses detaillees'!AD21)</f>
        <v/>
      </c>
      <c r="Z10" s="5">
        <f>SUM('Depenses detaillees'!AE15,'Depenses detaillees'!AE18,'Depenses detaillees'!AE21)</f>
        <v/>
      </c>
      <c r="AA10" s="5">
        <f>SUM('Depenses detaillees'!AF15,'Depenses detaillees'!AF18,'Depenses detaillees'!AF21)</f>
        <v/>
      </c>
      <c r="AB10" s="5">
        <f>SUM('Depenses detaillees'!AG15,'Depenses detaillees'!AG18,'Depenses detaillees'!AG21)</f>
        <v/>
      </c>
      <c r="AC10" s="5">
        <f>SUM('Depenses detaillees'!AH15,'Depenses detaillees'!AH18,'Depenses detaillees'!AH21)</f>
        <v/>
      </c>
      <c r="AD10" s="5">
        <f>SUM('Depenses detaillees'!AI15,'Depenses detaillees'!AI18,'Depenses detaillees'!AI21)</f>
        <v/>
      </c>
      <c r="AE10" s="5">
        <f>SUM('Depenses detaillees'!AJ15,'Depenses detaillees'!AJ18,'Depenses detaillees'!AJ21)</f>
        <v/>
      </c>
      <c r="AF10" s="5">
        <f>SUM('Depenses detaillees'!AK15,'Depenses detaillees'!AK18,'Depenses detaillees'!AK21)</f>
        <v/>
      </c>
      <c r="AG10" s="5">
        <f>SUM('Depenses detaillees'!AL15,'Depenses detaillees'!AL18,'Depenses detaillees'!AL21)</f>
        <v/>
      </c>
      <c r="AH10" s="5">
        <f>SUM('Depenses detaillees'!AM15,'Depenses detaillees'!AM18,'Depenses detaillees'!AM21)</f>
        <v/>
      </c>
      <c r="AI10" s="5">
        <f>SUM('Depenses detaillees'!AN15,'Depenses detaillees'!AN18,'Depenses detaillees'!AN21)</f>
        <v/>
      </c>
      <c r="AJ10" s="5">
        <f>SUM('Depenses detaillees'!AO15,'Depenses detaillees'!AO18,'Depenses detaillees'!AO21)</f>
        <v/>
      </c>
      <c r="AK10" s="5">
        <f>SUM('Depenses detaillees'!AP15,'Depenses detaillees'!AP18,'Depenses detaillees'!AP21)</f>
        <v/>
      </c>
      <c r="AL10" s="5">
        <f>SUM('Depenses detaillees'!AQ15,'Depenses detaillees'!AQ18,'Depenses detaillees'!AQ21)</f>
        <v/>
      </c>
    </row>
    <row r="11" ht="20" customHeight="1">
      <c r="A11" s="3" t="inlineStr">
        <is>
          <t>Personnel</t>
        </is>
      </c>
      <c r="B11" s="3" t="n"/>
      <c r="C11" s="5">
        <f>SUM('Depenses detaillees'!H24)</f>
        <v/>
      </c>
      <c r="D11" s="5">
        <f>SUM('Depenses detaillees'!I24)</f>
        <v/>
      </c>
      <c r="E11" s="5">
        <f>SUM('Depenses detaillees'!J24)</f>
        <v/>
      </c>
      <c r="F11" s="5">
        <f>SUM('Depenses detaillees'!K24)</f>
        <v/>
      </c>
      <c r="G11" s="5">
        <f>SUM('Depenses detaillees'!L24)</f>
        <v/>
      </c>
      <c r="H11" s="5">
        <f>SUM('Depenses detaillees'!M24)</f>
        <v/>
      </c>
      <c r="I11" s="5">
        <f>SUM('Depenses detaillees'!N24)</f>
        <v/>
      </c>
      <c r="J11" s="5">
        <f>SUM('Depenses detaillees'!O24)</f>
        <v/>
      </c>
      <c r="K11" s="5">
        <f>SUM('Depenses detaillees'!P24)</f>
        <v/>
      </c>
      <c r="L11" s="5">
        <f>SUM('Depenses detaillees'!Q24)</f>
        <v/>
      </c>
      <c r="M11" s="5">
        <f>SUM('Depenses detaillees'!R24)</f>
        <v/>
      </c>
      <c r="N11" s="5">
        <f>SUM('Depenses detaillees'!S24)</f>
        <v/>
      </c>
      <c r="O11" s="5">
        <f>SUM('Depenses detaillees'!T24)</f>
        <v/>
      </c>
      <c r="P11" s="5">
        <f>SUM('Depenses detaillees'!U24)</f>
        <v/>
      </c>
      <c r="Q11" s="5">
        <f>SUM('Depenses detaillees'!V24)</f>
        <v/>
      </c>
      <c r="R11" s="5">
        <f>SUM('Depenses detaillees'!W24)</f>
        <v/>
      </c>
      <c r="S11" s="5">
        <f>SUM('Depenses detaillees'!X24)</f>
        <v/>
      </c>
      <c r="T11" s="5">
        <f>SUM('Depenses detaillees'!Y24)</f>
        <v/>
      </c>
      <c r="U11" s="5">
        <f>SUM('Depenses detaillees'!Z24)</f>
        <v/>
      </c>
      <c r="V11" s="5">
        <f>SUM('Depenses detaillees'!AA24)</f>
        <v/>
      </c>
      <c r="W11" s="5">
        <f>SUM('Depenses detaillees'!AB24)</f>
        <v/>
      </c>
      <c r="X11" s="5">
        <f>SUM('Depenses detaillees'!AC24)</f>
        <v/>
      </c>
      <c r="Y11" s="5">
        <f>SUM('Depenses detaillees'!AD24)</f>
        <v/>
      </c>
      <c r="Z11" s="5">
        <f>SUM('Depenses detaillees'!AE24)</f>
        <v/>
      </c>
      <c r="AA11" s="5">
        <f>SUM('Depenses detaillees'!AF24)</f>
        <v/>
      </c>
      <c r="AB11" s="5">
        <f>SUM('Depenses detaillees'!AG24)</f>
        <v/>
      </c>
      <c r="AC11" s="5">
        <f>SUM('Depenses detaillees'!AH24)</f>
        <v/>
      </c>
      <c r="AD11" s="5">
        <f>SUM('Depenses detaillees'!AI24)</f>
        <v/>
      </c>
      <c r="AE11" s="5">
        <f>SUM('Depenses detaillees'!AJ24)</f>
        <v/>
      </c>
      <c r="AF11" s="5">
        <f>SUM('Depenses detaillees'!AK24)</f>
        <v/>
      </c>
      <c r="AG11" s="5">
        <f>SUM('Depenses detaillees'!AL24)</f>
        <v/>
      </c>
      <c r="AH11" s="5">
        <f>SUM('Depenses detaillees'!AM24)</f>
        <v/>
      </c>
      <c r="AI11" s="5">
        <f>SUM('Depenses detaillees'!AN24)</f>
        <v/>
      </c>
      <c r="AJ11" s="5">
        <f>SUM('Depenses detaillees'!AO24)</f>
        <v/>
      </c>
      <c r="AK11" s="5">
        <f>SUM('Depenses detaillees'!AP24)</f>
        <v/>
      </c>
      <c r="AL11" s="5">
        <f>SUM('Depenses detaillees'!AQ24)</f>
        <v/>
      </c>
    </row>
    <row r="12" ht="20" customHeight="1">
      <c r="A12" s="3" t="inlineStr">
        <is>
          <t>Charges fixes et maintenance</t>
        </is>
      </c>
      <c r="B12" s="3" t="n"/>
      <c r="C12" s="5">
        <f>SUM('Depenses detaillees'!H31)</f>
        <v/>
      </c>
      <c r="D12" s="5">
        <f>SUM('Depenses detaillees'!I31)</f>
        <v/>
      </c>
      <c r="E12" s="5">
        <f>SUM('Depenses detaillees'!J31)</f>
        <v/>
      </c>
      <c r="F12" s="5">
        <f>SUM('Depenses detaillees'!K31)</f>
        <v/>
      </c>
      <c r="G12" s="5">
        <f>SUM('Depenses detaillees'!L31)</f>
        <v/>
      </c>
      <c r="H12" s="5">
        <f>SUM('Depenses detaillees'!M31)</f>
        <v/>
      </c>
      <c r="I12" s="5">
        <f>SUM('Depenses detaillees'!N31)</f>
        <v/>
      </c>
      <c r="J12" s="5">
        <f>SUM('Depenses detaillees'!O31)</f>
        <v/>
      </c>
      <c r="K12" s="5">
        <f>SUM('Depenses detaillees'!P31)</f>
        <v/>
      </c>
      <c r="L12" s="5">
        <f>SUM('Depenses detaillees'!Q31)</f>
        <v/>
      </c>
      <c r="M12" s="5">
        <f>SUM('Depenses detaillees'!R31)</f>
        <v/>
      </c>
      <c r="N12" s="5">
        <f>SUM('Depenses detaillees'!S31)</f>
        <v/>
      </c>
      <c r="O12" s="5">
        <f>SUM('Depenses detaillees'!T31)</f>
        <v/>
      </c>
      <c r="P12" s="5">
        <f>SUM('Depenses detaillees'!U31)</f>
        <v/>
      </c>
      <c r="Q12" s="5">
        <f>SUM('Depenses detaillees'!V31)</f>
        <v/>
      </c>
      <c r="R12" s="5">
        <f>SUM('Depenses detaillees'!W31)</f>
        <v/>
      </c>
      <c r="S12" s="5">
        <f>SUM('Depenses detaillees'!X31)</f>
        <v/>
      </c>
      <c r="T12" s="5">
        <f>SUM('Depenses detaillees'!Y31)</f>
        <v/>
      </c>
      <c r="U12" s="5">
        <f>SUM('Depenses detaillees'!Z31)</f>
        <v/>
      </c>
      <c r="V12" s="5">
        <f>SUM('Depenses detaillees'!AA31)</f>
        <v/>
      </c>
      <c r="W12" s="5">
        <f>SUM('Depenses detaillees'!AB31)</f>
        <v/>
      </c>
      <c r="X12" s="5">
        <f>SUM('Depenses detaillees'!AC31)</f>
        <v/>
      </c>
      <c r="Y12" s="5">
        <f>SUM('Depenses detaillees'!AD31)</f>
        <v/>
      </c>
      <c r="Z12" s="5">
        <f>SUM('Depenses detaillees'!AE31)</f>
        <v/>
      </c>
      <c r="AA12" s="5">
        <f>SUM('Depenses detaillees'!AF31)</f>
        <v/>
      </c>
      <c r="AB12" s="5">
        <f>SUM('Depenses detaillees'!AG31)</f>
        <v/>
      </c>
      <c r="AC12" s="5">
        <f>SUM('Depenses detaillees'!AH31)</f>
        <v/>
      </c>
      <c r="AD12" s="5">
        <f>SUM('Depenses detaillees'!AI31)</f>
        <v/>
      </c>
      <c r="AE12" s="5">
        <f>SUM('Depenses detaillees'!AJ31)</f>
        <v/>
      </c>
      <c r="AF12" s="5">
        <f>SUM('Depenses detaillees'!AK31)</f>
        <v/>
      </c>
      <c r="AG12" s="5">
        <f>SUM('Depenses detaillees'!AL31)</f>
        <v/>
      </c>
      <c r="AH12" s="5">
        <f>SUM('Depenses detaillees'!AM31)</f>
        <v/>
      </c>
      <c r="AI12" s="5">
        <f>SUM('Depenses detaillees'!AN31)</f>
        <v/>
      </c>
      <c r="AJ12" s="5">
        <f>SUM('Depenses detaillees'!AO31)</f>
        <v/>
      </c>
      <c r="AK12" s="5">
        <f>SUM('Depenses detaillees'!AP31)</f>
        <v/>
      </c>
      <c r="AL12" s="5">
        <f>SUM('Depenses detaillees'!AQ31)</f>
        <v/>
      </c>
    </row>
    <row r="13" ht="20" customHeight="1">
      <c r="A13" s="3" t="inlineStr">
        <is>
          <t>Cotisations sociales dirigeant</t>
        </is>
      </c>
      <c r="B13" s="3" t="n"/>
      <c r="C13" s="5" t="n">
        <v>0</v>
      </c>
      <c r="D13" s="5" t="n">
        <v>0</v>
      </c>
      <c r="E13" s="5">
        <f>'Hypotheses'!$C$8*(1+'Hypotheses'!$C$14)^0</f>
        <v/>
      </c>
      <c r="F13" s="5" t="n">
        <v>0</v>
      </c>
      <c r="G13" s="5" t="n">
        <v>0</v>
      </c>
      <c r="H13" s="5">
        <f>'Hypotheses'!$C$8*(1+'Hypotheses'!$C$14)^0</f>
        <v/>
      </c>
      <c r="I13" s="5" t="n">
        <v>0</v>
      </c>
      <c r="J13" s="5" t="n">
        <v>0</v>
      </c>
      <c r="K13" s="5">
        <f>'Hypotheses'!$C$8*(1+'Hypotheses'!$C$14)^0</f>
        <v/>
      </c>
      <c r="L13" s="5" t="n">
        <v>0</v>
      </c>
      <c r="M13" s="5" t="n">
        <v>0</v>
      </c>
      <c r="N13" s="5">
        <f>'Hypotheses'!$C$8*(1+'Hypotheses'!$C$14)^0</f>
        <v/>
      </c>
      <c r="O13" s="5" t="n">
        <v>0</v>
      </c>
      <c r="P13" s="5" t="n">
        <v>0</v>
      </c>
      <c r="Q13" s="5">
        <f>'Hypotheses'!$C$8*(1+'Hypotheses'!$C$14)^1</f>
        <v/>
      </c>
      <c r="R13" s="5" t="n">
        <v>0</v>
      </c>
      <c r="S13" s="5" t="n">
        <v>0</v>
      </c>
      <c r="T13" s="5">
        <f>'Hypotheses'!$C$8*(1+'Hypotheses'!$C$14)^1</f>
        <v/>
      </c>
      <c r="U13" s="5" t="n">
        <v>0</v>
      </c>
      <c r="V13" s="5" t="n">
        <v>0</v>
      </c>
      <c r="W13" s="5">
        <f>'Hypotheses'!$C$8*(1+'Hypotheses'!$C$14)^1</f>
        <v/>
      </c>
      <c r="X13" s="5" t="n">
        <v>0</v>
      </c>
      <c r="Y13" s="5" t="n">
        <v>0</v>
      </c>
      <c r="Z13" s="5">
        <f>'Hypotheses'!$C$8*(1+'Hypotheses'!$C$14)^1</f>
        <v/>
      </c>
      <c r="AA13" s="5" t="n">
        <v>0</v>
      </c>
      <c r="AB13" s="5" t="n">
        <v>0</v>
      </c>
      <c r="AC13" s="5">
        <f>'Hypotheses'!$C$8*(1+'Hypotheses'!$C$14)^2</f>
        <v/>
      </c>
      <c r="AD13" s="5" t="n">
        <v>0</v>
      </c>
      <c r="AE13" s="5" t="n">
        <v>0</v>
      </c>
      <c r="AF13" s="5">
        <f>'Hypotheses'!$C$8*(1+'Hypotheses'!$C$14)^2</f>
        <v/>
      </c>
      <c r="AG13" s="5" t="n">
        <v>0</v>
      </c>
      <c r="AH13" s="5" t="n">
        <v>0</v>
      </c>
      <c r="AI13" s="5">
        <f>'Hypotheses'!$C$8*(1+'Hypotheses'!$C$14)^2</f>
        <v/>
      </c>
      <c r="AJ13" s="5" t="n">
        <v>0</v>
      </c>
      <c r="AK13" s="5" t="n">
        <v>0</v>
      </c>
      <c r="AL13" s="5">
        <f>'Hypotheses'!$C$8*(1+'Hypotheses'!$C$14)^2</f>
        <v/>
      </c>
    </row>
    <row r="14" ht="20" customHeight="1">
      <c r="A14" s="3" t="inlineStr">
        <is>
          <t>TVA nette versee</t>
        </is>
      </c>
      <c r="B14" s="3" t="n"/>
      <c r="C14" s="5" t="n">
        <v>0</v>
      </c>
      <c r="D14" s="5" t="n">
        <v>0</v>
      </c>
      <c r="E14" s="5">
        <f>MAX(0,SUM(C22:E22))</f>
        <v/>
      </c>
      <c r="F14" s="5" t="n">
        <v>0</v>
      </c>
      <c r="G14" s="5" t="n">
        <v>0</v>
      </c>
      <c r="H14" s="5">
        <f>MAX(0,SUM(F22:H22))</f>
        <v/>
      </c>
      <c r="I14" s="5" t="n">
        <v>0</v>
      </c>
      <c r="J14" s="5" t="n">
        <v>0</v>
      </c>
      <c r="K14" s="5">
        <f>MAX(0,SUM(I22:K22))</f>
        <v/>
      </c>
      <c r="L14" s="5" t="n">
        <v>0</v>
      </c>
      <c r="M14" s="5" t="n">
        <v>0</v>
      </c>
      <c r="N14" s="5">
        <f>MAX(0,SUM(L22:N22))</f>
        <v/>
      </c>
      <c r="O14" s="5" t="n">
        <v>0</v>
      </c>
      <c r="P14" s="5" t="n">
        <v>0</v>
      </c>
      <c r="Q14" s="5">
        <f>MAX(0,SUM(O22:Q22))</f>
        <v/>
      </c>
      <c r="R14" s="5" t="n">
        <v>0</v>
      </c>
      <c r="S14" s="5" t="n">
        <v>0</v>
      </c>
      <c r="T14" s="5">
        <f>MAX(0,SUM(R22:T22))</f>
        <v/>
      </c>
      <c r="U14" s="5" t="n">
        <v>0</v>
      </c>
      <c r="V14" s="5" t="n">
        <v>0</v>
      </c>
      <c r="W14" s="5">
        <f>MAX(0,SUM(U22:W22))</f>
        <v/>
      </c>
      <c r="X14" s="5" t="n">
        <v>0</v>
      </c>
      <c r="Y14" s="5" t="n">
        <v>0</v>
      </c>
      <c r="Z14" s="5">
        <f>MAX(0,SUM(X22:Z22))</f>
        <v/>
      </c>
      <c r="AA14" s="5" t="n">
        <v>0</v>
      </c>
      <c r="AB14" s="5" t="n">
        <v>0</v>
      </c>
      <c r="AC14" s="5">
        <f>MAX(0,SUM(AA22:AC22))</f>
        <v/>
      </c>
      <c r="AD14" s="5" t="n">
        <v>0</v>
      </c>
      <c r="AE14" s="5" t="n">
        <v>0</v>
      </c>
      <c r="AF14" s="5">
        <f>MAX(0,SUM(AD22:AF22))</f>
        <v/>
      </c>
      <c r="AG14" s="5" t="n">
        <v>0</v>
      </c>
      <c r="AH14" s="5" t="n">
        <v>0</v>
      </c>
      <c r="AI14" s="5">
        <f>MAX(0,SUM(AG22:AI22))</f>
        <v/>
      </c>
      <c r="AJ14" s="5" t="n">
        <v>0</v>
      </c>
      <c r="AK14" s="5" t="n">
        <v>0</v>
      </c>
      <c r="AL14" s="5">
        <f>MAX(0,SUM(AJ22:AL22))</f>
        <v/>
      </c>
    </row>
    <row r="15" ht="20" customHeight="1">
      <c r="A15" s="3" t="inlineStr">
        <is>
          <t>Remboursement emprunt materiel</t>
        </is>
      </c>
      <c r="B15" s="3" t="n"/>
      <c r="C15" s="5">
        <f>'Hypotheses'!$C$9</f>
        <v/>
      </c>
      <c r="D15" s="5">
        <f>'Hypotheses'!$C$9</f>
        <v/>
      </c>
      <c r="E15" s="5">
        <f>'Hypotheses'!$C$9</f>
        <v/>
      </c>
      <c r="F15" s="5">
        <f>'Hypotheses'!$C$9</f>
        <v/>
      </c>
      <c r="G15" s="5">
        <f>'Hypotheses'!$C$9</f>
        <v/>
      </c>
      <c r="H15" s="5">
        <f>'Hypotheses'!$C$9</f>
        <v/>
      </c>
      <c r="I15" s="5">
        <f>'Hypotheses'!$C$9</f>
        <v/>
      </c>
      <c r="J15" s="5">
        <f>'Hypotheses'!$C$9</f>
        <v/>
      </c>
      <c r="K15" s="5">
        <f>'Hypotheses'!$C$9</f>
        <v/>
      </c>
      <c r="L15" s="5">
        <f>'Hypotheses'!$C$9</f>
        <v/>
      </c>
      <c r="M15" s="5">
        <f>'Hypotheses'!$C$9</f>
        <v/>
      </c>
      <c r="N15" s="5">
        <f>'Hypotheses'!$C$9</f>
        <v/>
      </c>
      <c r="O15" s="5">
        <f>'Hypotheses'!$C$9</f>
        <v/>
      </c>
      <c r="P15" s="5">
        <f>'Hypotheses'!$C$9</f>
        <v/>
      </c>
      <c r="Q15" s="5">
        <f>'Hypotheses'!$C$9</f>
        <v/>
      </c>
      <c r="R15" s="5">
        <f>'Hypotheses'!$C$9</f>
        <v/>
      </c>
      <c r="S15" s="5">
        <f>'Hypotheses'!$C$9</f>
        <v/>
      </c>
      <c r="T15" s="5">
        <f>'Hypotheses'!$C$9</f>
        <v/>
      </c>
      <c r="U15" s="5">
        <f>'Hypotheses'!$C$9</f>
        <v/>
      </c>
      <c r="V15" s="5">
        <f>'Hypotheses'!$C$9</f>
        <v/>
      </c>
      <c r="W15" s="5">
        <f>'Hypotheses'!$C$9</f>
        <v/>
      </c>
      <c r="X15" s="5">
        <f>'Hypotheses'!$C$9</f>
        <v/>
      </c>
      <c r="Y15" s="5">
        <f>'Hypotheses'!$C$9</f>
        <v/>
      </c>
      <c r="Z15" s="5">
        <f>'Hypotheses'!$C$9</f>
        <v/>
      </c>
      <c r="AA15" s="5">
        <f>'Hypotheses'!$C$9</f>
        <v/>
      </c>
      <c r="AB15" s="5">
        <f>'Hypotheses'!$C$9</f>
        <v/>
      </c>
      <c r="AC15" s="5">
        <f>'Hypotheses'!$C$9</f>
        <v/>
      </c>
      <c r="AD15" s="5">
        <f>'Hypotheses'!$C$9</f>
        <v/>
      </c>
      <c r="AE15" s="5">
        <f>'Hypotheses'!$C$9</f>
        <v/>
      </c>
      <c r="AF15" s="5">
        <f>'Hypotheses'!$C$9</f>
        <v/>
      </c>
      <c r="AG15" s="5">
        <f>'Hypotheses'!$C$9</f>
        <v/>
      </c>
      <c r="AH15" s="5">
        <f>'Hypotheses'!$C$9</f>
        <v/>
      </c>
      <c r="AI15" s="5">
        <f>'Hypotheses'!$C$9</f>
        <v/>
      </c>
      <c r="AJ15" s="5">
        <f>'Hypotheses'!$C$9</f>
        <v/>
      </c>
      <c r="AK15" s="5">
        <f>'Hypotheses'!$C$9</f>
        <v/>
      </c>
      <c r="AL15" s="5">
        <f>'Hypotheses'!$C$9</f>
        <v/>
      </c>
    </row>
    <row r="16" ht="20" customHeight="1">
      <c r="A16" s="7" t="inlineStr">
        <is>
          <t>TOTAL DECAISSEMENTS</t>
        </is>
      </c>
      <c r="B16" s="7" t="n"/>
      <c r="C16" s="7">
        <f>SUM(C10:C15)</f>
        <v/>
      </c>
      <c r="D16" s="7">
        <f>SUM(D10:D15)</f>
        <v/>
      </c>
      <c r="E16" s="7">
        <f>SUM(E10:E15)</f>
        <v/>
      </c>
      <c r="F16" s="7">
        <f>SUM(F10:F15)</f>
        <v/>
      </c>
      <c r="G16" s="7">
        <f>SUM(G10:G15)</f>
        <v/>
      </c>
      <c r="H16" s="7">
        <f>SUM(H10:H15)</f>
        <v/>
      </c>
      <c r="I16" s="7">
        <f>SUM(I10:I15)</f>
        <v/>
      </c>
      <c r="J16" s="7">
        <f>SUM(J10:J15)</f>
        <v/>
      </c>
      <c r="K16" s="7">
        <f>SUM(K10:K15)</f>
        <v/>
      </c>
      <c r="L16" s="7">
        <f>SUM(L10:L15)</f>
        <v/>
      </c>
      <c r="M16" s="7">
        <f>SUM(M10:M15)</f>
        <v/>
      </c>
      <c r="N16" s="7">
        <f>SUM(N10:N15)</f>
        <v/>
      </c>
      <c r="O16" s="7">
        <f>SUM(O10:O15)</f>
        <v/>
      </c>
      <c r="P16" s="7">
        <f>SUM(P10:P15)</f>
        <v/>
      </c>
      <c r="Q16" s="7">
        <f>SUM(Q10:Q15)</f>
        <v/>
      </c>
      <c r="R16" s="7">
        <f>SUM(R10:R15)</f>
        <v/>
      </c>
      <c r="S16" s="7">
        <f>SUM(S10:S15)</f>
        <v/>
      </c>
      <c r="T16" s="7">
        <f>SUM(T10:T15)</f>
        <v/>
      </c>
      <c r="U16" s="7">
        <f>SUM(U10:U15)</f>
        <v/>
      </c>
      <c r="V16" s="7">
        <f>SUM(V10:V15)</f>
        <v/>
      </c>
      <c r="W16" s="7">
        <f>SUM(W10:W15)</f>
        <v/>
      </c>
      <c r="X16" s="7">
        <f>SUM(X10:X15)</f>
        <v/>
      </c>
      <c r="Y16" s="7">
        <f>SUM(Y10:Y15)</f>
        <v/>
      </c>
      <c r="Z16" s="7">
        <f>SUM(Z10:Z15)</f>
        <v/>
      </c>
      <c r="AA16" s="7">
        <f>SUM(AA10:AA15)</f>
        <v/>
      </c>
      <c r="AB16" s="7">
        <f>SUM(AB10:AB15)</f>
        <v/>
      </c>
      <c r="AC16" s="7">
        <f>SUM(AC10:AC15)</f>
        <v/>
      </c>
      <c r="AD16" s="7">
        <f>SUM(AD10:AD15)</f>
        <v/>
      </c>
      <c r="AE16" s="7">
        <f>SUM(AE10:AE15)</f>
        <v/>
      </c>
      <c r="AF16" s="7">
        <f>SUM(AF10:AF15)</f>
        <v/>
      </c>
      <c r="AG16" s="7">
        <f>SUM(AG10:AG15)</f>
        <v/>
      </c>
      <c r="AH16" s="7">
        <f>SUM(AH10:AH15)</f>
        <v/>
      </c>
      <c r="AI16" s="7">
        <f>SUM(AI10:AI15)</f>
        <v/>
      </c>
      <c r="AJ16" s="7">
        <f>SUM(AJ10:AJ15)</f>
        <v/>
      </c>
      <c r="AK16" s="7">
        <f>SUM(AK10:AK15)</f>
        <v/>
      </c>
      <c r="AL16" s="7">
        <f>SUM(AL10:AL15)</f>
        <v/>
      </c>
    </row>
    <row r="17" ht="20" customHeight="1">
      <c r="A17" s="3" t="inlineStr">
        <is>
          <t>Variation de tresorerie du mois</t>
        </is>
      </c>
      <c r="B17" s="3" t="n"/>
      <c r="C17" s="5">
        <f>C8-C16</f>
        <v/>
      </c>
      <c r="D17" s="5">
        <f>D8-D16</f>
        <v/>
      </c>
      <c r="E17" s="5">
        <f>E8-E16</f>
        <v/>
      </c>
      <c r="F17" s="5">
        <f>F8-F16</f>
        <v/>
      </c>
      <c r="G17" s="5">
        <f>G8-G16</f>
        <v/>
      </c>
      <c r="H17" s="5">
        <f>H8-H16</f>
        <v/>
      </c>
      <c r="I17" s="5">
        <f>I8-I16</f>
        <v/>
      </c>
      <c r="J17" s="5">
        <f>J8-J16</f>
        <v/>
      </c>
      <c r="K17" s="5">
        <f>K8-K16</f>
        <v/>
      </c>
      <c r="L17" s="5">
        <f>L8-L16</f>
        <v/>
      </c>
      <c r="M17" s="5">
        <f>M8-M16</f>
        <v/>
      </c>
      <c r="N17" s="5">
        <f>N8-N16</f>
        <v/>
      </c>
      <c r="O17" s="5">
        <f>O8-O16</f>
        <v/>
      </c>
      <c r="P17" s="5">
        <f>P8-P16</f>
        <v/>
      </c>
      <c r="Q17" s="5">
        <f>Q8-Q16</f>
        <v/>
      </c>
      <c r="R17" s="5">
        <f>R8-R16</f>
        <v/>
      </c>
      <c r="S17" s="5">
        <f>S8-S16</f>
        <v/>
      </c>
      <c r="T17" s="5">
        <f>T8-T16</f>
        <v/>
      </c>
      <c r="U17" s="5">
        <f>U8-U16</f>
        <v/>
      </c>
      <c r="V17" s="5">
        <f>V8-V16</f>
        <v/>
      </c>
      <c r="W17" s="5">
        <f>W8-W16</f>
        <v/>
      </c>
      <c r="X17" s="5">
        <f>X8-X16</f>
        <v/>
      </c>
      <c r="Y17" s="5">
        <f>Y8-Y16</f>
        <v/>
      </c>
      <c r="Z17" s="5">
        <f>Z8-Z16</f>
        <v/>
      </c>
      <c r="AA17" s="5">
        <f>AA8-AA16</f>
        <v/>
      </c>
      <c r="AB17" s="5">
        <f>AB8-AB16</f>
        <v/>
      </c>
      <c r="AC17" s="5">
        <f>AC8-AC16</f>
        <v/>
      </c>
      <c r="AD17" s="5">
        <f>AD8-AD16</f>
        <v/>
      </c>
      <c r="AE17" s="5">
        <f>AE8-AE16</f>
        <v/>
      </c>
      <c r="AF17" s="5">
        <f>AF8-AF16</f>
        <v/>
      </c>
      <c r="AG17" s="5">
        <f>AG8-AG16</f>
        <v/>
      </c>
      <c r="AH17" s="5">
        <f>AH8-AH16</f>
        <v/>
      </c>
      <c r="AI17" s="5">
        <f>AI8-AI16</f>
        <v/>
      </c>
      <c r="AJ17" s="5">
        <f>AJ8-AJ16</f>
        <v/>
      </c>
      <c r="AK17" s="5">
        <f>AK8-AK16</f>
        <v/>
      </c>
      <c r="AL17" s="5">
        <f>AL8-AL16</f>
        <v/>
      </c>
    </row>
    <row r="18" ht="20" customHeight="1">
      <c r="A18" s="7" t="inlineStr">
        <is>
          <t>TRESORERIE EN FIN DE MOIS</t>
        </is>
      </c>
      <c r="B18" s="7" t="n"/>
      <c r="C18" s="7">
        <f>C5+C17</f>
        <v/>
      </c>
      <c r="D18" s="7">
        <f>D5+D17</f>
        <v/>
      </c>
      <c r="E18" s="7">
        <f>E5+E17</f>
        <v/>
      </c>
      <c r="F18" s="7">
        <f>F5+F17</f>
        <v/>
      </c>
      <c r="G18" s="7">
        <f>G5+G17</f>
        <v/>
      </c>
      <c r="H18" s="7">
        <f>H5+H17</f>
        <v/>
      </c>
      <c r="I18" s="7">
        <f>I5+I17</f>
        <v/>
      </c>
      <c r="J18" s="7">
        <f>J5+J17</f>
        <v/>
      </c>
      <c r="K18" s="7">
        <f>K5+K17</f>
        <v/>
      </c>
      <c r="L18" s="7">
        <f>L5+L17</f>
        <v/>
      </c>
      <c r="M18" s="7">
        <f>M5+M17</f>
        <v/>
      </c>
      <c r="N18" s="7">
        <f>N5+N17</f>
        <v/>
      </c>
      <c r="O18" s="7">
        <f>O5+O17</f>
        <v/>
      </c>
      <c r="P18" s="7">
        <f>P5+P17</f>
        <v/>
      </c>
      <c r="Q18" s="7">
        <f>Q5+Q17</f>
        <v/>
      </c>
      <c r="R18" s="7">
        <f>R5+R17</f>
        <v/>
      </c>
      <c r="S18" s="7">
        <f>S5+S17</f>
        <v/>
      </c>
      <c r="T18" s="7">
        <f>T5+T17</f>
        <v/>
      </c>
      <c r="U18" s="7">
        <f>U5+U17</f>
        <v/>
      </c>
      <c r="V18" s="7">
        <f>V5+V17</f>
        <v/>
      </c>
      <c r="W18" s="7">
        <f>W5+W17</f>
        <v/>
      </c>
      <c r="X18" s="7">
        <f>X5+X17</f>
        <v/>
      </c>
      <c r="Y18" s="7">
        <f>Y5+Y17</f>
        <v/>
      </c>
      <c r="Z18" s="7">
        <f>Z5+Z17</f>
        <v/>
      </c>
      <c r="AA18" s="7">
        <f>AA5+AA17</f>
        <v/>
      </c>
      <c r="AB18" s="7">
        <f>AB5+AB17</f>
        <v/>
      </c>
      <c r="AC18" s="7">
        <f>AC5+AC17</f>
        <v/>
      </c>
      <c r="AD18" s="7">
        <f>AD5+AD17</f>
        <v/>
      </c>
      <c r="AE18" s="7">
        <f>AE5+AE17</f>
        <v/>
      </c>
      <c r="AF18" s="7">
        <f>AF5+AF17</f>
        <v/>
      </c>
      <c r="AG18" s="7">
        <f>AG5+AG17</f>
        <v/>
      </c>
      <c r="AH18" s="7">
        <f>AH5+AH17</f>
        <v/>
      </c>
      <c r="AI18" s="7">
        <f>AI5+AI17</f>
        <v/>
      </c>
      <c r="AJ18" s="7">
        <f>AJ5+AJ17</f>
        <v/>
      </c>
      <c r="AK18" s="7">
        <f>AK5+AK17</f>
        <v/>
      </c>
      <c r="AL18" s="7">
        <f>AL5+AL17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</row>
    <row r="20" ht="20" customHeight="1">
      <c r="A20" s="3" t="inlineStr">
        <is>
          <t>Memo - TVA collectee du mois</t>
        </is>
      </c>
      <c r="B20" s="3" t="n"/>
      <c r="C20" s="5">
        <f>'Revenus'!C10</f>
        <v/>
      </c>
      <c r="D20" s="5">
        <f>'Revenus'!D10</f>
        <v/>
      </c>
      <c r="E20" s="5">
        <f>'Revenus'!E10</f>
        <v/>
      </c>
      <c r="F20" s="5">
        <f>'Revenus'!F10</f>
        <v/>
      </c>
      <c r="G20" s="5">
        <f>'Revenus'!G10</f>
        <v/>
      </c>
      <c r="H20" s="5">
        <f>'Revenus'!H10</f>
        <v/>
      </c>
      <c r="I20" s="5">
        <f>'Revenus'!I10</f>
        <v/>
      </c>
      <c r="J20" s="5">
        <f>'Revenus'!J10</f>
        <v/>
      </c>
      <c r="K20" s="5">
        <f>'Revenus'!K10</f>
        <v/>
      </c>
      <c r="L20" s="5">
        <f>'Revenus'!L10</f>
        <v/>
      </c>
      <c r="M20" s="5">
        <f>'Revenus'!M10</f>
        <v/>
      </c>
      <c r="N20" s="5">
        <f>'Revenus'!N10</f>
        <v/>
      </c>
      <c r="O20" s="5">
        <f>'Revenus'!O10</f>
        <v/>
      </c>
      <c r="P20" s="5">
        <f>'Revenus'!P10</f>
        <v/>
      </c>
      <c r="Q20" s="5">
        <f>'Revenus'!Q10</f>
        <v/>
      </c>
      <c r="R20" s="5">
        <f>'Revenus'!R10</f>
        <v/>
      </c>
      <c r="S20" s="5">
        <f>'Revenus'!S10</f>
        <v/>
      </c>
      <c r="T20" s="5">
        <f>'Revenus'!T10</f>
        <v/>
      </c>
      <c r="U20" s="5">
        <f>'Revenus'!U10</f>
        <v/>
      </c>
      <c r="V20" s="5">
        <f>'Revenus'!V10</f>
        <v/>
      </c>
      <c r="W20" s="5">
        <f>'Revenus'!W10</f>
        <v/>
      </c>
      <c r="X20" s="5">
        <f>'Revenus'!X10</f>
        <v/>
      </c>
      <c r="Y20" s="5">
        <f>'Revenus'!Y10</f>
        <v/>
      </c>
      <c r="Z20" s="5">
        <f>'Revenus'!Z10</f>
        <v/>
      </c>
      <c r="AA20" s="5">
        <f>'Revenus'!AA10</f>
        <v/>
      </c>
      <c r="AB20" s="5">
        <f>'Revenus'!AB10</f>
        <v/>
      </c>
      <c r="AC20" s="5">
        <f>'Revenus'!AC10</f>
        <v/>
      </c>
      <c r="AD20" s="5">
        <f>'Revenus'!AD10</f>
        <v/>
      </c>
      <c r="AE20" s="5">
        <f>'Revenus'!AE10</f>
        <v/>
      </c>
      <c r="AF20" s="5">
        <f>'Revenus'!AF10</f>
        <v/>
      </c>
      <c r="AG20" s="5">
        <f>'Revenus'!AG10</f>
        <v/>
      </c>
      <c r="AH20" s="5">
        <f>'Revenus'!AH10</f>
        <v/>
      </c>
      <c r="AI20" s="5">
        <f>'Revenus'!AI10</f>
        <v/>
      </c>
      <c r="AJ20" s="5">
        <f>'Revenus'!AJ10</f>
        <v/>
      </c>
      <c r="AK20" s="5">
        <f>'Revenus'!AK10</f>
        <v/>
      </c>
      <c r="AL20" s="5">
        <f>'Revenus'!AL10</f>
        <v/>
      </c>
    </row>
    <row r="21" ht="20" customHeight="1">
      <c r="A21" s="3" t="inlineStr">
        <is>
          <t>Memo - TVA deductible du mois</t>
        </is>
      </c>
      <c r="B21" s="3" t="n"/>
      <c r="C21" s="5">
        <f>(C10+C12)*'Hypotheses'!$C$6</f>
        <v/>
      </c>
      <c r="D21" s="5">
        <f>(D10+D12)*'Hypotheses'!$C$6</f>
        <v/>
      </c>
      <c r="E21" s="5">
        <f>(E10+E12)*'Hypotheses'!$C$6</f>
        <v/>
      </c>
      <c r="F21" s="5">
        <f>(F10+F12)*'Hypotheses'!$C$6</f>
        <v/>
      </c>
      <c r="G21" s="5">
        <f>(G10+G12)*'Hypotheses'!$C$6</f>
        <v/>
      </c>
      <c r="H21" s="5">
        <f>(H10+H12)*'Hypotheses'!$C$6</f>
        <v/>
      </c>
      <c r="I21" s="5">
        <f>(I10+I12)*'Hypotheses'!$C$6</f>
        <v/>
      </c>
      <c r="J21" s="5">
        <f>(J10+J12)*'Hypotheses'!$C$6</f>
        <v/>
      </c>
      <c r="K21" s="5">
        <f>(K10+K12)*'Hypotheses'!$C$6</f>
        <v/>
      </c>
      <c r="L21" s="5">
        <f>(L10+L12)*'Hypotheses'!$C$6</f>
        <v/>
      </c>
      <c r="M21" s="5">
        <f>(M10+M12)*'Hypotheses'!$C$6</f>
        <v/>
      </c>
      <c r="N21" s="5">
        <f>(N10+N12)*'Hypotheses'!$C$6</f>
        <v/>
      </c>
      <c r="O21" s="5">
        <f>(O10+O12)*'Hypotheses'!$C$6</f>
        <v/>
      </c>
      <c r="P21" s="5">
        <f>(P10+P12)*'Hypotheses'!$C$6</f>
        <v/>
      </c>
      <c r="Q21" s="5">
        <f>(Q10+Q12)*'Hypotheses'!$C$6</f>
        <v/>
      </c>
      <c r="R21" s="5">
        <f>(R10+R12)*'Hypotheses'!$C$6</f>
        <v/>
      </c>
      <c r="S21" s="5">
        <f>(S10+S12)*'Hypotheses'!$C$6</f>
        <v/>
      </c>
      <c r="T21" s="5">
        <f>(T10+T12)*'Hypotheses'!$C$6</f>
        <v/>
      </c>
      <c r="U21" s="5">
        <f>(U10+U12)*'Hypotheses'!$C$6</f>
        <v/>
      </c>
      <c r="V21" s="5">
        <f>(V10+V12)*'Hypotheses'!$C$6</f>
        <v/>
      </c>
      <c r="W21" s="5">
        <f>(W10+W12)*'Hypotheses'!$C$6</f>
        <v/>
      </c>
      <c r="X21" s="5">
        <f>(X10+X12)*'Hypotheses'!$C$6</f>
        <v/>
      </c>
      <c r="Y21" s="5">
        <f>(Y10+Y12)*'Hypotheses'!$C$6</f>
        <v/>
      </c>
      <c r="Z21" s="5">
        <f>(Z10+Z12)*'Hypotheses'!$C$6</f>
        <v/>
      </c>
      <c r="AA21" s="5">
        <f>(AA10+AA12)*'Hypotheses'!$C$6</f>
        <v/>
      </c>
      <c r="AB21" s="5">
        <f>(AB10+AB12)*'Hypotheses'!$C$6</f>
        <v/>
      </c>
      <c r="AC21" s="5">
        <f>(AC10+AC12)*'Hypotheses'!$C$6</f>
        <v/>
      </c>
      <c r="AD21" s="5">
        <f>(AD10+AD12)*'Hypotheses'!$C$6</f>
        <v/>
      </c>
      <c r="AE21" s="5">
        <f>(AE10+AE12)*'Hypotheses'!$C$6</f>
        <v/>
      </c>
      <c r="AF21" s="5">
        <f>(AF10+AF12)*'Hypotheses'!$C$6</f>
        <v/>
      </c>
      <c r="AG21" s="5">
        <f>(AG10+AG12)*'Hypotheses'!$C$6</f>
        <v/>
      </c>
      <c r="AH21" s="5">
        <f>(AH10+AH12)*'Hypotheses'!$C$6</f>
        <v/>
      </c>
      <c r="AI21" s="5">
        <f>(AI10+AI12)*'Hypotheses'!$C$6</f>
        <v/>
      </c>
      <c r="AJ21" s="5">
        <f>(AJ10+AJ12)*'Hypotheses'!$C$6</f>
        <v/>
      </c>
      <c r="AK21" s="5">
        <f>(AK10+AK12)*'Hypotheses'!$C$6</f>
        <v/>
      </c>
      <c r="AL21" s="5">
        <f>(AL10+AL12)*'Hypotheses'!$C$6</f>
        <v/>
      </c>
    </row>
    <row r="22" ht="20" customHeight="1">
      <c r="A22" s="3" t="inlineStr">
        <is>
          <t>Memo - TVA nette du mois</t>
        </is>
      </c>
      <c r="B22" s="3" t="n"/>
      <c r="C22" s="5">
        <f>C20-C21</f>
        <v/>
      </c>
      <c r="D22" s="5">
        <f>D20-D21</f>
        <v/>
      </c>
      <c r="E22" s="5">
        <f>E20-E21</f>
        <v/>
      </c>
      <c r="F22" s="5">
        <f>F20-F21</f>
        <v/>
      </c>
      <c r="G22" s="5">
        <f>G20-G21</f>
        <v/>
      </c>
      <c r="H22" s="5">
        <f>H20-H21</f>
        <v/>
      </c>
      <c r="I22" s="5">
        <f>I20-I21</f>
        <v/>
      </c>
      <c r="J22" s="5">
        <f>J20-J21</f>
        <v/>
      </c>
      <c r="K22" s="5">
        <f>K20-K21</f>
        <v/>
      </c>
      <c r="L22" s="5">
        <f>L20-L21</f>
        <v/>
      </c>
      <c r="M22" s="5">
        <f>M20-M21</f>
        <v/>
      </c>
      <c r="N22" s="5">
        <f>N20-N21</f>
        <v/>
      </c>
      <c r="O22" s="5">
        <f>O20-O21</f>
        <v/>
      </c>
      <c r="P22" s="5">
        <f>P20-P21</f>
        <v/>
      </c>
      <c r="Q22" s="5">
        <f>Q20-Q21</f>
        <v/>
      </c>
      <c r="R22" s="5">
        <f>R20-R21</f>
        <v/>
      </c>
      <c r="S22" s="5">
        <f>S20-S21</f>
        <v/>
      </c>
      <c r="T22" s="5">
        <f>T20-T21</f>
        <v/>
      </c>
      <c r="U22" s="5">
        <f>U20-U21</f>
        <v/>
      </c>
      <c r="V22" s="5">
        <f>V20-V21</f>
        <v/>
      </c>
      <c r="W22" s="5">
        <f>W20-W21</f>
        <v/>
      </c>
      <c r="X22" s="5">
        <f>X20-X21</f>
        <v/>
      </c>
      <c r="Y22" s="5">
        <f>Y20-Y21</f>
        <v/>
      </c>
      <c r="Z22" s="5">
        <f>Z20-Z21</f>
        <v/>
      </c>
      <c r="AA22" s="5">
        <f>AA20-AA21</f>
        <v/>
      </c>
      <c r="AB22" s="5">
        <f>AB20-AB21</f>
        <v/>
      </c>
      <c r="AC22" s="5">
        <f>AC20-AC21</f>
        <v/>
      </c>
      <c r="AD22" s="5">
        <f>AD20-AD21</f>
        <v/>
      </c>
      <c r="AE22" s="5">
        <f>AE20-AE21</f>
        <v/>
      </c>
      <c r="AF22" s="5">
        <f>AF20-AF21</f>
        <v/>
      </c>
      <c r="AG22" s="5">
        <f>AG20-AG21</f>
        <v/>
      </c>
      <c r="AH22" s="5">
        <f>AH20-AH21</f>
        <v/>
      </c>
      <c r="AI22" s="5">
        <f>AI20-AI21</f>
        <v/>
      </c>
      <c r="AJ22" s="5">
        <f>AJ20-AJ21</f>
        <v/>
      </c>
      <c r="AK22" s="5">
        <f>AK20-AK21</f>
        <v/>
      </c>
      <c r="AL22" s="5">
        <f>AL20-AL21</f>
        <v/>
      </c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</row>
    <row r="24" ht="20" customHeight="1">
      <c r="A24" s="7" t="inlineStr">
        <is>
          <t>Minimum cash over period</t>
        </is>
      </c>
      <c r="B24" s="7" t="n"/>
      <c r="C24" s="7">
        <f>MIN(C18:AL18)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</cols>
  <sheetData>
    <row r="1" ht="20" customHeight="1">
      <c r="A1" s="1" t="inlineStr">
        <is>
          <t>Market data used by model</t>
        </is>
      </c>
    </row>
    <row r="2" ht="20" customHeight="1">
      <c r="A2" s="2" t="inlineStr">
        <is>
          <t>External series are normalized to each model unit price to preserve realistic movement without unit mismatch.</t>
        </is>
      </c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6" t="inlineStr">
        <is>
          <t>Cost line</t>
        </is>
      </c>
      <c r="B4" s="6" t="inlineStr">
        <is>
          <t>Underlying</t>
        </is>
      </c>
      <c r="C4" s="6" t="inlineStr">
        <is>
          <t>Market code</t>
        </is>
      </c>
      <c r="D4" s="6" t="inlineStr">
        <is>
          <t>Source</t>
        </is>
      </c>
      <c r="E4" s="6" t="inlineStr">
        <is>
          <t>Model unit</t>
        </is>
      </c>
      <c r="F4" s="6" t="inlineStr">
        <is>
          <t>Model unit price</t>
        </is>
      </c>
      <c r="G4" s="6" t="inlineStr">
        <is>
          <t>Month</t>
        </is>
      </c>
      <c r="H4" s="6" t="inlineStr">
        <is>
          <t>Value</t>
        </is>
      </c>
    </row>
    <row r="5" ht="20" customHeight="1">
      <c r="A5" s="3" t="inlineStr">
        <is>
          <t>Insurance, admin, accounting</t>
        </is>
      </c>
      <c r="B5" s="3" t="n"/>
      <c r="C5" s="3" t="inlineStr">
        <is>
          <t>ADMIN_SERVICES</t>
        </is>
      </c>
      <c r="D5" s="3" t="inlineStr">
        <is>
          <t xml:space="preserve">INSEE BDM 010766756: Indices des prix de production des services français aux entreprises françaises (BtoB) − CPF 82.11 − Services administratifs combinés </t>
        </is>
      </c>
      <c r="E5" s="3" t="inlineStr">
        <is>
          <t>monthly package</t>
        </is>
      </c>
      <c r="F5" s="3" t="n">
        <v>5625</v>
      </c>
      <c r="G5" s="3" t="inlineStr">
        <is>
          <t>2021-01</t>
        </is>
      </c>
      <c r="H5" s="3" t="n">
        <v>5625</v>
      </c>
    </row>
    <row r="6" ht="20" customHeight="1">
      <c r="A6" s="3" t="inlineStr">
        <is>
          <t>Insurance, admin, accounting</t>
        </is>
      </c>
      <c r="B6" s="3" t="n"/>
      <c r="C6" s="3" t="inlineStr">
        <is>
          <t>ADMIN_SERVICES</t>
        </is>
      </c>
      <c r="D6" s="3" t="inlineStr">
        <is>
          <t xml:space="preserve">INSEE BDM 010766756: Indices des prix de production des services français aux entreprises françaises (BtoB) − CPF 82.11 − Services administratifs combinés </t>
        </is>
      </c>
      <c r="E6" s="3" t="inlineStr">
        <is>
          <t>monthly package</t>
        </is>
      </c>
      <c r="F6" s="3" t="n">
        <v>5625</v>
      </c>
      <c r="G6" s="3" t="inlineStr">
        <is>
          <t>2021-02</t>
        </is>
      </c>
      <c r="H6" s="3" t="n">
        <v>5625</v>
      </c>
    </row>
    <row r="7" ht="20" customHeight="1">
      <c r="A7" s="3" t="inlineStr">
        <is>
          <t>Insurance, admin, accounting</t>
        </is>
      </c>
      <c r="B7" s="3" t="n"/>
      <c r="C7" s="3" t="inlineStr">
        <is>
          <t>ADMIN_SERVICES</t>
        </is>
      </c>
      <c r="D7" s="3" t="inlineStr">
        <is>
          <t xml:space="preserve">INSEE BDM 010766756: Indices des prix de production des services français aux entreprises françaises (BtoB) − CPF 82.11 − Services administratifs combinés </t>
        </is>
      </c>
      <c r="E7" s="3" t="inlineStr">
        <is>
          <t>monthly package</t>
        </is>
      </c>
      <c r="F7" s="3" t="n">
        <v>5625</v>
      </c>
      <c r="G7" s="3" t="inlineStr">
        <is>
          <t>2021-03</t>
        </is>
      </c>
      <c r="H7" s="3" t="n">
        <v>5625</v>
      </c>
    </row>
    <row r="8" ht="20" customHeight="1">
      <c r="A8" s="3" t="inlineStr">
        <is>
          <t>Insurance, admin, accounting</t>
        </is>
      </c>
      <c r="B8" s="3" t="n"/>
      <c r="C8" s="3" t="inlineStr">
        <is>
          <t>ADMIN_SERVICES</t>
        </is>
      </c>
      <c r="D8" s="3" t="inlineStr">
        <is>
          <t xml:space="preserve">INSEE BDM 010766756: Indices des prix de production des services français aux entreprises françaises (BtoB) − CPF 82.11 − Services administratifs combinés </t>
        </is>
      </c>
      <c r="E8" s="3" t="inlineStr">
        <is>
          <t>monthly package</t>
        </is>
      </c>
      <c r="F8" s="3" t="n">
        <v>5625</v>
      </c>
      <c r="G8" s="3" t="inlineStr">
        <is>
          <t>2021-04</t>
        </is>
      </c>
      <c r="H8" s="3" t="n">
        <v>5625</v>
      </c>
    </row>
    <row r="9" ht="20" customHeight="1">
      <c r="A9" s="3" t="inlineStr">
        <is>
          <t>Insurance, admin, accounting</t>
        </is>
      </c>
      <c r="B9" s="3" t="n"/>
      <c r="C9" s="3" t="inlineStr">
        <is>
          <t>ADMIN_SERVICES</t>
        </is>
      </c>
      <c r="D9" s="3" t="inlineStr">
        <is>
          <t xml:space="preserve">INSEE BDM 010766756: Indices des prix de production des services français aux entreprises françaises (BtoB) − CPF 82.11 − Services administratifs combinés </t>
        </is>
      </c>
      <c r="E9" s="3" t="inlineStr">
        <is>
          <t>monthly package</t>
        </is>
      </c>
      <c r="F9" s="3" t="n">
        <v>5625</v>
      </c>
      <c r="G9" s="3" t="inlineStr">
        <is>
          <t>2021-05</t>
        </is>
      </c>
      <c r="H9" s="3" t="n">
        <v>5625</v>
      </c>
    </row>
    <row r="10" ht="20" customHeight="1">
      <c r="A10" s="3" t="inlineStr">
        <is>
          <t>Insurance, admin, accounting</t>
        </is>
      </c>
      <c r="B10" s="3" t="n"/>
      <c r="C10" s="3" t="inlineStr">
        <is>
          <t>ADMIN_SERVICES</t>
        </is>
      </c>
      <c r="D10" s="3" t="inlineStr">
        <is>
          <t xml:space="preserve">INSEE BDM 010766756: Indices des prix de production des services français aux entreprises françaises (BtoB) − CPF 82.11 − Services administratifs combinés </t>
        </is>
      </c>
      <c r="E10" s="3" t="inlineStr">
        <is>
          <t>monthly package</t>
        </is>
      </c>
      <c r="F10" s="3" t="n">
        <v>5625</v>
      </c>
      <c r="G10" s="3" t="inlineStr">
        <is>
          <t>2021-06</t>
        </is>
      </c>
      <c r="H10" s="3" t="n">
        <v>5625</v>
      </c>
    </row>
    <row r="11" ht="20" customHeight="1">
      <c r="A11" s="3" t="inlineStr">
        <is>
          <t>Insurance, admin, accounting</t>
        </is>
      </c>
      <c r="B11" s="3" t="n"/>
      <c r="C11" s="3" t="inlineStr">
        <is>
          <t>ADMIN_SERVICES</t>
        </is>
      </c>
      <c r="D11" s="3" t="inlineStr">
        <is>
          <t xml:space="preserve">INSEE BDM 010766756: Indices des prix de production des services français aux entreprises françaises (BtoB) − CPF 82.11 − Services administratifs combinés </t>
        </is>
      </c>
      <c r="E11" s="3" t="inlineStr">
        <is>
          <t>monthly package</t>
        </is>
      </c>
      <c r="F11" s="3" t="n">
        <v>5625</v>
      </c>
      <c r="G11" s="3" t="inlineStr">
        <is>
          <t>2021-07</t>
        </is>
      </c>
      <c r="H11" s="3" t="n">
        <v>5625</v>
      </c>
    </row>
    <row r="12" ht="20" customHeight="1">
      <c r="A12" s="3" t="inlineStr">
        <is>
          <t>Insurance, admin, accounting</t>
        </is>
      </c>
      <c r="B12" s="3" t="n"/>
      <c r="C12" s="3" t="inlineStr">
        <is>
          <t>ADMIN_SERVICES</t>
        </is>
      </c>
      <c r="D12" s="3" t="inlineStr">
        <is>
          <t xml:space="preserve">INSEE BDM 010766756: Indices des prix de production des services français aux entreprises françaises (BtoB) − CPF 82.11 − Services administratifs combinés </t>
        </is>
      </c>
      <c r="E12" s="3" t="inlineStr">
        <is>
          <t>monthly package</t>
        </is>
      </c>
      <c r="F12" s="3" t="n">
        <v>5625</v>
      </c>
      <c r="G12" s="3" t="inlineStr">
        <is>
          <t>2021-08</t>
        </is>
      </c>
      <c r="H12" s="3" t="n">
        <v>5625</v>
      </c>
    </row>
    <row r="13" ht="20" customHeight="1">
      <c r="A13" s="3" t="inlineStr">
        <is>
          <t>Insurance, admin, accounting</t>
        </is>
      </c>
      <c r="B13" s="3" t="n"/>
      <c r="C13" s="3" t="inlineStr">
        <is>
          <t>ADMIN_SERVICES</t>
        </is>
      </c>
      <c r="D13" s="3" t="inlineStr">
        <is>
          <t xml:space="preserve">INSEE BDM 010766756: Indices des prix de production des services français aux entreprises françaises (BtoB) − CPF 82.11 − Services administratifs combinés </t>
        </is>
      </c>
      <c r="E13" s="3" t="inlineStr">
        <is>
          <t>monthly package</t>
        </is>
      </c>
      <c r="F13" s="3" t="n">
        <v>5625</v>
      </c>
      <c r="G13" s="3" t="inlineStr">
        <is>
          <t>2021-09</t>
        </is>
      </c>
      <c r="H13" s="3" t="n">
        <v>5625</v>
      </c>
    </row>
    <row r="14" ht="20" customHeight="1">
      <c r="A14" s="3" t="inlineStr">
        <is>
          <t>Insurance, admin, accounting</t>
        </is>
      </c>
      <c r="B14" s="3" t="n"/>
      <c r="C14" s="3" t="inlineStr">
        <is>
          <t>ADMIN_SERVICES</t>
        </is>
      </c>
      <c r="D14" s="3" t="inlineStr">
        <is>
          <t xml:space="preserve">INSEE BDM 010766756: Indices des prix de production des services français aux entreprises françaises (BtoB) − CPF 82.11 − Services administratifs combinés </t>
        </is>
      </c>
      <c r="E14" s="3" t="inlineStr">
        <is>
          <t>monthly package</t>
        </is>
      </c>
      <c r="F14" s="3" t="n">
        <v>5625</v>
      </c>
      <c r="G14" s="3" t="inlineStr">
        <is>
          <t>2021-10</t>
        </is>
      </c>
      <c r="H14" s="3" t="n">
        <v>5625</v>
      </c>
    </row>
    <row r="15" ht="20" customHeight="1">
      <c r="A15" s="3" t="inlineStr">
        <is>
          <t>Insurance, admin, accounting</t>
        </is>
      </c>
      <c r="B15" s="3" t="n"/>
      <c r="C15" s="3" t="inlineStr">
        <is>
          <t>ADMIN_SERVICES</t>
        </is>
      </c>
      <c r="D15" s="3" t="inlineStr">
        <is>
          <t xml:space="preserve">INSEE BDM 010766756: Indices des prix de production des services français aux entreprises françaises (BtoB) − CPF 82.11 − Services administratifs combinés </t>
        </is>
      </c>
      <c r="E15" s="3" t="inlineStr">
        <is>
          <t>monthly package</t>
        </is>
      </c>
      <c r="F15" s="3" t="n">
        <v>5625</v>
      </c>
      <c r="G15" s="3" t="inlineStr">
        <is>
          <t>2021-11</t>
        </is>
      </c>
      <c r="H15" s="3" t="n">
        <v>5625</v>
      </c>
    </row>
    <row r="16" ht="20" customHeight="1">
      <c r="A16" s="3" t="inlineStr">
        <is>
          <t>Insurance, admin, accounting</t>
        </is>
      </c>
      <c r="B16" s="3" t="n"/>
      <c r="C16" s="3" t="inlineStr">
        <is>
          <t>ADMIN_SERVICES</t>
        </is>
      </c>
      <c r="D16" s="3" t="inlineStr">
        <is>
          <t xml:space="preserve">INSEE BDM 010766756: Indices des prix de production des services français aux entreprises françaises (BtoB) − CPF 82.11 − Services administratifs combinés </t>
        </is>
      </c>
      <c r="E16" s="3" t="inlineStr">
        <is>
          <t>monthly package</t>
        </is>
      </c>
      <c r="F16" s="3" t="n">
        <v>5625</v>
      </c>
      <c r="G16" s="3" t="inlineStr">
        <is>
          <t>2021-12</t>
        </is>
      </c>
      <c r="H16" s="3" t="n">
        <v>5625</v>
      </c>
    </row>
    <row r="17" ht="20" customHeight="1">
      <c r="A17" s="3" t="inlineStr">
        <is>
          <t>Insurance, admin, accounting</t>
        </is>
      </c>
      <c r="B17" s="3" t="n"/>
      <c r="C17" s="3" t="inlineStr">
        <is>
          <t>ADMIN_SERVICES</t>
        </is>
      </c>
      <c r="D17" s="3" t="inlineStr">
        <is>
          <t xml:space="preserve">INSEE BDM 010766756: Indices des prix de production des services français aux entreprises françaises (BtoB) − CPF 82.11 − Services administratifs combinés </t>
        </is>
      </c>
      <c r="E17" s="3" t="inlineStr">
        <is>
          <t>monthly package</t>
        </is>
      </c>
      <c r="F17" s="3" t="n">
        <v>5625</v>
      </c>
      <c r="G17" s="3" t="inlineStr">
        <is>
          <t>2022-01</t>
        </is>
      </c>
      <c r="H17" s="3" t="n">
        <v>5625</v>
      </c>
    </row>
    <row r="18" ht="20" customHeight="1">
      <c r="A18" s="3" t="inlineStr">
        <is>
          <t>Insurance, admin, accounting</t>
        </is>
      </c>
      <c r="B18" s="3" t="n"/>
      <c r="C18" s="3" t="inlineStr">
        <is>
          <t>ADMIN_SERVICES</t>
        </is>
      </c>
      <c r="D18" s="3" t="inlineStr">
        <is>
          <t xml:space="preserve">INSEE BDM 010766756: Indices des prix de production des services français aux entreprises françaises (BtoB) − CPF 82.11 − Services administratifs combinés </t>
        </is>
      </c>
      <c r="E18" s="3" t="inlineStr">
        <is>
          <t>monthly package</t>
        </is>
      </c>
      <c r="F18" s="3" t="n">
        <v>5625</v>
      </c>
      <c r="G18" s="3" t="inlineStr">
        <is>
          <t>2022-02</t>
        </is>
      </c>
      <c r="H18" s="3" t="n">
        <v>5625</v>
      </c>
    </row>
    <row r="19" ht="20" customHeight="1">
      <c r="A19" s="3" t="inlineStr">
        <is>
          <t>Insurance, admin, accounting</t>
        </is>
      </c>
      <c r="B19" s="3" t="n"/>
      <c r="C19" s="3" t="inlineStr">
        <is>
          <t>ADMIN_SERVICES</t>
        </is>
      </c>
      <c r="D19" s="3" t="inlineStr">
        <is>
          <t xml:space="preserve">INSEE BDM 010766756: Indices des prix de production des services français aux entreprises françaises (BtoB) − CPF 82.11 − Services administratifs combinés </t>
        </is>
      </c>
      <c r="E19" s="3" t="inlineStr">
        <is>
          <t>monthly package</t>
        </is>
      </c>
      <c r="F19" s="3" t="n">
        <v>5625</v>
      </c>
      <c r="G19" s="3" t="inlineStr">
        <is>
          <t>2022-03</t>
        </is>
      </c>
      <c r="H19" s="3" t="n">
        <v>5625</v>
      </c>
    </row>
    <row r="20" ht="20" customHeight="1">
      <c r="A20" s="3" t="inlineStr">
        <is>
          <t>Insurance, admin, accounting</t>
        </is>
      </c>
      <c r="B20" s="3" t="n"/>
      <c r="C20" s="3" t="inlineStr">
        <is>
          <t>ADMIN_SERVICES</t>
        </is>
      </c>
      <c r="D20" s="3" t="inlineStr">
        <is>
          <t xml:space="preserve">INSEE BDM 010766756: Indices des prix de production des services français aux entreprises françaises (BtoB) − CPF 82.11 − Services administratifs combinés </t>
        </is>
      </c>
      <c r="E20" s="3" t="inlineStr">
        <is>
          <t>monthly package</t>
        </is>
      </c>
      <c r="F20" s="3" t="n">
        <v>5625</v>
      </c>
      <c r="G20" s="3" t="inlineStr">
        <is>
          <t>2022-04</t>
        </is>
      </c>
      <c r="H20" s="3" t="n">
        <v>5625</v>
      </c>
    </row>
    <row r="21" ht="20" customHeight="1">
      <c r="A21" s="3" t="inlineStr">
        <is>
          <t>Insurance, admin, accounting</t>
        </is>
      </c>
      <c r="B21" s="3" t="n"/>
      <c r="C21" s="3" t="inlineStr">
        <is>
          <t>ADMIN_SERVICES</t>
        </is>
      </c>
      <c r="D21" s="3" t="inlineStr">
        <is>
          <t xml:space="preserve">INSEE BDM 010766756: Indices des prix de production des services français aux entreprises françaises (BtoB) − CPF 82.11 − Services administratifs combinés </t>
        </is>
      </c>
      <c r="E21" s="3" t="inlineStr">
        <is>
          <t>monthly package</t>
        </is>
      </c>
      <c r="F21" s="3" t="n">
        <v>5625</v>
      </c>
      <c r="G21" s="3" t="inlineStr">
        <is>
          <t>2022-05</t>
        </is>
      </c>
      <c r="H21" s="3" t="n">
        <v>5625</v>
      </c>
    </row>
    <row r="22" ht="20" customHeight="1">
      <c r="A22" s="3" t="inlineStr">
        <is>
          <t>Insurance, admin, accounting</t>
        </is>
      </c>
      <c r="B22" s="3" t="n"/>
      <c r="C22" s="3" t="inlineStr">
        <is>
          <t>ADMIN_SERVICES</t>
        </is>
      </c>
      <c r="D22" s="3" t="inlineStr">
        <is>
          <t xml:space="preserve">INSEE BDM 010766756: Indices des prix de production des services français aux entreprises françaises (BtoB) − CPF 82.11 − Services administratifs combinés </t>
        </is>
      </c>
      <c r="E22" s="3" t="inlineStr">
        <is>
          <t>monthly package</t>
        </is>
      </c>
      <c r="F22" s="3" t="n">
        <v>5625</v>
      </c>
      <c r="G22" s="3" t="inlineStr">
        <is>
          <t>2022-06</t>
        </is>
      </c>
      <c r="H22" s="3" t="n">
        <v>5625</v>
      </c>
    </row>
    <row r="23" ht="20" customHeight="1">
      <c r="A23" s="3" t="inlineStr">
        <is>
          <t>Insurance, admin, accounting</t>
        </is>
      </c>
      <c r="B23" s="3" t="n"/>
      <c r="C23" s="3" t="inlineStr">
        <is>
          <t>ADMIN_SERVICES</t>
        </is>
      </c>
      <c r="D23" s="3" t="inlineStr">
        <is>
          <t xml:space="preserve">INSEE BDM 010766756: Indices des prix de production des services français aux entreprises françaises (BtoB) − CPF 82.11 − Services administratifs combinés </t>
        </is>
      </c>
      <c r="E23" s="3" t="inlineStr">
        <is>
          <t>monthly package</t>
        </is>
      </c>
      <c r="F23" s="3" t="n">
        <v>5625</v>
      </c>
      <c r="G23" s="3" t="inlineStr">
        <is>
          <t>2022-07</t>
        </is>
      </c>
      <c r="H23" s="3" t="n">
        <v>5625</v>
      </c>
    </row>
    <row r="24" ht="20" customHeight="1">
      <c r="A24" s="3" t="inlineStr">
        <is>
          <t>Insurance, admin, accounting</t>
        </is>
      </c>
      <c r="B24" s="3" t="n"/>
      <c r="C24" s="3" t="inlineStr">
        <is>
          <t>ADMIN_SERVICES</t>
        </is>
      </c>
      <c r="D24" s="3" t="inlineStr">
        <is>
          <t xml:space="preserve">INSEE BDM 010766756: Indices des prix de production des services français aux entreprises françaises (BtoB) − CPF 82.11 − Services administratifs combinés </t>
        </is>
      </c>
      <c r="E24" s="3" t="inlineStr">
        <is>
          <t>monthly package</t>
        </is>
      </c>
      <c r="F24" s="3" t="n">
        <v>5625</v>
      </c>
      <c r="G24" s="3" t="inlineStr">
        <is>
          <t>2022-08</t>
        </is>
      </c>
      <c r="H24" s="3" t="n">
        <v>5625</v>
      </c>
    </row>
    <row r="25" ht="20" customHeight="1">
      <c r="A25" s="3" t="inlineStr">
        <is>
          <t>Insurance, admin, accounting</t>
        </is>
      </c>
      <c r="B25" s="3" t="n"/>
      <c r="C25" s="3" t="inlineStr">
        <is>
          <t>ADMIN_SERVICES</t>
        </is>
      </c>
      <c r="D25" s="3" t="inlineStr">
        <is>
          <t xml:space="preserve">INSEE BDM 010766756: Indices des prix de production des services français aux entreprises françaises (BtoB) − CPF 82.11 − Services administratifs combinés </t>
        </is>
      </c>
      <c r="E25" s="3" t="inlineStr">
        <is>
          <t>monthly package</t>
        </is>
      </c>
      <c r="F25" s="3" t="n">
        <v>5625</v>
      </c>
      <c r="G25" s="3" t="inlineStr">
        <is>
          <t>2022-09</t>
        </is>
      </c>
      <c r="H25" s="3" t="n">
        <v>5625</v>
      </c>
    </row>
    <row r="26" ht="20" customHeight="1">
      <c r="A26" s="3" t="inlineStr">
        <is>
          <t>Insurance, admin, accounting</t>
        </is>
      </c>
      <c r="B26" s="3" t="n"/>
      <c r="C26" s="3" t="inlineStr">
        <is>
          <t>ADMIN_SERVICES</t>
        </is>
      </c>
      <c r="D26" s="3" t="inlineStr">
        <is>
          <t xml:space="preserve">INSEE BDM 010766756: Indices des prix de production des services français aux entreprises françaises (BtoB) − CPF 82.11 − Services administratifs combinés </t>
        </is>
      </c>
      <c r="E26" s="3" t="inlineStr">
        <is>
          <t>monthly package</t>
        </is>
      </c>
      <c r="F26" s="3" t="n">
        <v>5625</v>
      </c>
      <c r="G26" s="3" t="inlineStr">
        <is>
          <t>2022-10</t>
        </is>
      </c>
      <c r="H26" s="3" t="n">
        <v>5625</v>
      </c>
    </row>
    <row r="27" ht="20" customHeight="1">
      <c r="A27" s="3" t="inlineStr">
        <is>
          <t>Insurance, admin, accounting</t>
        </is>
      </c>
      <c r="B27" s="3" t="n"/>
      <c r="C27" s="3" t="inlineStr">
        <is>
          <t>ADMIN_SERVICES</t>
        </is>
      </c>
      <c r="D27" s="3" t="inlineStr">
        <is>
          <t xml:space="preserve">INSEE BDM 010766756: Indices des prix de production des services français aux entreprises françaises (BtoB) − CPF 82.11 − Services administratifs combinés </t>
        </is>
      </c>
      <c r="E27" s="3" t="inlineStr">
        <is>
          <t>monthly package</t>
        </is>
      </c>
      <c r="F27" s="3" t="n">
        <v>5625</v>
      </c>
      <c r="G27" s="3" t="inlineStr">
        <is>
          <t>2022-11</t>
        </is>
      </c>
      <c r="H27" s="3" t="n">
        <v>5625</v>
      </c>
    </row>
    <row r="28" ht="20" customHeight="1">
      <c r="A28" s="3" t="inlineStr">
        <is>
          <t>Insurance, admin, accounting</t>
        </is>
      </c>
      <c r="B28" s="3" t="n"/>
      <c r="C28" s="3" t="inlineStr">
        <is>
          <t>ADMIN_SERVICES</t>
        </is>
      </c>
      <c r="D28" s="3" t="inlineStr">
        <is>
          <t xml:space="preserve">INSEE BDM 010766756: Indices des prix de production des services français aux entreprises françaises (BtoB) − CPF 82.11 − Services administratifs combinés </t>
        </is>
      </c>
      <c r="E28" s="3" t="inlineStr">
        <is>
          <t>monthly package</t>
        </is>
      </c>
      <c r="F28" s="3" t="n">
        <v>5625</v>
      </c>
      <c r="G28" s="3" t="inlineStr">
        <is>
          <t>2022-12</t>
        </is>
      </c>
      <c r="H28" s="3" t="n">
        <v>5625</v>
      </c>
    </row>
    <row r="29" ht="20" customHeight="1">
      <c r="A29" s="3" t="inlineStr">
        <is>
          <t>Insurance, admin, accounting</t>
        </is>
      </c>
      <c r="B29" s="3" t="n"/>
      <c r="C29" s="3" t="inlineStr">
        <is>
          <t>ADMIN_SERVICES</t>
        </is>
      </c>
      <c r="D29" s="3" t="inlineStr">
        <is>
          <t xml:space="preserve">INSEE BDM 010766756: Indices des prix de production des services français aux entreprises françaises (BtoB) − CPF 82.11 − Services administratifs combinés </t>
        </is>
      </c>
      <c r="E29" s="3" t="inlineStr">
        <is>
          <t>monthly package</t>
        </is>
      </c>
      <c r="F29" s="3" t="n">
        <v>5625</v>
      </c>
      <c r="G29" s="3" t="inlineStr">
        <is>
          <t>2023-01</t>
        </is>
      </c>
      <c r="H29" s="3" t="n">
        <v>5625</v>
      </c>
    </row>
    <row r="30" ht="20" customHeight="1">
      <c r="A30" s="3" t="inlineStr">
        <is>
          <t>Insurance, admin, accounting</t>
        </is>
      </c>
      <c r="B30" s="3" t="n"/>
      <c r="C30" s="3" t="inlineStr">
        <is>
          <t>ADMIN_SERVICES</t>
        </is>
      </c>
      <c r="D30" s="3" t="inlineStr">
        <is>
          <t xml:space="preserve">INSEE BDM 010766756: Indices des prix de production des services français aux entreprises françaises (BtoB) − CPF 82.11 − Services administratifs combinés </t>
        </is>
      </c>
      <c r="E30" s="3" t="inlineStr">
        <is>
          <t>monthly package</t>
        </is>
      </c>
      <c r="F30" s="3" t="n">
        <v>5625</v>
      </c>
      <c r="G30" s="3" t="inlineStr">
        <is>
          <t>2023-02</t>
        </is>
      </c>
      <c r="H30" s="3" t="n">
        <v>5625</v>
      </c>
    </row>
    <row r="31" ht="20" customHeight="1">
      <c r="A31" s="3" t="inlineStr">
        <is>
          <t>Insurance, admin, accounting</t>
        </is>
      </c>
      <c r="B31" s="3" t="n"/>
      <c r="C31" s="3" t="inlineStr">
        <is>
          <t>ADMIN_SERVICES</t>
        </is>
      </c>
      <c r="D31" s="3" t="inlineStr">
        <is>
          <t xml:space="preserve">INSEE BDM 010766756: Indices des prix de production des services français aux entreprises françaises (BtoB) − CPF 82.11 − Services administratifs combinés </t>
        </is>
      </c>
      <c r="E31" s="3" t="inlineStr">
        <is>
          <t>monthly package</t>
        </is>
      </c>
      <c r="F31" s="3" t="n">
        <v>5625</v>
      </c>
      <c r="G31" s="3" t="inlineStr">
        <is>
          <t>2023-03</t>
        </is>
      </c>
      <c r="H31" s="3" t="n">
        <v>5625</v>
      </c>
    </row>
    <row r="32" ht="20" customHeight="1">
      <c r="A32" s="3" t="inlineStr">
        <is>
          <t>Insurance, admin, accounting</t>
        </is>
      </c>
      <c r="B32" s="3" t="n"/>
      <c r="C32" s="3" t="inlineStr">
        <is>
          <t>ADMIN_SERVICES</t>
        </is>
      </c>
      <c r="D32" s="3" t="inlineStr">
        <is>
          <t xml:space="preserve">INSEE BDM 010766756: Indices des prix de production des services français aux entreprises françaises (BtoB) − CPF 82.11 − Services administratifs combinés </t>
        </is>
      </c>
      <c r="E32" s="3" t="inlineStr">
        <is>
          <t>monthly package</t>
        </is>
      </c>
      <c r="F32" s="3" t="n">
        <v>5625</v>
      </c>
      <c r="G32" s="3" t="inlineStr">
        <is>
          <t>2023-04</t>
        </is>
      </c>
      <c r="H32" s="3" t="n">
        <v>5625</v>
      </c>
    </row>
    <row r="33" ht="20" customHeight="1">
      <c r="A33" s="3" t="inlineStr">
        <is>
          <t>Insurance, admin, accounting</t>
        </is>
      </c>
      <c r="B33" s="3" t="n"/>
      <c r="C33" s="3" t="inlineStr">
        <is>
          <t>ADMIN_SERVICES</t>
        </is>
      </c>
      <c r="D33" s="3" t="inlineStr">
        <is>
          <t xml:space="preserve">INSEE BDM 010766756: Indices des prix de production des services français aux entreprises françaises (BtoB) − CPF 82.11 − Services administratifs combinés </t>
        </is>
      </c>
      <c r="E33" s="3" t="inlineStr">
        <is>
          <t>monthly package</t>
        </is>
      </c>
      <c r="F33" s="3" t="n">
        <v>5625</v>
      </c>
      <c r="G33" s="3" t="inlineStr">
        <is>
          <t>2023-05</t>
        </is>
      </c>
      <c r="H33" s="3" t="n">
        <v>5625</v>
      </c>
    </row>
    <row r="34" ht="20" customHeight="1">
      <c r="A34" s="3" t="inlineStr">
        <is>
          <t>Insurance, admin, accounting</t>
        </is>
      </c>
      <c r="B34" s="3" t="n"/>
      <c r="C34" s="3" t="inlineStr">
        <is>
          <t>ADMIN_SERVICES</t>
        </is>
      </c>
      <c r="D34" s="3" t="inlineStr">
        <is>
          <t xml:space="preserve">INSEE BDM 010766756: Indices des prix de production des services français aux entreprises françaises (BtoB) − CPF 82.11 − Services administratifs combinés </t>
        </is>
      </c>
      <c r="E34" s="3" t="inlineStr">
        <is>
          <t>monthly package</t>
        </is>
      </c>
      <c r="F34" s="3" t="n">
        <v>5625</v>
      </c>
      <c r="G34" s="3" t="inlineStr">
        <is>
          <t>2023-06</t>
        </is>
      </c>
      <c r="H34" s="3" t="n">
        <v>5625</v>
      </c>
    </row>
    <row r="35" ht="20" customHeight="1">
      <c r="A35" s="3" t="inlineStr">
        <is>
          <t>Insurance, admin, accounting</t>
        </is>
      </c>
      <c r="B35" s="3" t="n"/>
      <c r="C35" s="3" t="inlineStr">
        <is>
          <t>ADMIN_SERVICES</t>
        </is>
      </c>
      <c r="D35" s="3" t="inlineStr">
        <is>
          <t xml:space="preserve">INSEE BDM 010766756: Indices des prix de production des services français aux entreprises françaises (BtoB) − CPF 82.11 − Services administratifs combinés </t>
        </is>
      </c>
      <c r="E35" s="3" t="inlineStr">
        <is>
          <t>monthly package</t>
        </is>
      </c>
      <c r="F35" s="3" t="n">
        <v>5625</v>
      </c>
      <c r="G35" s="3" t="inlineStr">
        <is>
          <t>2023-07</t>
        </is>
      </c>
      <c r="H35" s="3" t="n">
        <v>5625</v>
      </c>
    </row>
    <row r="36" ht="20" customHeight="1">
      <c r="A36" s="3" t="inlineStr">
        <is>
          <t>Insurance, admin, accounting</t>
        </is>
      </c>
      <c r="B36" s="3" t="n"/>
      <c r="C36" s="3" t="inlineStr">
        <is>
          <t>ADMIN_SERVICES</t>
        </is>
      </c>
      <c r="D36" s="3" t="inlineStr">
        <is>
          <t xml:space="preserve">INSEE BDM 010766756: Indices des prix de production des services français aux entreprises françaises (BtoB) − CPF 82.11 − Services administratifs combinés </t>
        </is>
      </c>
      <c r="E36" s="3" t="inlineStr">
        <is>
          <t>monthly package</t>
        </is>
      </c>
      <c r="F36" s="3" t="n">
        <v>5625</v>
      </c>
      <c r="G36" s="3" t="inlineStr">
        <is>
          <t>2023-08</t>
        </is>
      </c>
      <c r="H36" s="3" t="n">
        <v>5625</v>
      </c>
    </row>
    <row r="37" ht="20" customHeight="1">
      <c r="A37" s="3" t="inlineStr">
        <is>
          <t>Insurance, admin, accounting</t>
        </is>
      </c>
      <c r="B37" s="3" t="n"/>
      <c r="C37" s="3" t="inlineStr">
        <is>
          <t>ADMIN_SERVICES</t>
        </is>
      </c>
      <c r="D37" s="3" t="inlineStr">
        <is>
          <t xml:space="preserve">INSEE BDM 010766756: Indices des prix de production des services français aux entreprises françaises (BtoB) − CPF 82.11 − Services administratifs combinés </t>
        </is>
      </c>
      <c r="E37" s="3" t="inlineStr">
        <is>
          <t>monthly package</t>
        </is>
      </c>
      <c r="F37" s="3" t="n">
        <v>5625</v>
      </c>
      <c r="G37" s="3" t="inlineStr">
        <is>
          <t>2023-09</t>
        </is>
      </c>
      <c r="H37" s="3" t="n">
        <v>5625</v>
      </c>
    </row>
    <row r="38" ht="20" customHeight="1">
      <c r="A38" s="3" t="inlineStr">
        <is>
          <t>Insurance, admin, accounting</t>
        </is>
      </c>
      <c r="B38" s="3" t="n"/>
      <c r="C38" s="3" t="inlineStr">
        <is>
          <t>ADMIN_SERVICES</t>
        </is>
      </c>
      <c r="D38" s="3" t="inlineStr">
        <is>
          <t xml:space="preserve">INSEE BDM 010766756: Indices des prix de production des services français aux entreprises françaises (BtoB) − CPF 82.11 − Services administratifs combinés </t>
        </is>
      </c>
      <c r="E38" s="3" t="inlineStr">
        <is>
          <t>monthly package</t>
        </is>
      </c>
      <c r="F38" s="3" t="n">
        <v>5625</v>
      </c>
      <c r="G38" s="3" t="inlineStr">
        <is>
          <t>2023-10</t>
        </is>
      </c>
      <c r="H38" s="3" t="n">
        <v>5625</v>
      </c>
    </row>
    <row r="39" ht="20" customHeight="1">
      <c r="A39" s="3" t="inlineStr">
        <is>
          <t>Insurance, admin, accounting</t>
        </is>
      </c>
      <c r="B39" s="3" t="n"/>
      <c r="C39" s="3" t="inlineStr">
        <is>
          <t>ADMIN_SERVICES</t>
        </is>
      </c>
      <c r="D39" s="3" t="inlineStr">
        <is>
          <t xml:space="preserve">INSEE BDM 010766756: Indices des prix de production des services français aux entreprises françaises (BtoB) − CPF 82.11 − Services administratifs combinés </t>
        </is>
      </c>
      <c r="E39" s="3" t="inlineStr">
        <is>
          <t>monthly package</t>
        </is>
      </c>
      <c r="F39" s="3" t="n">
        <v>5625</v>
      </c>
      <c r="G39" s="3" t="inlineStr">
        <is>
          <t>2023-11</t>
        </is>
      </c>
      <c r="H39" s="3" t="n">
        <v>5625</v>
      </c>
    </row>
    <row r="40" ht="20" customHeight="1">
      <c r="A40" s="3" t="inlineStr">
        <is>
          <t>Insurance, admin, accounting</t>
        </is>
      </c>
      <c r="B40" s="3" t="n"/>
      <c r="C40" s="3" t="inlineStr">
        <is>
          <t>ADMIN_SERVICES</t>
        </is>
      </c>
      <c r="D40" s="3" t="inlineStr">
        <is>
          <t xml:space="preserve">INSEE BDM 010766756: Indices des prix de production des services français aux entreprises françaises (BtoB) − CPF 82.11 − Services administratifs combinés </t>
        </is>
      </c>
      <c r="E40" s="3" t="inlineStr">
        <is>
          <t>monthly package</t>
        </is>
      </c>
      <c r="F40" s="3" t="n">
        <v>5625</v>
      </c>
      <c r="G40" s="3" t="inlineStr">
        <is>
          <t>2023-12</t>
        </is>
      </c>
      <c r="H40" s="3" t="n">
        <v>5625</v>
      </c>
    </row>
    <row r="41" ht="20" customHeight="1">
      <c r="A41" s="3" t="inlineStr">
        <is>
          <t>Aluminium rails and light fittings</t>
        </is>
      </c>
      <c r="B41" s="3" t="inlineStr">
        <is>
          <t>Aluminium</t>
        </is>
      </c>
      <c r="C41" s="3" t="inlineStr">
        <is>
          <t>ALUMINUM</t>
        </is>
      </c>
      <c r="D41" s="3" t="inlineStr">
        <is>
          <t>INSEE BDM 010002041: Cours des matières premières importées - Aluminium, pureté 99,7 % - Prix d’acquisition au comptant, LME (London Metal Exchange) - Prix en dollars US par tonne</t>
        </is>
      </c>
      <c r="E41" s="3" t="inlineStr">
        <is>
          <t>kg</t>
        </is>
      </c>
      <c r="F41" s="3" t="n">
        <v>2.6</v>
      </c>
      <c r="G41" s="3" t="inlineStr">
        <is>
          <t>2021-01</t>
        </is>
      </c>
      <c r="H41" s="3" t="n">
        <v>2.6</v>
      </c>
    </row>
    <row r="42" ht="20" customHeight="1">
      <c r="A42" s="3" t="inlineStr">
        <is>
          <t>Aluminium rails and light fittings</t>
        </is>
      </c>
      <c r="B42" s="3" t="inlineStr">
        <is>
          <t>Aluminium</t>
        </is>
      </c>
      <c r="C42" s="3" t="inlineStr">
        <is>
          <t>ALUMINUM</t>
        </is>
      </c>
      <c r="D42" s="3" t="inlineStr">
        <is>
          <t>INSEE BDM 010002041: Cours des matières premières importées - Aluminium, pureté 99,7 % - Prix d’acquisition au comptant, LME (London Metal Exchange) - Prix en dollars US par tonne</t>
        </is>
      </c>
      <c r="E42" s="3" t="inlineStr">
        <is>
          <t>kg</t>
        </is>
      </c>
      <c r="F42" s="3" t="n">
        <v>2.6</v>
      </c>
      <c r="G42" s="3" t="inlineStr">
        <is>
          <t>2021-02</t>
        </is>
      </c>
      <c r="H42" s="3" t="n">
        <v>2.6984</v>
      </c>
    </row>
    <row r="43" ht="20" customHeight="1">
      <c r="A43" s="3" t="inlineStr">
        <is>
          <t>Aluminium rails and light fittings</t>
        </is>
      </c>
      <c r="B43" s="3" t="inlineStr">
        <is>
          <t>Aluminium</t>
        </is>
      </c>
      <c r="C43" s="3" t="inlineStr">
        <is>
          <t>ALUMINUM</t>
        </is>
      </c>
      <c r="D43" s="3" t="inlineStr">
        <is>
          <t>INSEE BDM 010002041: Cours des matières premières importées - Aluminium, pureté 99,7 % - Prix d’acquisition au comptant, LME (London Metal Exchange) - Prix en dollars US par tonne</t>
        </is>
      </c>
      <c r="E43" s="3" t="inlineStr">
        <is>
          <t>kg</t>
        </is>
      </c>
      <c r="F43" s="3" t="n">
        <v>2.6</v>
      </c>
      <c r="G43" s="3" t="inlineStr">
        <is>
          <t>2021-03</t>
        </is>
      </c>
      <c r="H43" s="3" t="n">
        <v>2.8437</v>
      </c>
    </row>
    <row r="44" ht="20" customHeight="1">
      <c r="A44" s="3" t="inlineStr">
        <is>
          <t>Aluminium rails and light fittings</t>
        </is>
      </c>
      <c r="B44" s="3" t="inlineStr">
        <is>
          <t>Aluminium</t>
        </is>
      </c>
      <c r="C44" s="3" t="inlineStr">
        <is>
          <t>ALUMINUM</t>
        </is>
      </c>
      <c r="D44" s="3" t="inlineStr">
        <is>
          <t>INSEE BDM 010002041: Cours des matières premières importées - Aluminium, pureté 99,7 % - Prix d’acquisition au comptant, LME (London Metal Exchange) - Prix en dollars US par tonne</t>
        </is>
      </c>
      <c r="E44" s="3" t="inlineStr">
        <is>
          <t>kg</t>
        </is>
      </c>
      <c r="F44" s="3" t="n">
        <v>2.6</v>
      </c>
      <c r="G44" s="3" t="inlineStr">
        <is>
          <t>2021-04</t>
        </is>
      </c>
      <c r="H44" s="3" t="n">
        <v>3.0152</v>
      </c>
    </row>
    <row r="45" ht="20" customHeight="1">
      <c r="A45" s="3" t="inlineStr">
        <is>
          <t>Aluminium rails and light fittings</t>
        </is>
      </c>
      <c r="B45" s="3" t="inlineStr">
        <is>
          <t>Aluminium</t>
        </is>
      </c>
      <c r="C45" s="3" t="inlineStr">
        <is>
          <t>ALUMINUM</t>
        </is>
      </c>
      <c r="D45" s="3" t="inlineStr">
        <is>
          <t>INSEE BDM 010002041: Cours des matières premières importées - Aluminium, pureté 99,7 % - Prix d’acquisition au comptant, LME (London Metal Exchange) - Prix en dollars US par tonne</t>
        </is>
      </c>
      <c r="E45" s="3" t="inlineStr">
        <is>
          <t>kg</t>
        </is>
      </c>
      <c r="F45" s="3" t="n">
        <v>2.6</v>
      </c>
      <c r="G45" s="3" t="inlineStr">
        <is>
          <t>2021-05</t>
        </is>
      </c>
      <c r="H45" s="3" t="n">
        <v>3.1579</v>
      </c>
    </row>
    <row r="46" ht="20" customHeight="1">
      <c r="A46" s="3" t="inlineStr">
        <is>
          <t>Aluminium rails and light fittings</t>
        </is>
      </c>
      <c r="B46" s="3" t="inlineStr">
        <is>
          <t>Aluminium</t>
        </is>
      </c>
      <c r="C46" s="3" t="inlineStr">
        <is>
          <t>ALUMINUM</t>
        </is>
      </c>
      <c r="D46" s="3" t="inlineStr">
        <is>
          <t>INSEE BDM 010002041: Cours des matières premières importées - Aluminium, pureté 99,7 % - Prix d’acquisition au comptant, LME (London Metal Exchange) - Prix en dollars US par tonne</t>
        </is>
      </c>
      <c r="E46" s="3" t="inlineStr">
        <is>
          <t>kg</t>
        </is>
      </c>
      <c r="F46" s="3" t="n">
        <v>2.6</v>
      </c>
      <c r="G46" s="3" t="inlineStr">
        <is>
          <t>2021-06</t>
        </is>
      </c>
      <c r="H46" s="3" t="n">
        <v>3.1648</v>
      </c>
    </row>
    <row r="47" ht="20" customHeight="1">
      <c r="A47" s="3" t="inlineStr">
        <is>
          <t>Aluminium rails and light fittings</t>
        </is>
      </c>
      <c r="B47" s="3" t="inlineStr">
        <is>
          <t>Aluminium</t>
        </is>
      </c>
      <c r="C47" s="3" t="inlineStr">
        <is>
          <t>ALUMINUM</t>
        </is>
      </c>
      <c r="D47" s="3" t="inlineStr">
        <is>
          <t>INSEE BDM 010002041: Cours des matières premières importées - Aluminium, pureté 99,7 % - Prix d’acquisition au comptant, LME (London Metal Exchange) - Prix en dollars US par tonne</t>
        </is>
      </c>
      <c r="E47" s="3" t="inlineStr">
        <is>
          <t>kg</t>
        </is>
      </c>
      <c r="F47" s="3" t="n">
        <v>2.6</v>
      </c>
      <c r="G47" s="3" t="inlineStr">
        <is>
          <t>2021-07</t>
        </is>
      </c>
      <c r="H47" s="3" t="n">
        <v>3.2335</v>
      </c>
    </row>
    <row r="48" ht="20" customHeight="1">
      <c r="A48" s="3" t="inlineStr">
        <is>
          <t>Aluminium rails and light fittings</t>
        </is>
      </c>
      <c r="B48" s="3" t="inlineStr">
        <is>
          <t>Aluminium</t>
        </is>
      </c>
      <c r="C48" s="3" t="inlineStr">
        <is>
          <t>ALUMINUM</t>
        </is>
      </c>
      <c r="D48" s="3" t="inlineStr">
        <is>
          <t>INSEE BDM 010002041: Cours des matières premières importées - Aluminium, pureté 99,7 % - Prix d’acquisition au comptant, LME (London Metal Exchange) - Prix en dollars US par tonne</t>
        </is>
      </c>
      <c r="E48" s="3" t="inlineStr">
        <is>
          <t>kg</t>
        </is>
      </c>
      <c r="F48" s="3" t="n">
        <v>2.6</v>
      </c>
      <c r="G48" s="3" t="inlineStr">
        <is>
          <t>2021-08</t>
        </is>
      </c>
      <c r="H48" s="3" t="n">
        <v>3.3873</v>
      </c>
    </row>
    <row r="49" ht="20" customHeight="1">
      <c r="A49" s="3" t="inlineStr">
        <is>
          <t>Aluminium rails and light fittings</t>
        </is>
      </c>
      <c r="B49" s="3" t="inlineStr">
        <is>
          <t>Aluminium</t>
        </is>
      </c>
      <c r="C49" s="3" t="inlineStr">
        <is>
          <t>ALUMINUM</t>
        </is>
      </c>
      <c r="D49" s="3" t="inlineStr">
        <is>
          <t>INSEE BDM 010002041: Cours des matières premières importées - Aluminium, pureté 99,7 % - Prix d’acquisition au comptant, LME (London Metal Exchange) - Prix en dollars US par tonne</t>
        </is>
      </c>
      <c r="E49" s="3" t="inlineStr">
        <is>
          <t>kg</t>
        </is>
      </c>
      <c r="F49" s="3" t="n">
        <v>2.6</v>
      </c>
      <c r="G49" s="3" t="inlineStr">
        <is>
          <t>2021-09</t>
        </is>
      </c>
      <c r="H49" s="3" t="n">
        <v>3.684</v>
      </c>
    </row>
    <row r="50" ht="20" customHeight="1">
      <c r="A50" s="3" t="inlineStr">
        <is>
          <t>Aluminium rails and light fittings</t>
        </is>
      </c>
      <c r="B50" s="3" t="inlineStr">
        <is>
          <t>Aluminium</t>
        </is>
      </c>
      <c r="C50" s="3" t="inlineStr">
        <is>
          <t>ALUMINUM</t>
        </is>
      </c>
      <c r="D50" s="3" t="inlineStr">
        <is>
          <t>INSEE BDM 010002041: Cours des matières premières importées - Aluminium, pureté 99,7 % - Prix d’acquisition au comptant, LME (London Metal Exchange) - Prix en dollars US par tonne</t>
        </is>
      </c>
      <c r="E50" s="3" t="inlineStr">
        <is>
          <t>kg</t>
        </is>
      </c>
      <c r="F50" s="3" t="n">
        <v>2.6</v>
      </c>
      <c r="G50" s="3" t="inlineStr">
        <is>
          <t>2021-10</t>
        </is>
      </c>
      <c r="H50" s="3" t="n">
        <v>3.8336</v>
      </c>
    </row>
    <row r="51" ht="20" customHeight="1">
      <c r="A51" s="3" t="inlineStr">
        <is>
          <t>Aluminium rails and light fittings</t>
        </is>
      </c>
      <c r="B51" s="3" t="inlineStr">
        <is>
          <t>Aluminium</t>
        </is>
      </c>
      <c r="C51" s="3" t="inlineStr">
        <is>
          <t>ALUMINUM</t>
        </is>
      </c>
      <c r="D51" s="3" t="inlineStr">
        <is>
          <t>INSEE BDM 010002041: Cours des matières premières importées - Aluminium, pureté 99,7 % - Prix d’acquisition au comptant, LME (London Metal Exchange) - Prix en dollars US par tonne</t>
        </is>
      </c>
      <c r="E51" s="3" t="inlineStr">
        <is>
          <t>kg</t>
        </is>
      </c>
      <c r="F51" s="3" t="n">
        <v>2.6</v>
      </c>
      <c r="G51" s="3" t="inlineStr">
        <is>
          <t>2021-11</t>
        </is>
      </c>
      <c r="H51" s="3" t="n">
        <v>3.4264</v>
      </c>
    </row>
    <row r="52" ht="20" customHeight="1">
      <c r="A52" s="3" t="inlineStr">
        <is>
          <t>Aluminium rails and light fittings</t>
        </is>
      </c>
      <c r="B52" s="3" t="inlineStr">
        <is>
          <t>Aluminium</t>
        </is>
      </c>
      <c r="C52" s="3" t="inlineStr">
        <is>
          <t>ALUMINUM</t>
        </is>
      </c>
      <c r="D52" s="3" t="inlineStr">
        <is>
          <t>INSEE BDM 010002041: Cours des matières premières importées - Aluminium, pureté 99,7 % - Prix d’acquisition au comptant, LME (London Metal Exchange) - Prix en dollars US par tonne</t>
        </is>
      </c>
      <c r="E52" s="3" t="inlineStr">
        <is>
          <t>kg</t>
        </is>
      </c>
      <c r="F52" s="3" t="n">
        <v>2.6</v>
      </c>
      <c r="G52" s="3" t="inlineStr">
        <is>
          <t>2021-12</t>
        </is>
      </c>
      <c r="H52" s="3" t="n">
        <v>3.4961</v>
      </c>
    </row>
    <row r="53" ht="20" customHeight="1">
      <c r="A53" s="3" t="inlineStr">
        <is>
          <t>Aluminium rails and light fittings</t>
        </is>
      </c>
      <c r="B53" s="3" t="inlineStr">
        <is>
          <t>Aluminium</t>
        </is>
      </c>
      <c r="C53" s="3" t="inlineStr">
        <is>
          <t>ALUMINUM</t>
        </is>
      </c>
      <c r="D53" s="3" t="inlineStr">
        <is>
          <t>INSEE BDM 010002041: Cours des matières premières importées - Aluminium, pureté 99,7 % - Prix d’acquisition au comptant, LME (London Metal Exchange) - Prix en dollars US par tonne</t>
        </is>
      </c>
      <c r="E53" s="3" t="inlineStr">
        <is>
          <t>kg</t>
        </is>
      </c>
      <c r="F53" s="3" t="n">
        <v>2.6</v>
      </c>
      <c r="G53" s="3" t="inlineStr">
        <is>
          <t>2022-01</t>
        </is>
      </c>
      <c r="H53" s="3" t="n">
        <v>3.8955</v>
      </c>
    </row>
    <row r="54" ht="20" customHeight="1">
      <c r="A54" s="3" t="inlineStr">
        <is>
          <t>Aluminium rails and light fittings</t>
        </is>
      </c>
      <c r="B54" s="3" t="inlineStr">
        <is>
          <t>Aluminium</t>
        </is>
      </c>
      <c r="C54" s="3" t="inlineStr">
        <is>
          <t>ALUMINUM</t>
        </is>
      </c>
      <c r="D54" s="3" t="inlineStr">
        <is>
          <t>INSEE BDM 010002041: Cours des matières premières importées - Aluminium, pureté 99,7 % - Prix d’acquisition au comptant, LME (London Metal Exchange) - Prix en dollars US par tonne</t>
        </is>
      </c>
      <c r="E54" s="3" t="inlineStr">
        <is>
          <t>kg</t>
        </is>
      </c>
      <c r="F54" s="3" t="n">
        <v>2.6</v>
      </c>
      <c r="G54" s="3" t="inlineStr">
        <is>
          <t>2022-02</t>
        </is>
      </c>
      <c r="H54" s="3" t="n">
        <v>4.2296</v>
      </c>
    </row>
    <row r="55" ht="20" customHeight="1">
      <c r="A55" s="3" t="inlineStr">
        <is>
          <t>Aluminium rails and light fittings</t>
        </is>
      </c>
      <c r="B55" s="3" t="inlineStr">
        <is>
          <t>Aluminium</t>
        </is>
      </c>
      <c r="C55" s="3" t="inlineStr">
        <is>
          <t>ALUMINUM</t>
        </is>
      </c>
      <c r="D55" s="3" t="inlineStr">
        <is>
          <t>INSEE BDM 010002041: Cours des matières premières importées - Aluminium, pureté 99,7 % - Prix d’acquisition au comptant, LME (London Metal Exchange) - Prix en dollars US par tonne</t>
        </is>
      </c>
      <c r="E55" s="3" t="inlineStr">
        <is>
          <t>kg</t>
        </is>
      </c>
      <c r="F55" s="3" t="n">
        <v>2.6</v>
      </c>
      <c r="G55" s="3" t="inlineStr">
        <is>
          <t>2022-03</t>
        </is>
      </c>
      <c r="H55" s="3" t="n">
        <v>4.589</v>
      </c>
    </row>
    <row r="56" ht="20" customHeight="1">
      <c r="A56" s="3" t="inlineStr">
        <is>
          <t>Aluminium rails and light fittings</t>
        </is>
      </c>
      <c r="B56" s="3" t="inlineStr">
        <is>
          <t>Aluminium</t>
        </is>
      </c>
      <c r="C56" s="3" t="inlineStr">
        <is>
          <t>ALUMINUM</t>
        </is>
      </c>
      <c r="D56" s="3" t="inlineStr">
        <is>
          <t>INSEE BDM 010002041: Cours des matières premières importées - Aluminium, pureté 99,7 % - Prix d’acquisition au comptant, LME (London Metal Exchange) - Prix en dollars US par tonne</t>
        </is>
      </c>
      <c r="E56" s="3" t="inlineStr">
        <is>
          <t>kg</t>
        </is>
      </c>
      <c r="F56" s="3" t="n">
        <v>2.6</v>
      </c>
      <c r="G56" s="3" t="inlineStr">
        <is>
          <t>2022-04</t>
        </is>
      </c>
      <c r="H56" s="3" t="n">
        <v>4.2243</v>
      </c>
    </row>
    <row r="57" ht="20" customHeight="1">
      <c r="A57" s="3" t="inlineStr">
        <is>
          <t>Aluminium rails and light fittings</t>
        </is>
      </c>
      <c r="B57" s="3" t="inlineStr">
        <is>
          <t>Aluminium</t>
        </is>
      </c>
      <c r="C57" s="3" t="inlineStr">
        <is>
          <t>ALUMINUM</t>
        </is>
      </c>
      <c r="D57" s="3" t="inlineStr">
        <is>
          <t>INSEE BDM 010002041: Cours des matières premières importées - Aluminium, pureté 99,7 % - Prix d’acquisition au comptant, LME (London Metal Exchange) - Prix en dollars US par tonne</t>
        </is>
      </c>
      <c r="E57" s="3" t="inlineStr">
        <is>
          <t>kg</t>
        </is>
      </c>
      <c r="F57" s="3" t="n">
        <v>2.6</v>
      </c>
      <c r="G57" s="3" t="inlineStr">
        <is>
          <t>2022-05</t>
        </is>
      </c>
      <c r="H57" s="3" t="n">
        <v>3.6662</v>
      </c>
    </row>
    <row r="58" ht="20" customHeight="1">
      <c r="A58" s="3" t="inlineStr">
        <is>
          <t>Aluminium rails and light fittings</t>
        </is>
      </c>
      <c r="B58" s="3" t="inlineStr">
        <is>
          <t>Aluminium</t>
        </is>
      </c>
      <c r="C58" s="3" t="inlineStr">
        <is>
          <t>ALUMINUM</t>
        </is>
      </c>
      <c r="D58" s="3" t="inlineStr">
        <is>
          <t>INSEE BDM 010002041: Cours des matières premières importées - Aluminium, pureté 99,7 % - Prix d’acquisition au comptant, LME (London Metal Exchange) - Prix en dollars US par tonne</t>
        </is>
      </c>
      <c r="E58" s="3" t="inlineStr">
        <is>
          <t>kg</t>
        </is>
      </c>
      <c r="F58" s="3" t="n">
        <v>2.6</v>
      </c>
      <c r="G58" s="3" t="inlineStr">
        <is>
          <t>2022-06</t>
        </is>
      </c>
      <c r="H58" s="3" t="n">
        <v>3.3245</v>
      </c>
    </row>
    <row r="59" ht="20" customHeight="1">
      <c r="A59" s="3" t="inlineStr">
        <is>
          <t>Aluminium rails and light fittings</t>
        </is>
      </c>
      <c r="B59" s="3" t="inlineStr">
        <is>
          <t>Aluminium</t>
        </is>
      </c>
      <c r="C59" s="3" t="inlineStr">
        <is>
          <t>ALUMINUM</t>
        </is>
      </c>
      <c r="D59" s="3" t="inlineStr">
        <is>
          <t>INSEE BDM 010002041: Cours des matières premières importées - Aluminium, pureté 99,7 % - Prix d’acquisition au comptant, LME (London Metal Exchange) - Prix en dollars US par tonne</t>
        </is>
      </c>
      <c r="E59" s="3" t="inlineStr">
        <is>
          <t>kg</t>
        </is>
      </c>
      <c r="F59" s="3" t="n">
        <v>2.6</v>
      </c>
      <c r="G59" s="3" t="inlineStr">
        <is>
          <t>2022-07</t>
        </is>
      </c>
      <c r="H59" s="3" t="n">
        <v>3.1149</v>
      </c>
    </row>
    <row r="60" ht="20" customHeight="1">
      <c r="A60" s="3" t="inlineStr">
        <is>
          <t>Aluminium rails and light fittings</t>
        </is>
      </c>
      <c r="B60" s="3" t="inlineStr">
        <is>
          <t>Aluminium</t>
        </is>
      </c>
      <c r="C60" s="3" t="inlineStr">
        <is>
          <t>ALUMINUM</t>
        </is>
      </c>
      <c r="D60" s="3" t="inlineStr">
        <is>
          <t>INSEE BDM 010002041: Cours des matières premières importées - Aluminium, pureté 99,7 % - Prix d’acquisition au comptant, LME (London Metal Exchange) - Prix en dollars US par tonne</t>
        </is>
      </c>
      <c r="E60" s="3" t="inlineStr">
        <is>
          <t>kg</t>
        </is>
      </c>
      <c r="F60" s="3" t="n">
        <v>2.6</v>
      </c>
      <c r="G60" s="3" t="inlineStr">
        <is>
          <t>2022-08</t>
        </is>
      </c>
      <c r="H60" s="3" t="n">
        <v>3.1537</v>
      </c>
    </row>
    <row r="61" ht="20" customHeight="1">
      <c r="A61" s="3" t="inlineStr">
        <is>
          <t>Aluminium rails and light fittings</t>
        </is>
      </c>
      <c r="B61" s="3" t="inlineStr">
        <is>
          <t>Aluminium</t>
        </is>
      </c>
      <c r="C61" s="3" t="inlineStr">
        <is>
          <t>ALUMINUM</t>
        </is>
      </c>
      <c r="D61" s="3" t="inlineStr">
        <is>
          <t>INSEE BDM 010002041: Cours des matières premières importées - Aluminium, pureté 99,7 % - Prix d’acquisition au comptant, LME (London Metal Exchange) - Prix en dollars US par tonne</t>
        </is>
      </c>
      <c r="E61" s="3" t="inlineStr">
        <is>
          <t>kg</t>
        </is>
      </c>
      <c r="F61" s="3" t="n">
        <v>2.6</v>
      </c>
      <c r="G61" s="3" t="inlineStr">
        <is>
          <t>2022-09</t>
        </is>
      </c>
      <c r="H61" s="3" t="n">
        <v>2.8923</v>
      </c>
    </row>
    <row r="62" ht="20" customHeight="1">
      <c r="A62" s="3" t="inlineStr">
        <is>
          <t>Aluminium rails and light fittings</t>
        </is>
      </c>
      <c r="B62" s="3" t="inlineStr">
        <is>
          <t>Aluminium</t>
        </is>
      </c>
      <c r="C62" s="3" t="inlineStr">
        <is>
          <t>ALUMINUM</t>
        </is>
      </c>
      <c r="D62" s="3" t="inlineStr">
        <is>
          <t>INSEE BDM 010002041: Cours des matières premières importées - Aluminium, pureté 99,7 % - Prix d’acquisition au comptant, LME (London Metal Exchange) - Prix en dollars US par tonne</t>
        </is>
      </c>
      <c r="E62" s="3" t="inlineStr">
        <is>
          <t>kg</t>
        </is>
      </c>
      <c r="F62" s="3" t="n">
        <v>2.6</v>
      </c>
      <c r="G62" s="3" t="inlineStr">
        <is>
          <t>2022-10</t>
        </is>
      </c>
      <c r="H62" s="3" t="n">
        <v>2.9097</v>
      </c>
    </row>
    <row r="63" ht="20" customHeight="1">
      <c r="A63" s="3" t="inlineStr">
        <is>
          <t>Aluminium rails and light fittings</t>
        </is>
      </c>
      <c r="B63" s="3" t="inlineStr">
        <is>
          <t>Aluminium</t>
        </is>
      </c>
      <c r="C63" s="3" t="inlineStr">
        <is>
          <t>ALUMINUM</t>
        </is>
      </c>
      <c r="D63" s="3" t="inlineStr">
        <is>
          <t>INSEE BDM 010002041: Cours des matières premières importées - Aluminium, pureté 99,7 % - Prix d’acquisition au comptant, LME (London Metal Exchange) - Prix en dollars US par tonne</t>
        </is>
      </c>
      <c r="E63" s="3" t="inlineStr">
        <is>
          <t>kg</t>
        </is>
      </c>
      <c r="F63" s="3" t="n">
        <v>2.6</v>
      </c>
      <c r="G63" s="3" t="inlineStr">
        <is>
          <t>2022-11</t>
        </is>
      </c>
      <c r="H63" s="3" t="n">
        <v>3.0291</v>
      </c>
    </row>
    <row r="64" ht="20" customHeight="1">
      <c r="A64" s="3" t="inlineStr">
        <is>
          <t>Aluminium rails and light fittings</t>
        </is>
      </c>
      <c r="B64" s="3" t="inlineStr">
        <is>
          <t>Aluminium</t>
        </is>
      </c>
      <c r="C64" s="3" t="inlineStr">
        <is>
          <t>ALUMINUM</t>
        </is>
      </c>
      <c r="D64" s="3" t="inlineStr">
        <is>
          <t>INSEE BDM 010002041: Cours des matières premières importées - Aluminium, pureté 99,7 % - Prix d’acquisition au comptant, LME (London Metal Exchange) - Prix en dollars US par tonne</t>
        </is>
      </c>
      <c r="E64" s="3" t="inlineStr">
        <is>
          <t>kg</t>
        </is>
      </c>
      <c r="F64" s="3" t="n">
        <v>2.6</v>
      </c>
      <c r="G64" s="3" t="inlineStr">
        <is>
          <t>2022-12</t>
        </is>
      </c>
      <c r="H64" s="3" t="n">
        <v>3.1064</v>
      </c>
    </row>
    <row r="65" ht="20" customHeight="1">
      <c r="A65" s="3" t="inlineStr">
        <is>
          <t>Aluminium rails and light fittings</t>
        </is>
      </c>
      <c r="B65" s="3" t="inlineStr">
        <is>
          <t>Aluminium</t>
        </is>
      </c>
      <c r="C65" s="3" t="inlineStr">
        <is>
          <t>ALUMINUM</t>
        </is>
      </c>
      <c r="D65" s="3" t="inlineStr">
        <is>
          <t>INSEE BDM 010002041: Cours des matières premières importées - Aluminium, pureté 99,7 % - Prix d’acquisition au comptant, LME (London Metal Exchange) - Prix en dollars US par tonne</t>
        </is>
      </c>
      <c r="E65" s="3" t="inlineStr">
        <is>
          <t>kg</t>
        </is>
      </c>
      <c r="F65" s="3" t="n">
        <v>2.6</v>
      </c>
      <c r="G65" s="3" t="inlineStr">
        <is>
          <t>2023-01</t>
        </is>
      </c>
      <c r="H65" s="3" t="n">
        <v>3.2285</v>
      </c>
    </row>
    <row r="66" ht="20" customHeight="1">
      <c r="A66" s="3" t="inlineStr">
        <is>
          <t>Aluminium rails and light fittings</t>
        </is>
      </c>
      <c r="B66" s="3" t="inlineStr">
        <is>
          <t>Aluminium</t>
        </is>
      </c>
      <c r="C66" s="3" t="inlineStr">
        <is>
          <t>ALUMINUM</t>
        </is>
      </c>
      <c r="D66" s="3" t="inlineStr">
        <is>
          <t>INSEE BDM 010002041: Cours des matières premières importées - Aluminium, pureté 99,7 % - Prix d’acquisition au comptant, LME (London Metal Exchange) - Prix en dollars US par tonne</t>
        </is>
      </c>
      <c r="E66" s="3" t="inlineStr">
        <is>
          <t>kg</t>
        </is>
      </c>
      <c r="F66" s="3" t="n">
        <v>2.6</v>
      </c>
      <c r="G66" s="3" t="inlineStr">
        <is>
          <t>2023-02</t>
        </is>
      </c>
      <c r="H66" s="3" t="n">
        <v>3.1352</v>
      </c>
    </row>
    <row r="67" ht="20" customHeight="1">
      <c r="A67" s="3" t="inlineStr">
        <is>
          <t>Aluminium rails and light fittings</t>
        </is>
      </c>
      <c r="B67" s="3" t="inlineStr">
        <is>
          <t>Aluminium</t>
        </is>
      </c>
      <c r="C67" s="3" t="inlineStr">
        <is>
          <t>ALUMINUM</t>
        </is>
      </c>
      <c r="D67" s="3" t="inlineStr">
        <is>
          <t>INSEE BDM 010002041: Cours des matières premières importées - Aluminium, pureté 99,7 % - Prix d’acquisition au comptant, LME (London Metal Exchange) - Prix en dollars US par tonne</t>
        </is>
      </c>
      <c r="E67" s="3" t="inlineStr">
        <is>
          <t>kg</t>
        </is>
      </c>
      <c r="F67" s="3" t="n">
        <v>2.6</v>
      </c>
      <c r="G67" s="3" t="inlineStr">
        <is>
          <t>2023-03</t>
        </is>
      </c>
      <c r="H67" s="3" t="n">
        <v>2.9704</v>
      </c>
    </row>
    <row r="68" ht="20" customHeight="1">
      <c r="A68" s="3" t="inlineStr">
        <is>
          <t>Aluminium rails and light fittings</t>
        </is>
      </c>
      <c r="B68" s="3" t="inlineStr">
        <is>
          <t>Aluminium</t>
        </is>
      </c>
      <c r="C68" s="3" t="inlineStr">
        <is>
          <t>ALUMINUM</t>
        </is>
      </c>
      <c r="D68" s="3" t="inlineStr">
        <is>
          <t>INSEE BDM 010002041: Cours des matières premières importées - Aluminium, pureté 99,7 % - Prix d’acquisition au comptant, LME (London Metal Exchange) - Prix en dollars US par tonne</t>
        </is>
      </c>
      <c r="E68" s="3" t="inlineStr">
        <is>
          <t>kg</t>
        </is>
      </c>
      <c r="F68" s="3" t="n">
        <v>2.6</v>
      </c>
      <c r="G68" s="3" t="inlineStr">
        <is>
          <t>2023-04</t>
        </is>
      </c>
      <c r="H68" s="3" t="n">
        <v>3.0365</v>
      </c>
    </row>
    <row r="69" ht="20" customHeight="1">
      <c r="A69" s="3" t="inlineStr">
        <is>
          <t>Aluminium rails and light fittings</t>
        </is>
      </c>
      <c r="B69" s="3" t="inlineStr">
        <is>
          <t>Aluminium</t>
        </is>
      </c>
      <c r="C69" s="3" t="inlineStr">
        <is>
          <t>ALUMINUM</t>
        </is>
      </c>
      <c r="D69" s="3" t="inlineStr">
        <is>
          <t>INSEE BDM 010002041: Cours des matières premières importées - Aluminium, pureté 99,7 % - Prix d’acquisition au comptant, LME (London Metal Exchange) - Prix en dollars US par tonne</t>
        </is>
      </c>
      <c r="E69" s="3" t="inlineStr">
        <is>
          <t>kg</t>
        </is>
      </c>
      <c r="F69" s="3" t="n">
        <v>2.6</v>
      </c>
      <c r="G69" s="3" t="inlineStr">
        <is>
          <t>2023-05</t>
        </is>
      </c>
      <c r="H69" s="3" t="n">
        <v>2.9413</v>
      </c>
    </row>
    <row r="70" ht="20" customHeight="1">
      <c r="A70" s="3" t="inlineStr">
        <is>
          <t>Aluminium rails and light fittings</t>
        </is>
      </c>
      <c r="B70" s="3" t="inlineStr">
        <is>
          <t>Aluminium</t>
        </is>
      </c>
      <c r="C70" s="3" t="inlineStr">
        <is>
          <t>ALUMINUM</t>
        </is>
      </c>
      <c r="D70" s="3" t="inlineStr">
        <is>
          <t>INSEE BDM 010002041: Cours des matières premières importées - Aluminium, pureté 99,7 % - Prix d’acquisition au comptant, LME (London Metal Exchange) - Prix en dollars US par tonne</t>
        </is>
      </c>
      <c r="E70" s="3" t="inlineStr">
        <is>
          <t>kg</t>
        </is>
      </c>
      <c r="F70" s="3" t="n">
        <v>2.6</v>
      </c>
      <c r="G70" s="3" t="inlineStr">
        <is>
          <t>2023-06</t>
        </is>
      </c>
      <c r="H70" s="3" t="n">
        <v>2.8291</v>
      </c>
    </row>
    <row r="71" ht="20" customHeight="1">
      <c r="A71" s="3" t="inlineStr">
        <is>
          <t>Aluminium rails and light fittings</t>
        </is>
      </c>
      <c r="B71" s="3" t="inlineStr">
        <is>
          <t>Aluminium</t>
        </is>
      </c>
      <c r="C71" s="3" t="inlineStr">
        <is>
          <t>ALUMINUM</t>
        </is>
      </c>
      <c r="D71" s="3" t="inlineStr">
        <is>
          <t>INSEE BDM 010002041: Cours des matières premières importées - Aluminium, pureté 99,7 % - Prix d’acquisition au comptant, LME (London Metal Exchange) - Prix en dollars US par tonne</t>
        </is>
      </c>
      <c r="E71" s="3" t="inlineStr">
        <is>
          <t>kg</t>
        </is>
      </c>
      <c r="F71" s="3" t="n">
        <v>2.6</v>
      </c>
      <c r="G71" s="3" t="inlineStr">
        <is>
          <t>2023-07</t>
        </is>
      </c>
      <c r="H71" s="3" t="n">
        <v>2.7918</v>
      </c>
    </row>
    <row r="72" ht="20" customHeight="1">
      <c r="A72" s="3" t="inlineStr">
        <is>
          <t>Aluminium rails and light fittings</t>
        </is>
      </c>
      <c r="B72" s="3" t="inlineStr">
        <is>
          <t>Aluminium</t>
        </is>
      </c>
      <c r="C72" s="3" t="inlineStr">
        <is>
          <t>ALUMINUM</t>
        </is>
      </c>
      <c r="D72" s="3" t="inlineStr">
        <is>
          <t>INSEE BDM 010002041: Cours des matières premières importées - Aluminium, pureté 99,7 % - Prix d’acquisition au comptant, LME (London Metal Exchange) - Prix en dollars US par tonne</t>
        </is>
      </c>
      <c r="E72" s="3" t="inlineStr">
        <is>
          <t>kg</t>
        </is>
      </c>
      <c r="F72" s="3" t="n">
        <v>2.6</v>
      </c>
      <c r="G72" s="3" t="inlineStr">
        <is>
          <t>2023-08</t>
        </is>
      </c>
      <c r="H72" s="3" t="n">
        <v>2.7682</v>
      </c>
    </row>
    <row r="73" ht="20" customHeight="1">
      <c r="A73" s="3" t="inlineStr">
        <is>
          <t>Aluminium rails and light fittings</t>
        </is>
      </c>
      <c r="B73" s="3" t="inlineStr">
        <is>
          <t>Aluminium</t>
        </is>
      </c>
      <c r="C73" s="3" t="inlineStr">
        <is>
          <t>ALUMINUM</t>
        </is>
      </c>
      <c r="D73" s="3" t="inlineStr">
        <is>
          <t>INSEE BDM 010002041: Cours des matières premières importées - Aluminium, pureté 99,7 % - Prix d’acquisition au comptant, LME (London Metal Exchange) - Prix en dollars US par tonne</t>
        </is>
      </c>
      <c r="E73" s="3" t="inlineStr">
        <is>
          <t>kg</t>
        </is>
      </c>
      <c r="F73" s="3" t="n">
        <v>2.6</v>
      </c>
      <c r="G73" s="3" t="inlineStr">
        <is>
          <t>2023-09</t>
        </is>
      </c>
      <c r="H73" s="3" t="n">
        <v>2.8246</v>
      </c>
    </row>
    <row r="74" ht="20" customHeight="1">
      <c r="A74" s="3" t="inlineStr">
        <is>
          <t>Aluminium rails and light fittings</t>
        </is>
      </c>
      <c r="B74" s="3" t="inlineStr">
        <is>
          <t>Aluminium</t>
        </is>
      </c>
      <c r="C74" s="3" t="inlineStr">
        <is>
          <t>ALUMINUM</t>
        </is>
      </c>
      <c r="D74" s="3" t="inlineStr">
        <is>
          <t>INSEE BDM 010002041: Cours des matières premières importées - Aluminium, pureté 99,7 % - Prix d’acquisition au comptant, LME (London Metal Exchange) - Prix en dollars US par tonne</t>
        </is>
      </c>
      <c r="E74" s="3" t="inlineStr">
        <is>
          <t>kg</t>
        </is>
      </c>
      <c r="F74" s="3" t="n">
        <v>2.6</v>
      </c>
      <c r="G74" s="3" t="inlineStr">
        <is>
          <t>2023-10</t>
        </is>
      </c>
      <c r="H74" s="3" t="n">
        <v>2.8439</v>
      </c>
    </row>
    <row r="75" ht="20" customHeight="1">
      <c r="A75" s="3" t="inlineStr">
        <is>
          <t>Aluminium rails and light fittings</t>
        </is>
      </c>
      <c r="B75" s="3" t="inlineStr">
        <is>
          <t>Aluminium</t>
        </is>
      </c>
      <c r="C75" s="3" t="inlineStr">
        <is>
          <t>ALUMINUM</t>
        </is>
      </c>
      <c r="D75" s="3" t="inlineStr">
        <is>
          <t>INSEE BDM 010002041: Cours des matières premières importées - Aluminium, pureté 99,7 % - Prix d’acquisition au comptant, LME (London Metal Exchange) - Prix en dollars US par tonne</t>
        </is>
      </c>
      <c r="E75" s="3" t="inlineStr">
        <is>
          <t>kg</t>
        </is>
      </c>
      <c r="F75" s="3" t="n">
        <v>2.6</v>
      </c>
      <c r="G75" s="3" t="inlineStr">
        <is>
          <t>2023-11</t>
        </is>
      </c>
      <c r="H75" s="3" t="n">
        <v>2.8567</v>
      </c>
    </row>
    <row r="76" ht="20" customHeight="1">
      <c r="A76" s="3" t="inlineStr">
        <is>
          <t>Aluminium rails and light fittings</t>
        </is>
      </c>
      <c r="B76" s="3" t="inlineStr">
        <is>
          <t>Aluminium</t>
        </is>
      </c>
      <c r="C76" s="3" t="inlineStr">
        <is>
          <t>ALUMINUM</t>
        </is>
      </c>
      <c r="D76" s="3" t="inlineStr">
        <is>
          <t>INSEE BDM 010002041: Cours des matières premières importées - Aluminium, pureté 99,7 % - Prix d’acquisition au comptant, LME (London Metal Exchange) - Prix en dollars US par tonne</t>
        </is>
      </c>
      <c r="E76" s="3" t="inlineStr">
        <is>
          <t>kg</t>
        </is>
      </c>
      <c r="F76" s="3" t="n">
        <v>2.6</v>
      </c>
      <c r="G76" s="3" t="inlineStr">
        <is>
          <t>2023-12</t>
        </is>
      </c>
      <c r="H76" s="3" t="n">
        <v>2.8205</v>
      </c>
    </row>
    <row r="77" ht="20" customHeight="1">
      <c r="A77" s="3" t="inlineStr">
        <is>
          <t>Glue, varnish and oil-linked finishing chemicals</t>
        </is>
      </c>
      <c r="B77" s="3" t="inlineStr">
        <is>
          <t>Oil</t>
        </is>
      </c>
      <c r="C77" s="3" t="inlineStr">
        <is>
          <t>BRENT</t>
        </is>
      </c>
      <c r="D77" s="3" t="inlineStr">
        <is>
          <t xml:space="preserve">INSEE BDM 010002078: Cours des matières premières importées - Pétrole brut Brent (Londres) - Prix au comptant en euros par baril </t>
        </is>
      </c>
      <c r="E77" s="3" t="inlineStr">
        <is>
          <t>kg</t>
        </is>
      </c>
      <c r="F77" s="3" t="n">
        <v>5.4</v>
      </c>
      <c r="G77" s="3" t="inlineStr">
        <is>
          <t>2021-01</t>
        </is>
      </c>
      <c r="H77" s="3" t="n">
        <v>5.4</v>
      </c>
    </row>
    <row r="78" ht="20" customHeight="1">
      <c r="A78" s="3" t="inlineStr">
        <is>
          <t>Glue, varnish and oil-linked finishing chemicals</t>
        </is>
      </c>
      <c r="B78" s="3" t="inlineStr">
        <is>
          <t>Oil</t>
        </is>
      </c>
      <c r="C78" s="3" t="inlineStr">
        <is>
          <t>BRENT</t>
        </is>
      </c>
      <c r="D78" s="3" t="inlineStr">
        <is>
          <t xml:space="preserve">INSEE BDM 010002078: Cours des matières premières importées - Pétrole brut Brent (Londres) - Prix au comptant en euros par baril </t>
        </is>
      </c>
      <c r="E78" s="3" t="inlineStr">
        <is>
          <t>kg</t>
        </is>
      </c>
      <c r="F78" s="3" t="n">
        <v>5.4</v>
      </c>
      <c r="G78" s="3" t="inlineStr">
        <is>
          <t>2021-02</t>
        </is>
      </c>
      <c r="H78" s="3" t="n">
        <v>6.18</v>
      </c>
    </row>
    <row r="79" ht="20" customHeight="1">
      <c r="A79" s="3" t="inlineStr">
        <is>
          <t>Glue, varnish and oil-linked finishing chemicals</t>
        </is>
      </c>
      <c r="B79" s="3" t="inlineStr">
        <is>
          <t>Oil</t>
        </is>
      </c>
      <c r="C79" s="3" t="inlineStr">
        <is>
          <t>BRENT</t>
        </is>
      </c>
      <c r="D79" s="3" t="inlineStr">
        <is>
          <t xml:space="preserve">INSEE BDM 010002078: Cours des matières premières importées - Pétrole brut Brent (Londres) - Prix au comptant en euros par baril </t>
        </is>
      </c>
      <c r="E79" s="3" t="inlineStr">
        <is>
          <t>kg</t>
        </is>
      </c>
      <c r="F79" s="3" t="n">
        <v>5.4</v>
      </c>
      <c r="G79" s="3" t="inlineStr">
        <is>
          <t>2021-03</t>
        </is>
      </c>
      <c r="H79" s="3" t="n">
        <v>6.6</v>
      </c>
    </row>
    <row r="80" ht="20" customHeight="1">
      <c r="A80" s="3" t="inlineStr">
        <is>
          <t>Glue, varnish and oil-linked finishing chemicals</t>
        </is>
      </c>
      <c r="B80" s="3" t="inlineStr">
        <is>
          <t>Oil</t>
        </is>
      </c>
      <c r="C80" s="3" t="inlineStr">
        <is>
          <t>BRENT</t>
        </is>
      </c>
      <c r="D80" s="3" t="inlineStr">
        <is>
          <t xml:space="preserve">INSEE BDM 010002078: Cours des matières premières importées - Pétrole brut Brent (Londres) - Prix au comptant en euros par baril </t>
        </is>
      </c>
      <c r="E80" s="3" t="inlineStr">
        <is>
          <t>kg</t>
        </is>
      </c>
      <c r="F80" s="3" t="n">
        <v>5.4</v>
      </c>
      <c r="G80" s="3" t="inlineStr">
        <is>
          <t>2021-04</t>
        </is>
      </c>
      <c r="H80" s="3" t="n">
        <v>6.492</v>
      </c>
    </row>
    <row r="81" ht="20" customHeight="1">
      <c r="A81" s="3" t="inlineStr">
        <is>
          <t>Glue, varnish and oil-linked finishing chemicals</t>
        </is>
      </c>
      <c r="B81" s="3" t="inlineStr">
        <is>
          <t>Oil</t>
        </is>
      </c>
      <c r="C81" s="3" t="inlineStr">
        <is>
          <t>BRENT</t>
        </is>
      </c>
      <c r="D81" s="3" t="inlineStr">
        <is>
          <t xml:space="preserve">INSEE BDM 010002078: Cours des matières premières importées - Pétrole brut Brent (Londres) - Prix au comptant en euros par baril </t>
        </is>
      </c>
      <c r="E81" s="3" t="inlineStr">
        <is>
          <t>kg</t>
        </is>
      </c>
      <c r="F81" s="3" t="n">
        <v>5.4</v>
      </c>
      <c r="G81" s="3" t="inlineStr">
        <is>
          <t>2021-05</t>
        </is>
      </c>
      <c r="H81" s="3" t="n">
        <v>6.768</v>
      </c>
    </row>
    <row r="82" ht="20" customHeight="1">
      <c r="A82" s="3" t="inlineStr">
        <is>
          <t>Glue, varnish and oil-linked finishing chemicals</t>
        </is>
      </c>
      <c r="B82" s="3" t="inlineStr">
        <is>
          <t>Oil</t>
        </is>
      </c>
      <c r="C82" s="3" t="inlineStr">
        <is>
          <t>BRENT</t>
        </is>
      </c>
      <c r="D82" s="3" t="inlineStr">
        <is>
          <t xml:space="preserve">INSEE BDM 010002078: Cours des matières premières importées - Pétrole brut Brent (Londres) - Prix au comptant en euros par baril </t>
        </is>
      </c>
      <c r="E82" s="3" t="inlineStr">
        <is>
          <t>kg</t>
        </is>
      </c>
      <c r="F82" s="3" t="n">
        <v>5.4</v>
      </c>
      <c r="G82" s="3" t="inlineStr">
        <is>
          <t>2021-06</t>
        </is>
      </c>
      <c r="H82" s="3" t="n">
        <v>7.296</v>
      </c>
    </row>
    <row r="83" ht="20" customHeight="1">
      <c r="A83" s="3" t="inlineStr">
        <is>
          <t>Glue, varnish and oil-linked finishing chemicals</t>
        </is>
      </c>
      <c r="B83" s="3" t="inlineStr">
        <is>
          <t>Oil</t>
        </is>
      </c>
      <c r="C83" s="3" t="inlineStr">
        <is>
          <t>BRENT</t>
        </is>
      </c>
      <c r="D83" s="3" t="inlineStr">
        <is>
          <t xml:space="preserve">INSEE BDM 010002078: Cours des matières premières importées - Pétrole brut Brent (Londres) - Prix au comptant en euros par baril </t>
        </is>
      </c>
      <c r="E83" s="3" t="inlineStr">
        <is>
          <t>kg</t>
        </is>
      </c>
      <c r="F83" s="3" t="n">
        <v>5.4</v>
      </c>
      <c r="G83" s="3" t="inlineStr">
        <is>
          <t>2021-07</t>
        </is>
      </c>
      <c r="H83" s="3" t="n">
        <v>7.62</v>
      </c>
    </row>
    <row r="84" ht="20" customHeight="1">
      <c r="A84" s="3" t="inlineStr">
        <is>
          <t>Glue, varnish and oil-linked finishing chemicals</t>
        </is>
      </c>
      <c r="B84" s="3" t="inlineStr">
        <is>
          <t>Oil</t>
        </is>
      </c>
      <c r="C84" s="3" t="inlineStr">
        <is>
          <t>BRENT</t>
        </is>
      </c>
      <c r="D84" s="3" t="inlineStr">
        <is>
          <t xml:space="preserve">INSEE BDM 010002078: Cours des matières premières importées - Pétrole brut Brent (Londres) - Prix au comptant en euros par baril </t>
        </is>
      </c>
      <c r="E84" s="3" t="inlineStr">
        <is>
          <t>kg</t>
        </is>
      </c>
      <c r="F84" s="3" t="n">
        <v>5.4</v>
      </c>
      <c r="G84" s="3" t="inlineStr">
        <is>
          <t>2021-08</t>
        </is>
      </c>
      <c r="H84" s="3" t="n">
        <v>7.224</v>
      </c>
    </row>
    <row r="85" ht="20" customHeight="1">
      <c r="A85" s="3" t="inlineStr">
        <is>
          <t>Glue, varnish and oil-linked finishing chemicals</t>
        </is>
      </c>
      <c r="B85" s="3" t="inlineStr">
        <is>
          <t>Oil</t>
        </is>
      </c>
      <c r="C85" s="3" t="inlineStr">
        <is>
          <t>BRENT</t>
        </is>
      </c>
      <c r="D85" s="3" t="inlineStr">
        <is>
          <t xml:space="preserve">INSEE BDM 010002078: Cours des matières premières importées - Pétrole brut Brent (Londres) - Prix au comptant en euros par baril </t>
        </is>
      </c>
      <c r="E85" s="3" t="inlineStr">
        <is>
          <t>kg</t>
        </is>
      </c>
      <c r="F85" s="3" t="n">
        <v>5.4</v>
      </c>
      <c r="G85" s="3" t="inlineStr">
        <is>
          <t>2021-09</t>
        </is>
      </c>
      <c r="H85" s="3" t="n">
        <v>7.596</v>
      </c>
    </row>
    <row r="86" ht="20" customHeight="1">
      <c r="A86" s="3" t="inlineStr">
        <is>
          <t>Glue, varnish and oil-linked finishing chemicals</t>
        </is>
      </c>
      <c r="B86" s="3" t="inlineStr">
        <is>
          <t>Oil</t>
        </is>
      </c>
      <c r="C86" s="3" t="inlineStr">
        <is>
          <t>BRENT</t>
        </is>
      </c>
      <c r="D86" s="3" t="inlineStr">
        <is>
          <t xml:space="preserve">INSEE BDM 010002078: Cours des matières premières importées - Pétrole brut Brent (Londres) - Prix au comptant en euros par baril </t>
        </is>
      </c>
      <c r="E86" s="3" t="inlineStr">
        <is>
          <t>kg</t>
        </is>
      </c>
      <c r="F86" s="3" t="n">
        <v>5.4</v>
      </c>
      <c r="G86" s="3" t="inlineStr">
        <is>
          <t>2021-10</t>
        </is>
      </c>
      <c r="H86" s="3" t="n">
        <v>8.640000000000001</v>
      </c>
    </row>
    <row r="87" ht="20" customHeight="1">
      <c r="A87" s="3" t="inlineStr">
        <is>
          <t>Glue, varnish and oil-linked finishing chemicals</t>
        </is>
      </c>
      <c r="B87" s="3" t="inlineStr">
        <is>
          <t>Oil</t>
        </is>
      </c>
      <c r="C87" s="3" t="inlineStr">
        <is>
          <t>BRENT</t>
        </is>
      </c>
      <c r="D87" s="3" t="inlineStr">
        <is>
          <t xml:space="preserve">INSEE BDM 010002078: Cours des matières premières importées - Pétrole brut Brent (Londres) - Prix au comptant en euros par baril </t>
        </is>
      </c>
      <c r="E87" s="3" t="inlineStr">
        <is>
          <t>kg</t>
        </is>
      </c>
      <c r="F87" s="3" t="n">
        <v>5.4</v>
      </c>
      <c r="G87" s="3" t="inlineStr">
        <is>
          <t>2021-11</t>
        </is>
      </c>
      <c r="H87" s="3" t="n">
        <v>8.52</v>
      </c>
    </row>
    <row r="88" ht="20" customHeight="1">
      <c r="A88" s="3" t="inlineStr">
        <is>
          <t>Glue, varnish and oil-linked finishing chemicals</t>
        </is>
      </c>
      <c r="B88" s="3" t="inlineStr">
        <is>
          <t>Oil</t>
        </is>
      </c>
      <c r="C88" s="3" t="inlineStr">
        <is>
          <t>BRENT</t>
        </is>
      </c>
      <c r="D88" s="3" t="inlineStr">
        <is>
          <t xml:space="preserve">INSEE BDM 010002078: Cours des matières premières importées - Pétrole brut Brent (Londres) - Prix au comptant en euros par baril </t>
        </is>
      </c>
      <c r="E88" s="3" t="inlineStr">
        <is>
          <t>kg</t>
        </is>
      </c>
      <c r="F88" s="3" t="n">
        <v>5.4</v>
      </c>
      <c r="G88" s="3" t="inlineStr">
        <is>
          <t>2021-12</t>
        </is>
      </c>
      <c r="H88" s="3" t="n">
        <v>7.896</v>
      </c>
    </row>
    <row r="89" ht="20" customHeight="1">
      <c r="A89" s="3" t="inlineStr">
        <is>
          <t>Glue, varnish and oil-linked finishing chemicals</t>
        </is>
      </c>
      <c r="B89" s="3" t="inlineStr">
        <is>
          <t>Oil</t>
        </is>
      </c>
      <c r="C89" s="3" t="inlineStr">
        <is>
          <t>BRENT</t>
        </is>
      </c>
      <c r="D89" s="3" t="inlineStr">
        <is>
          <t xml:space="preserve">INSEE BDM 010002078: Cours des matières premières importées - Pétrole brut Brent (Londres) - Prix au comptant en euros par baril </t>
        </is>
      </c>
      <c r="E89" s="3" t="inlineStr">
        <is>
          <t>kg</t>
        </is>
      </c>
      <c r="F89" s="3" t="n">
        <v>5.4</v>
      </c>
      <c r="G89" s="3" t="inlineStr">
        <is>
          <t>2022-01</t>
        </is>
      </c>
      <c r="H89" s="3" t="n">
        <v>9.18</v>
      </c>
    </row>
    <row r="90" ht="20" customHeight="1">
      <c r="A90" s="3" t="inlineStr">
        <is>
          <t>Glue, varnish and oil-linked finishing chemicals</t>
        </is>
      </c>
      <c r="B90" s="3" t="inlineStr">
        <is>
          <t>Oil</t>
        </is>
      </c>
      <c r="C90" s="3" t="inlineStr">
        <is>
          <t>BRENT</t>
        </is>
      </c>
      <c r="D90" s="3" t="inlineStr">
        <is>
          <t xml:space="preserve">INSEE BDM 010002078: Cours des matières premières importées - Pétrole brut Brent (Londres) - Prix au comptant en euros par baril </t>
        </is>
      </c>
      <c r="E90" s="3" t="inlineStr">
        <is>
          <t>kg</t>
        </is>
      </c>
      <c r="F90" s="3" t="n">
        <v>5.4</v>
      </c>
      <c r="G90" s="3" t="inlineStr">
        <is>
          <t>2022-02</t>
        </is>
      </c>
      <c r="H90" s="3" t="n">
        <v>10.248</v>
      </c>
    </row>
    <row r="91" ht="20" customHeight="1">
      <c r="A91" s="3" t="inlineStr">
        <is>
          <t>Glue, varnish and oil-linked finishing chemicals</t>
        </is>
      </c>
      <c r="B91" s="3" t="inlineStr">
        <is>
          <t>Oil</t>
        </is>
      </c>
      <c r="C91" s="3" t="inlineStr">
        <is>
          <t>BRENT</t>
        </is>
      </c>
      <c r="D91" s="3" t="inlineStr">
        <is>
          <t xml:space="preserve">INSEE BDM 010002078: Cours des matières premières importées - Pétrole brut Brent (Londres) - Prix au comptant en euros par baril </t>
        </is>
      </c>
      <c r="E91" s="3" t="inlineStr">
        <is>
          <t>kg</t>
        </is>
      </c>
      <c r="F91" s="3" t="n">
        <v>5.4</v>
      </c>
      <c r="G91" s="3" t="inlineStr">
        <is>
          <t>2022-03</t>
        </is>
      </c>
      <c r="H91" s="3" t="n">
        <v>12.768</v>
      </c>
    </row>
    <row r="92" ht="20" customHeight="1">
      <c r="A92" s="3" t="inlineStr">
        <is>
          <t>Glue, varnish and oil-linked finishing chemicals</t>
        </is>
      </c>
      <c r="B92" s="3" t="inlineStr">
        <is>
          <t>Oil</t>
        </is>
      </c>
      <c r="C92" s="3" t="inlineStr">
        <is>
          <t>BRENT</t>
        </is>
      </c>
      <c r="D92" s="3" t="inlineStr">
        <is>
          <t xml:space="preserve">INSEE BDM 010002078: Cours des matières premières importées - Pétrole brut Brent (Londres) - Prix au comptant en euros par baril </t>
        </is>
      </c>
      <c r="E92" s="3" t="inlineStr">
        <is>
          <t>kg</t>
        </is>
      </c>
      <c r="F92" s="3" t="n">
        <v>5.4</v>
      </c>
      <c r="G92" s="3" t="inlineStr">
        <is>
          <t>2022-04</t>
        </is>
      </c>
      <c r="H92" s="3" t="n">
        <v>11.604</v>
      </c>
    </row>
    <row r="93" ht="20" customHeight="1">
      <c r="A93" s="3" t="inlineStr">
        <is>
          <t>Glue, varnish and oil-linked finishing chemicals</t>
        </is>
      </c>
      <c r="B93" s="3" t="inlineStr">
        <is>
          <t>Oil</t>
        </is>
      </c>
      <c r="C93" s="3" t="inlineStr">
        <is>
          <t>BRENT</t>
        </is>
      </c>
      <c r="D93" s="3" t="inlineStr">
        <is>
          <t xml:space="preserve">INSEE BDM 010002078: Cours des matières premières importées - Pétrole brut Brent (Londres) - Prix au comptant en euros par baril </t>
        </is>
      </c>
      <c r="E93" s="3" t="inlineStr">
        <is>
          <t>kg</t>
        </is>
      </c>
      <c r="F93" s="3" t="n">
        <v>5.4</v>
      </c>
      <c r="G93" s="3" t="inlineStr">
        <is>
          <t>2022-05</t>
        </is>
      </c>
      <c r="H93" s="3" t="n">
        <v>12.828</v>
      </c>
    </row>
    <row r="94" ht="20" customHeight="1">
      <c r="A94" s="3" t="inlineStr">
        <is>
          <t>Glue, varnish and oil-linked finishing chemicals</t>
        </is>
      </c>
      <c r="B94" s="3" t="inlineStr">
        <is>
          <t>Oil</t>
        </is>
      </c>
      <c r="C94" s="3" t="inlineStr">
        <is>
          <t>BRENT</t>
        </is>
      </c>
      <c r="D94" s="3" t="inlineStr">
        <is>
          <t xml:space="preserve">INSEE BDM 010002078: Cours des matières premières importées - Pétrole brut Brent (Londres) - Prix au comptant en euros par baril </t>
        </is>
      </c>
      <c r="E94" s="3" t="inlineStr">
        <is>
          <t>kg</t>
        </is>
      </c>
      <c r="F94" s="3" t="n">
        <v>5.4</v>
      </c>
      <c r="G94" s="3" t="inlineStr">
        <is>
          <t>2022-06</t>
        </is>
      </c>
      <c r="H94" s="3" t="n">
        <v>13.86</v>
      </c>
    </row>
    <row r="95" ht="20" customHeight="1">
      <c r="A95" s="3" t="inlineStr">
        <is>
          <t>Glue, varnish and oil-linked finishing chemicals</t>
        </is>
      </c>
      <c r="B95" s="3" t="inlineStr">
        <is>
          <t>Oil</t>
        </is>
      </c>
      <c r="C95" s="3" t="inlineStr">
        <is>
          <t>BRENT</t>
        </is>
      </c>
      <c r="D95" s="3" t="inlineStr">
        <is>
          <t xml:space="preserve">INSEE BDM 010002078: Cours des matières premières importées - Pétrole brut Brent (Londres) - Prix au comptant en euros par baril </t>
        </is>
      </c>
      <c r="E95" s="3" t="inlineStr">
        <is>
          <t>kg</t>
        </is>
      </c>
      <c r="F95" s="3" t="n">
        <v>5.4</v>
      </c>
      <c r="G95" s="3" t="inlineStr">
        <is>
          <t>2022-07</t>
        </is>
      </c>
      <c r="H95" s="3" t="n">
        <v>13.188</v>
      </c>
    </row>
    <row r="96" ht="20" customHeight="1">
      <c r="A96" s="3" t="inlineStr">
        <is>
          <t>Glue, varnish and oil-linked finishing chemicals</t>
        </is>
      </c>
      <c r="B96" s="3" t="inlineStr">
        <is>
          <t>Oil</t>
        </is>
      </c>
      <c r="C96" s="3" t="inlineStr">
        <is>
          <t>BRENT</t>
        </is>
      </c>
      <c r="D96" s="3" t="inlineStr">
        <is>
          <t xml:space="preserve">INSEE BDM 010002078: Cours des matières premières importées - Pétrole brut Brent (Londres) - Prix au comptant en euros par baril </t>
        </is>
      </c>
      <c r="E96" s="3" t="inlineStr">
        <is>
          <t>kg</t>
        </is>
      </c>
      <c r="F96" s="3" t="n">
        <v>5.4</v>
      </c>
      <c r="G96" s="3" t="inlineStr">
        <is>
          <t>2022-08</t>
        </is>
      </c>
      <c r="H96" s="3" t="n">
        <v>11.928</v>
      </c>
    </row>
    <row r="97" ht="20" customHeight="1">
      <c r="A97" s="3" t="inlineStr">
        <is>
          <t>Glue, varnish and oil-linked finishing chemicals</t>
        </is>
      </c>
      <c r="B97" s="3" t="inlineStr">
        <is>
          <t>Oil</t>
        </is>
      </c>
      <c r="C97" s="3" t="inlineStr">
        <is>
          <t>BRENT</t>
        </is>
      </c>
      <c r="D97" s="3" t="inlineStr">
        <is>
          <t xml:space="preserve">INSEE BDM 010002078: Cours des matières premières importées - Pétrole brut Brent (Londres) - Prix au comptant en euros par baril </t>
        </is>
      </c>
      <c r="E97" s="3" t="inlineStr">
        <is>
          <t>kg</t>
        </is>
      </c>
      <c r="F97" s="3" t="n">
        <v>5.4</v>
      </c>
      <c r="G97" s="3" t="inlineStr">
        <is>
          <t>2022-09</t>
        </is>
      </c>
      <c r="H97" s="3" t="n">
        <v>10.872</v>
      </c>
    </row>
    <row r="98" ht="20" customHeight="1">
      <c r="A98" s="3" t="inlineStr">
        <is>
          <t>Glue, varnish and oil-linked finishing chemicals</t>
        </is>
      </c>
      <c r="B98" s="3" t="inlineStr">
        <is>
          <t>Oil</t>
        </is>
      </c>
      <c r="C98" s="3" t="inlineStr">
        <is>
          <t>BRENT</t>
        </is>
      </c>
      <c r="D98" s="3" t="inlineStr">
        <is>
          <t xml:space="preserve">INSEE BDM 010002078: Cours des matières premières importées - Pétrole brut Brent (Londres) - Prix au comptant en euros par baril </t>
        </is>
      </c>
      <c r="E98" s="3" t="inlineStr">
        <is>
          <t>kg</t>
        </is>
      </c>
      <c r="F98" s="3" t="n">
        <v>5.4</v>
      </c>
      <c r="G98" s="3" t="inlineStr">
        <is>
          <t>2022-10</t>
        </is>
      </c>
      <c r="H98" s="3" t="n">
        <v>11.4</v>
      </c>
    </row>
    <row r="99" ht="20" customHeight="1">
      <c r="A99" s="3" t="inlineStr">
        <is>
          <t>Glue, varnish and oil-linked finishing chemicals</t>
        </is>
      </c>
      <c r="B99" s="3" t="inlineStr">
        <is>
          <t>Oil</t>
        </is>
      </c>
      <c r="C99" s="3" t="inlineStr">
        <is>
          <t>BRENT</t>
        </is>
      </c>
      <c r="D99" s="3" t="inlineStr">
        <is>
          <t xml:space="preserve">INSEE BDM 010002078: Cours des matières premières importées - Pétrole brut Brent (Londres) - Prix au comptant en euros par baril </t>
        </is>
      </c>
      <c r="E99" s="3" t="inlineStr">
        <is>
          <t>kg</t>
        </is>
      </c>
      <c r="F99" s="3" t="n">
        <v>5.4</v>
      </c>
      <c r="G99" s="3" t="inlineStr">
        <is>
          <t>2022-11</t>
        </is>
      </c>
      <c r="H99" s="3" t="n">
        <v>10.764</v>
      </c>
    </row>
    <row r="100" ht="20" customHeight="1">
      <c r="A100" s="3" t="inlineStr">
        <is>
          <t>Glue, varnish and oil-linked finishing chemicals</t>
        </is>
      </c>
      <c r="B100" s="3" t="inlineStr">
        <is>
          <t>Oil</t>
        </is>
      </c>
      <c r="C100" s="3" t="inlineStr">
        <is>
          <t>BRENT</t>
        </is>
      </c>
      <c r="D100" s="3" t="inlineStr">
        <is>
          <t xml:space="preserve">INSEE BDM 010002078: Cours des matières premières importées - Pétrole brut Brent (Londres) - Prix au comptant en euros par baril </t>
        </is>
      </c>
      <c r="E100" s="3" t="inlineStr">
        <is>
          <t>kg</t>
        </is>
      </c>
      <c r="F100" s="3" t="n">
        <v>5.4</v>
      </c>
      <c r="G100" s="3" t="inlineStr">
        <is>
          <t>2022-12</t>
        </is>
      </c>
      <c r="H100" s="3" t="n">
        <v>9.18</v>
      </c>
    </row>
    <row r="101" ht="20" customHeight="1">
      <c r="A101" s="3" t="inlineStr">
        <is>
          <t>Glue, varnish and oil-linked finishing chemicals</t>
        </is>
      </c>
      <c r="B101" s="3" t="inlineStr">
        <is>
          <t>Oil</t>
        </is>
      </c>
      <c r="C101" s="3" t="inlineStr">
        <is>
          <t>BRENT</t>
        </is>
      </c>
      <c r="D101" s="3" t="inlineStr">
        <is>
          <t xml:space="preserve">INSEE BDM 010002078: Cours des matières premières importées - Pétrole brut Brent (Londres) - Prix au comptant en euros par baril </t>
        </is>
      </c>
      <c r="E101" s="3" t="inlineStr">
        <is>
          <t>kg</t>
        </is>
      </c>
      <c r="F101" s="3" t="n">
        <v>5.4</v>
      </c>
      <c r="G101" s="3" t="inlineStr">
        <is>
          <t>2023-01</t>
        </is>
      </c>
      <c r="H101" s="3" t="n">
        <v>9.192</v>
      </c>
    </row>
    <row r="102" ht="20" customHeight="1">
      <c r="A102" s="3" t="inlineStr">
        <is>
          <t>Glue, varnish and oil-linked finishing chemicals</t>
        </is>
      </c>
      <c r="B102" s="3" t="inlineStr">
        <is>
          <t>Oil</t>
        </is>
      </c>
      <c r="C102" s="3" t="inlineStr">
        <is>
          <t>BRENT</t>
        </is>
      </c>
      <c r="D102" s="3" t="inlineStr">
        <is>
          <t xml:space="preserve">INSEE BDM 010002078: Cours des matières premières importées - Pétrole brut Brent (Londres) - Prix au comptant en euros par baril </t>
        </is>
      </c>
      <c r="E102" s="3" t="inlineStr">
        <is>
          <t>kg</t>
        </is>
      </c>
      <c r="F102" s="3" t="n">
        <v>5.4</v>
      </c>
      <c r="G102" s="3" t="inlineStr">
        <is>
          <t>2023-02</t>
        </is>
      </c>
      <c r="H102" s="3" t="n">
        <v>9.276</v>
      </c>
    </row>
    <row r="103" ht="20" customHeight="1">
      <c r="A103" s="3" t="inlineStr">
        <is>
          <t>Glue, varnish and oil-linked finishing chemicals</t>
        </is>
      </c>
      <c r="B103" s="3" t="inlineStr">
        <is>
          <t>Oil</t>
        </is>
      </c>
      <c r="C103" s="3" t="inlineStr">
        <is>
          <t>BRENT</t>
        </is>
      </c>
      <c r="D103" s="3" t="inlineStr">
        <is>
          <t xml:space="preserve">INSEE BDM 010002078: Cours des matières premières importées - Pétrole brut Brent (Londres) - Prix au comptant en euros par baril </t>
        </is>
      </c>
      <c r="E103" s="3" t="inlineStr">
        <is>
          <t>kg</t>
        </is>
      </c>
      <c r="F103" s="3" t="n">
        <v>5.4</v>
      </c>
      <c r="G103" s="3" t="inlineStr">
        <is>
          <t>2023-03</t>
        </is>
      </c>
      <c r="H103" s="3" t="n">
        <v>8.795999999999999</v>
      </c>
    </row>
    <row r="104" ht="20" customHeight="1">
      <c r="A104" s="3" t="inlineStr">
        <is>
          <t>Glue, varnish and oil-linked finishing chemicals</t>
        </is>
      </c>
      <c r="B104" s="3" t="inlineStr">
        <is>
          <t>Oil</t>
        </is>
      </c>
      <c r="C104" s="3" t="inlineStr">
        <is>
          <t>BRENT</t>
        </is>
      </c>
      <c r="D104" s="3" t="inlineStr">
        <is>
          <t xml:space="preserve">INSEE BDM 010002078: Cours des matières premières importées - Pétrole brut Brent (Londres) - Prix au comptant en euros par baril </t>
        </is>
      </c>
      <c r="E104" s="3" t="inlineStr">
        <is>
          <t>kg</t>
        </is>
      </c>
      <c r="F104" s="3" t="n">
        <v>5.4</v>
      </c>
      <c r="G104" s="3" t="inlineStr">
        <is>
          <t>2023-04</t>
        </is>
      </c>
      <c r="H104" s="3" t="n">
        <v>9.263999999999999</v>
      </c>
    </row>
    <row r="105" ht="20" customHeight="1">
      <c r="A105" s="3" t="inlineStr">
        <is>
          <t>Glue, varnish and oil-linked finishing chemicals</t>
        </is>
      </c>
      <c r="B105" s="3" t="inlineStr">
        <is>
          <t>Oil</t>
        </is>
      </c>
      <c r="C105" s="3" t="inlineStr">
        <is>
          <t>BRENT</t>
        </is>
      </c>
      <c r="D105" s="3" t="inlineStr">
        <is>
          <t xml:space="preserve">INSEE BDM 010002078: Cours des matières premières importées - Pétrole brut Brent (Londres) - Prix au comptant en euros par baril </t>
        </is>
      </c>
      <c r="E105" s="3" t="inlineStr">
        <is>
          <t>kg</t>
        </is>
      </c>
      <c r="F105" s="3" t="n">
        <v>5.4</v>
      </c>
      <c r="G105" s="3" t="inlineStr">
        <is>
          <t>2023-05</t>
        </is>
      </c>
      <c r="H105" s="3" t="n">
        <v>8.352</v>
      </c>
    </row>
    <row r="106" ht="20" customHeight="1">
      <c r="A106" s="3" t="inlineStr">
        <is>
          <t>Glue, varnish and oil-linked finishing chemicals</t>
        </is>
      </c>
      <c r="B106" s="3" t="inlineStr">
        <is>
          <t>Oil</t>
        </is>
      </c>
      <c r="C106" s="3" t="inlineStr">
        <is>
          <t>BRENT</t>
        </is>
      </c>
      <c r="D106" s="3" t="inlineStr">
        <is>
          <t xml:space="preserve">INSEE BDM 010002078: Cours des matières premières importées - Pétrole brut Brent (Londres) - Prix au comptant en euros par baril </t>
        </is>
      </c>
      <c r="E106" s="3" t="inlineStr">
        <is>
          <t>kg</t>
        </is>
      </c>
      <c r="F106" s="3" t="n">
        <v>5.4</v>
      </c>
      <c r="G106" s="3" t="inlineStr">
        <is>
          <t>2023-06</t>
        </is>
      </c>
      <c r="H106" s="3" t="n">
        <v>8.279999999999999</v>
      </c>
    </row>
    <row r="107" ht="20" customHeight="1">
      <c r="A107" s="3" t="inlineStr">
        <is>
          <t>Glue, varnish and oil-linked finishing chemicals</t>
        </is>
      </c>
      <c r="B107" s="3" t="inlineStr">
        <is>
          <t>Oil</t>
        </is>
      </c>
      <c r="C107" s="3" t="inlineStr">
        <is>
          <t>BRENT</t>
        </is>
      </c>
      <c r="D107" s="3" t="inlineStr">
        <is>
          <t xml:space="preserve">INSEE BDM 010002078: Cours des matières premières importées - Pétrole brut Brent (Londres) - Prix au comptant en euros par baril </t>
        </is>
      </c>
      <c r="E107" s="3" t="inlineStr">
        <is>
          <t>kg</t>
        </is>
      </c>
      <c r="F107" s="3" t="n">
        <v>5.4</v>
      </c>
      <c r="G107" s="3" t="inlineStr">
        <is>
          <t>2023-07</t>
        </is>
      </c>
      <c r="H107" s="3" t="n">
        <v>8.688000000000001</v>
      </c>
    </row>
    <row r="108" ht="20" customHeight="1">
      <c r="A108" s="3" t="inlineStr">
        <is>
          <t>Glue, varnish and oil-linked finishing chemicals</t>
        </is>
      </c>
      <c r="B108" s="3" t="inlineStr">
        <is>
          <t>Oil</t>
        </is>
      </c>
      <c r="C108" s="3" t="inlineStr">
        <is>
          <t>BRENT</t>
        </is>
      </c>
      <c r="D108" s="3" t="inlineStr">
        <is>
          <t xml:space="preserve">INSEE BDM 010002078: Cours des matières premières importées - Pétrole brut Brent (Londres) - Prix au comptant en euros par baril </t>
        </is>
      </c>
      <c r="E108" s="3" t="inlineStr">
        <is>
          <t>kg</t>
        </is>
      </c>
      <c r="F108" s="3" t="n">
        <v>5.4</v>
      </c>
      <c r="G108" s="3" t="inlineStr">
        <is>
          <t>2023-08</t>
        </is>
      </c>
      <c r="H108" s="3" t="n">
        <v>9.468</v>
      </c>
    </row>
    <row r="109" ht="20" customHeight="1">
      <c r="A109" s="3" t="inlineStr">
        <is>
          <t>Glue, varnish and oil-linked finishing chemicals</t>
        </is>
      </c>
      <c r="B109" s="3" t="inlineStr">
        <is>
          <t>Oil</t>
        </is>
      </c>
      <c r="C109" s="3" t="inlineStr">
        <is>
          <t>BRENT</t>
        </is>
      </c>
      <c r="D109" s="3" t="inlineStr">
        <is>
          <t xml:space="preserve">INSEE BDM 010002078: Cours des matières premières importées - Pétrole brut Brent (Londres) - Prix au comptant en euros par baril </t>
        </is>
      </c>
      <c r="E109" s="3" t="inlineStr">
        <is>
          <t>kg</t>
        </is>
      </c>
      <c r="F109" s="3" t="n">
        <v>5.4</v>
      </c>
      <c r="G109" s="3" t="inlineStr">
        <is>
          <t>2023-09</t>
        </is>
      </c>
      <c r="H109" s="3" t="n">
        <v>10.5</v>
      </c>
    </row>
    <row r="110" ht="20" customHeight="1">
      <c r="A110" s="3" t="inlineStr">
        <is>
          <t>Glue, varnish and oil-linked finishing chemicals</t>
        </is>
      </c>
      <c r="B110" s="3" t="inlineStr">
        <is>
          <t>Oil</t>
        </is>
      </c>
      <c r="C110" s="3" t="inlineStr">
        <is>
          <t>BRENT</t>
        </is>
      </c>
      <c r="D110" s="3" t="inlineStr">
        <is>
          <t xml:space="preserve">INSEE BDM 010002078: Cours des matières premières importées - Pétrole brut Brent (Londres) - Prix au comptant en euros par baril </t>
        </is>
      </c>
      <c r="E110" s="3" t="inlineStr">
        <is>
          <t>kg</t>
        </is>
      </c>
      <c r="F110" s="3" t="n">
        <v>5.4</v>
      </c>
      <c r="G110" s="3" t="inlineStr">
        <is>
          <t>2023-10</t>
        </is>
      </c>
      <c r="H110" s="3" t="n">
        <v>10.296</v>
      </c>
    </row>
    <row r="111" ht="20" customHeight="1">
      <c r="A111" s="3" t="inlineStr">
        <is>
          <t>Glue, varnish and oil-linked finishing chemicals</t>
        </is>
      </c>
      <c r="B111" s="3" t="inlineStr">
        <is>
          <t>Oil</t>
        </is>
      </c>
      <c r="C111" s="3" t="inlineStr">
        <is>
          <t>BRENT</t>
        </is>
      </c>
      <c r="D111" s="3" t="inlineStr">
        <is>
          <t xml:space="preserve">INSEE BDM 010002078: Cours des matières premières importées - Pétrole brut Brent (Londres) - Prix au comptant en euros par baril </t>
        </is>
      </c>
      <c r="E111" s="3" t="inlineStr">
        <is>
          <t>kg</t>
        </is>
      </c>
      <c r="F111" s="3" t="n">
        <v>5.4</v>
      </c>
      <c r="G111" s="3" t="inlineStr">
        <is>
          <t>2023-11</t>
        </is>
      </c>
      <c r="H111" s="3" t="n">
        <v>9.215999999999999</v>
      </c>
    </row>
    <row r="112" ht="20" customHeight="1">
      <c r="A112" s="3" t="inlineStr">
        <is>
          <t>Glue, varnish and oil-linked finishing chemicals</t>
        </is>
      </c>
      <c r="B112" s="3" t="inlineStr">
        <is>
          <t>Oil</t>
        </is>
      </c>
      <c r="C112" s="3" t="inlineStr">
        <is>
          <t>BRENT</t>
        </is>
      </c>
      <c r="D112" s="3" t="inlineStr">
        <is>
          <t xml:space="preserve">INSEE BDM 010002078: Cours des matières premières importées - Pétrole brut Brent (Londres) - Prix au comptant en euros par baril </t>
        </is>
      </c>
      <c r="E112" s="3" t="inlineStr">
        <is>
          <t>kg</t>
        </is>
      </c>
      <c r="F112" s="3" t="n">
        <v>5.4</v>
      </c>
      <c r="G112" s="3" t="inlineStr">
        <is>
          <t>2023-12</t>
        </is>
      </c>
      <c r="H112" s="3" t="n">
        <v>8.544</v>
      </c>
    </row>
    <row r="113" ht="20" customHeight="1">
      <c r="A113" s="3" t="inlineStr">
        <is>
          <t>Delivery fuel</t>
        </is>
      </c>
      <c r="B113" s="3" t="inlineStr">
        <is>
          <t>Oil</t>
        </is>
      </c>
      <c r="C113" s="3" t="inlineStr">
        <is>
          <t>DIESEL</t>
        </is>
      </c>
      <c r="D113" s="3" t="inlineStr">
        <is>
          <t>INSEE BDM 010002076: Cours des matières premières importées - Gazole à faible teneur en soufre - Prix en euros par tonne - CAF - 1% de soufre</t>
        </is>
      </c>
      <c r="E113" s="3" t="inlineStr">
        <is>
          <t>L</t>
        </is>
      </c>
      <c r="F113" s="3" t="n">
        <v>1.62</v>
      </c>
      <c r="G113" s="3" t="inlineStr">
        <is>
          <t>2021-01</t>
        </is>
      </c>
      <c r="H113" s="3" t="n">
        <v>1.62</v>
      </c>
    </row>
    <row r="114" ht="20" customHeight="1">
      <c r="A114" s="3" t="inlineStr">
        <is>
          <t>Delivery fuel</t>
        </is>
      </c>
      <c r="B114" s="3" t="inlineStr">
        <is>
          <t>Oil</t>
        </is>
      </c>
      <c r="C114" s="3" t="inlineStr">
        <is>
          <t>DIESEL</t>
        </is>
      </c>
      <c r="D114" s="3" t="inlineStr">
        <is>
          <t>INSEE BDM 010002076: Cours des matières premières importées - Gazole à faible teneur en soufre - Prix en euros par tonne - CAF - 1% de soufre</t>
        </is>
      </c>
      <c r="E114" s="3" t="inlineStr">
        <is>
          <t>L</t>
        </is>
      </c>
      <c r="F114" s="3" t="n">
        <v>1.62</v>
      </c>
      <c r="G114" s="3" t="inlineStr">
        <is>
          <t>2021-02</t>
        </is>
      </c>
      <c r="H114" s="3" t="n">
        <v>1.8426</v>
      </c>
    </row>
    <row r="115" ht="20" customHeight="1">
      <c r="A115" s="3" t="inlineStr">
        <is>
          <t>Delivery fuel</t>
        </is>
      </c>
      <c r="B115" s="3" t="inlineStr">
        <is>
          <t>Oil</t>
        </is>
      </c>
      <c r="C115" s="3" t="inlineStr">
        <is>
          <t>DIESEL</t>
        </is>
      </c>
      <c r="D115" s="3" t="inlineStr">
        <is>
          <t>INSEE BDM 010002076: Cours des matières premières importées - Gazole à faible teneur en soufre - Prix en euros par tonne - CAF - 1% de soufre</t>
        </is>
      </c>
      <c r="E115" s="3" t="inlineStr">
        <is>
          <t>L</t>
        </is>
      </c>
      <c r="F115" s="3" t="n">
        <v>1.62</v>
      </c>
      <c r="G115" s="3" t="inlineStr">
        <is>
          <t>2021-03</t>
        </is>
      </c>
      <c r="H115" s="3" t="n">
        <v>1.9319</v>
      </c>
    </row>
    <row r="116" ht="20" customHeight="1">
      <c r="A116" s="3" t="inlineStr">
        <is>
          <t>Delivery fuel</t>
        </is>
      </c>
      <c r="B116" s="3" t="inlineStr">
        <is>
          <t>Oil</t>
        </is>
      </c>
      <c r="C116" s="3" t="inlineStr">
        <is>
          <t>DIESEL</t>
        </is>
      </c>
      <c r="D116" s="3" t="inlineStr">
        <is>
          <t>INSEE BDM 010002076: Cours des matières premières importées - Gazole à faible teneur en soufre - Prix en euros par tonne - CAF - 1% de soufre</t>
        </is>
      </c>
      <c r="E116" s="3" t="inlineStr">
        <is>
          <t>L</t>
        </is>
      </c>
      <c r="F116" s="3" t="n">
        <v>1.62</v>
      </c>
      <c r="G116" s="3" t="inlineStr">
        <is>
          <t>2021-04</t>
        </is>
      </c>
      <c r="H116" s="3" t="n">
        <v>1.9055</v>
      </c>
    </row>
    <row r="117" ht="20" customHeight="1">
      <c r="A117" s="3" t="inlineStr">
        <is>
          <t>Delivery fuel</t>
        </is>
      </c>
      <c r="B117" s="3" t="inlineStr">
        <is>
          <t>Oil</t>
        </is>
      </c>
      <c r="C117" s="3" t="inlineStr">
        <is>
          <t>DIESEL</t>
        </is>
      </c>
      <c r="D117" s="3" t="inlineStr">
        <is>
          <t>INSEE BDM 010002076: Cours des matières premières importées - Gazole à faible teneur en soufre - Prix en euros par tonne - CAF - 1% de soufre</t>
        </is>
      </c>
      <c r="E117" s="3" t="inlineStr">
        <is>
          <t>L</t>
        </is>
      </c>
      <c r="F117" s="3" t="n">
        <v>1.62</v>
      </c>
      <c r="G117" s="3" t="inlineStr">
        <is>
          <t>2021-05</t>
        </is>
      </c>
      <c r="H117" s="3" t="n">
        <v>2.0115</v>
      </c>
    </row>
    <row r="118" ht="20" customHeight="1">
      <c r="A118" s="3" t="inlineStr">
        <is>
          <t>Delivery fuel</t>
        </is>
      </c>
      <c r="B118" s="3" t="inlineStr">
        <is>
          <t>Oil</t>
        </is>
      </c>
      <c r="C118" s="3" t="inlineStr">
        <is>
          <t>DIESEL</t>
        </is>
      </c>
      <c r="D118" s="3" t="inlineStr">
        <is>
          <t>INSEE BDM 010002076: Cours des matières premières importées - Gazole à faible teneur en soufre - Prix en euros par tonne - CAF - 1% de soufre</t>
        </is>
      </c>
      <c r="E118" s="3" t="inlineStr">
        <is>
          <t>L</t>
        </is>
      </c>
      <c r="F118" s="3" t="n">
        <v>1.62</v>
      </c>
      <c r="G118" s="3" t="inlineStr">
        <is>
          <t>2021-06</t>
        </is>
      </c>
      <c r="H118" s="3" t="n">
        <v>2.161</v>
      </c>
    </row>
    <row r="119" ht="20" customHeight="1">
      <c r="A119" s="3" t="inlineStr">
        <is>
          <t>Delivery fuel</t>
        </is>
      </c>
      <c r="B119" s="3" t="inlineStr">
        <is>
          <t>Oil</t>
        </is>
      </c>
      <c r="C119" s="3" t="inlineStr">
        <is>
          <t>DIESEL</t>
        </is>
      </c>
      <c r="D119" s="3" t="inlineStr">
        <is>
          <t>INSEE BDM 010002076: Cours des matières premières importées - Gazole à faible teneur en soufre - Prix en euros par tonne - CAF - 1% de soufre</t>
        </is>
      </c>
      <c r="E119" s="3" t="inlineStr">
        <is>
          <t>L</t>
        </is>
      </c>
      <c r="F119" s="3" t="n">
        <v>1.62</v>
      </c>
      <c r="G119" s="3" t="inlineStr">
        <is>
          <t>2021-07</t>
        </is>
      </c>
      <c r="H119" s="3" t="n">
        <v>2.2288</v>
      </c>
    </row>
    <row r="120" ht="20" customHeight="1">
      <c r="A120" s="3" t="inlineStr">
        <is>
          <t>Delivery fuel</t>
        </is>
      </c>
      <c r="B120" s="3" t="inlineStr">
        <is>
          <t>Oil</t>
        </is>
      </c>
      <c r="C120" s="3" t="inlineStr">
        <is>
          <t>DIESEL</t>
        </is>
      </c>
      <c r="D120" s="3" t="inlineStr">
        <is>
          <t>INSEE BDM 010002076: Cours des matières premières importées - Gazole à faible teneur en soufre - Prix en euros par tonne - CAF - 1% de soufre</t>
        </is>
      </c>
      <c r="E120" s="3" t="inlineStr">
        <is>
          <t>L</t>
        </is>
      </c>
      <c r="F120" s="3" t="n">
        <v>1.62</v>
      </c>
      <c r="G120" s="3" t="inlineStr">
        <is>
          <t>2021-08</t>
        </is>
      </c>
      <c r="H120" s="3" t="n">
        <v>2.1654</v>
      </c>
    </row>
    <row r="121" ht="20" customHeight="1">
      <c r="A121" s="3" t="inlineStr">
        <is>
          <t>Delivery fuel</t>
        </is>
      </c>
      <c r="B121" s="3" t="inlineStr">
        <is>
          <t>Oil</t>
        </is>
      </c>
      <c r="C121" s="3" t="inlineStr">
        <is>
          <t>DIESEL</t>
        </is>
      </c>
      <c r="D121" s="3" t="inlineStr">
        <is>
          <t>INSEE BDM 010002076: Cours des matières premières importées - Gazole à faible teneur en soufre - Prix en euros par tonne - CAF - 1% de soufre</t>
        </is>
      </c>
      <c r="E121" s="3" t="inlineStr">
        <is>
          <t>L</t>
        </is>
      </c>
      <c r="F121" s="3" t="n">
        <v>1.62</v>
      </c>
      <c r="G121" s="3" t="inlineStr">
        <is>
          <t>2021-09</t>
        </is>
      </c>
      <c r="H121" s="3" t="n">
        <v>2.351</v>
      </c>
    </row>
    <row r="122" ht="20" customHeight="1">
      <c r="A122" s="3" t="inlineStr">
        <is>
          <t>Delivery fuel</t>
        </is>
      </c>
      <c r="B122" s="3" t="inlineStr">
        <is>
          <t>Oil</t>
        </is>
      </c>
      <c r="C122" s="3" t="inlineStr">
        <is>
          <t>DIESEL</t>
        </is>
      </c>
      <c r="D122" s="3" t="inlineStr">
        <is>
          <t>INSEE BDM 010002076: Cours des matières premières importées - Gazole à faible teneur en soufre - Prix en euros par tonne - CAF - 1% de soufre</t>
        </is>
      </c>
      <c r="E122" s="3" t="inlineStr">
        <is>
          <t>L</t>
        </is>
      </c>
      <c r="F122" s="3" t="n">
        <v>1.62</v>
      </c>
      <c r="G122" s="3" t="inlineStr">
        <is>
          <t>2021-10</t>
        </is>
      </c>
      <c r="H122" s="3" t="n">
        <v>2.7408</v>
      </c>
    </row>
    <row r="123" ht="20" customHeight="1">
      <c r="A123" s="3" t="inlineStr">
        <is>
          <t>Delivery fuel</t>
        </is>
      </c>
      <c r="B123" s="3" t="inlineStr">
        <is>
          <t>Oil</t>
        </is>
      </c>
      <c r="C123" s="3" t="inlineStr">
        <is>
          <t>DIESEL</t>
        </is>
      </c>
      <c r="D123" s="3" t="inlineStr">
        <is>
          <t>INSEE BDM 010002076: Cours des matières premières importées - Gazole à faible teneur en soufre - Prix en euros par tonne - CAF - 1% de soufre</t>
        </is>
      </c>
      <c r="E123" s="3" t="inlineStr">
        <is>
          <t>L</t>
        </is>
      </c>
      <c r="F123" s="3" t="n">
        <v>1.62</v>
      </c>
      <c r="G123" s="3" t="inlineStr">
        <is>
          <t>2021-11</t>
        </is>
      </c>
      <c r="H123" s="3" t="n">
        <v>2.6638</v>
      </c>
    </row>
    <row r="124" ht="20" customHeight="1">
      <c r="A124" s="3" t="inlineStr">
        <is>
          <t>Delivery fuel</t>
        </is>
      </c>
      <c r="B124" s="3" t="inlineStr">
        <is>
          <t>Oil</t>
        </is>
      </c>
      <c r="C124" s="3" t="inlineStr">
        <is>
          <t>DIESEL</t>
        </is>
      </c>
      <c r="D124" s="3" t="inlineStr">
        <is>
          <t>INSEE BDM 010002076: Cours des matières premières importées - Gazole à faible teneur en soufre - Prix en euros par tonne - CAF - 1% de soufre</t>
        </is>
      </c>
      <c r="E124" s="3" t="inlineStr">
        <is>
          <t>L</t>
        </is>
      </c>
      <c r="F124" s="3" t="n">
        <v>1.62</v>
      </c>
      <c r="G124" s="3" t="inlineStr">
        <is>
          <t>2021-12</t>
        </is>
      </c>
      <c r="H124" s="3" t="n">
        <v>2.5164</v>
      </c>
    </row>
    <row r="125" ht="20" customHeight="1">
      <c r="A125" s="3" t="inlineStr">
        <is>
          <t>Delivery fuel</t>
        </is>
      </c>
      <c r="B125" s="3" t="inlineStr">
        <is>
          <t>Oil</t>
        </is>
      </c>
      <c r="C125" s="3" t="inlineStr">
        <is>
          <t>DIESEL</t>
        </is>
      </c>
      <c r="D125" s="3" t="inlineStr">
        <is>
          <t>INSEE BDM 010002076: Cours des matières premières importées - Gazole à faible teneur en soufre - Prix en euros par tonne - CAF - 1% de soufre</t>
        </is>
      </c>
      <c r="E125" s="3" t="inlineStr">
        <is>
          <t>L</t>
        </is>
      </c>
      <c r="F125" s="3" t="n">
        <v>1.62</v>
      </c>
      <c r="G125" s="3" t="inlineStr">
        <is>
          <t>2022-01</t>
        </is>
      </c>
      <c r="H125" s="3" t="n">
        <v>2.9022</v>
      </c>
    </row>
    <row r="126" ht="20" customHeight="1">
      <c r="A126" s="3" t="inlineStr">
        <is>
          <t>Delivery fuel</t>
        </is>
      </c>
      <c r="B126" s="3" t="inlineStr">
        <is>
          <t>Oil</t>
        </is>
      </c>
      <c r="C126" s="3" t="inlineStr">
        <is>
          <t>DIESEL</t>
        </is>
      </c>
      <c r="D126" s="3" t="inlineStr">
        <is>
          <t>INSEE BDM 010002076: Cours des matières premières importées - Gazole à faible teneur en soufre - Prix en euros par tonne - CAF - 1% de soufre</t>
        </is>
      </c>
      <c r="E126" s="3" t="inlineStr">
        <is>
          <t>L</t>
        </is>
      </c>
      <c r="F126" s="3" t="n">
        <v>1.62</v>
      </c>
      <c r="G126" s="3" t="inlineStr">
        <is>
          <t>2022-02</t>
        </is>
      </c>
      <c r="H126" s="3" t="n">
        <v>3.2268</v>
      </c>
    </row>
    <row r="127" ht="20" customHeight="1">
      <c r="A127" s="3" t="inlineStr">
        <is>
          <t>Delivery fuel</t>
        </is>
      </c>
      <c r="B127" s="3" t="inlineStr">
        <is>
          <t>Oil</t>
        </is>
      </c>
      <c r="C127" s="3" t="inlineStr">
        <is>
          <t>DIESEL</t>
        </is>
      </c>
      <c r="D127" s="3" t="inlineStr">
        <is>
          <t>INSEE BDM 010002076: Cours des matières premières importées - Gazole à faible teneur en soufre - Prix en euros par tonne - CAF - 1% de soufre</t>
        </is>
      </c>
      <c r="E127" s="3" t="inlineStr">
        <is>
          <t>L</t>
        </is>
      </c>
      <c r="F127" s="3" t="n">
        <v>1.62</v>
      </c>
      <c r="G127" s="3" t="inlineStr">
        <is>
          <t>2022-03</t>
        </is>
      </c>
      <c r="H127" s="3" t="n">
        <v>4.5798</v>
      </c>
    </row>
    <row r="128" ht="20" customHeight="1">
      <c r="A128" s="3" t="inlineStr">
        <is>
          <t>Delivery fuel</t>
        </is>
      </c>
      <c r="B128" s="3" t="inlineStr">
        <is>
          <t>Oil</t>
        </is>
      </c>
      <c r="C128" s="3" t="inlineStr">
        <is>
          <t>DIESEL</t>
        </is>
      </c>
      <c r="D128" s="3" t="inlineStr">
        <is>
          <t>INSEE BDM 010002076: Cours des matières premières importées - Gazole à faible teneur en soufre - Prix en euros par tonne - CAF - 1% de soufre</t>
        </is>
      </c>
      <c r="E128" s="3" t="inlineStr">
        <is>
          <t>L</t>
        </is>
      </c>
      <c r="F128" s="3" t="n">
        <v>1.62</v>
      </c>
      <c r="G128" s="3" t="inlineStr">
        <is>
          <t>2022-04</t>
        </is>
      </c>
      <c r="H128" s="3" t="n">
        <v>4.4676</v>
      </c>
    </row>
    <row r="129" ht="20" customHeight="1">
      <c r="A129" s="3" t="inlineStr">
        <is>
          <t>Delivery fuel</t>
        </is>
      </c>
      <c r="B129" s="3" t="inlineStr">
        <is>
          <t>Oil</t>
        </is>
      </c>
      <c r="C129" s="3" t="inlineStr">
        <is>
          <t>DIESEL</t>
        </is>
      </c>
      <c r="D129" s="3" t="inlineStr">
        <is>
          <t>INSEE BDM 010002076: Cours des matières premières importées - Gazole à faible teneur en soufre - Prix en euros par tonne - CAF - 1% de soufre</t>
        </is>
      </c>
      <c r="E129" s="3" t="inlineStr">
        <is>
          <t>L</t>
        </is>
      </c>
      <c r="F129" s="3" t="n">
        <v>1.62</v>
      </c>
      <c r="G129" s="3" t="inlineStr">
        <is>
          <t>2022-05</t>
        </is>
      </c>
      <c r="H129" s="3" t="n">
        <v>4.7148</v>
      </c>
    </row>
    <row r="130" ht="20" customHeight="1">
      <c r="A130" s="3" t="inlineStr">
        <is>
          <t>Delivery fuel</t>
        </is>
      </c>
      <c r="B130" s="3" t="inlineStr">
        <is>
          <t>Oil</t>
        </is>
      </c>
      <c r="C130" s="3" t="inlineStr">
        <is>
          <t>DIESEL</t>
        </is>
      </c>
      <c r="D130" s="3" t="inlineStr">
        <is>
          <t>INSEE BDM 010002076: Cours des matières premières importées - Gazole à faible teneur en soufre - Prix en euros par tonne - CAF - 1% de soufre</t>
        </is>
      </c>
      <c r="E130" s="3" t="inlineStr">
        <is>
          <t>L</t>
        </is>
      </c>
      <c r="F130" s="3" t="n">
        <v>1.62</v>
      </c>
      <c r="G130" s="3" t="inlineStr">
        <is>
          <t>2022-06</t>
        </is>
      </c>
      <c r="H130" s="3" t="n">
        <v>5.3966</v>
      </c>
    </row>
    <row r="131" ht="20" customHeight="1">
      <c r="A131" s="3" t="inlineStr">
        <is>
          <t>Delivery fuel</t>
        </is>
      </c>
      <c r="B131" s="3" t="inlineStr">
        <is>
          <t>Oil</t>
        </is>
      </c>
      <c r="C131" s="3" t="inlineStr">
        <is>
          <t>DIESEL</t>
        </is>
      </c>
      <c r="D131" s="3" t="inlineStr">
        <is>
          <t>INSEE BDM 010002076: Cours des matières premières importées - Gazole à faible teneur en soufre - Prix en euros par tonne - CAF - 1% de soufre</t>
        </is>
      </c>
      <c r="E131" s="3" t="inlineStr">
        <is>
          <t>L</t>
        </is>
      </c>
      <c r="F131" s="3" t="n">
        <v>1.62</v>
      </c>
      <c r="G131" s="3" t="inlineStr">
        <is>
          <t>2022-07</t>
        </is>
      </c>
      <c r="H131" s="3" t="n">
        <v>4.8169</v>
      </c>
    </row>
    <row r="132" ht="20" customHeight="1">
      <c r="A132" s="3" t="inlineStr">
        <is>
          <t>Delivery fuel</t>
        </is>
      </c>
      <c r="B132" s="3" t="inlineStr">
        <is>
          <t>Oil</t>
        </is>
      </c>
      <c r="C132" s="3" t="inlineStr">
        <is>
          <t>DIESEL</t>
        </is>
      </c>
      <c r="D132" s="3" t="inlineStr">
        <is>
          <t>INSEE BDM 010002076: Cours des matières premières importées - Gazole à faible teneur en soufre - Prix en euros par tonne - CAF - 1% de soufre</t>
        </is>
      </c>
      <c r="E132" s="3" t="inlineStr">
        <is>
          <t>L</t>
        </is>
      </c>
      <c r="F132" s="3" t="n">
        <v>1.62</v>
      </c>
      <c r="G132" s="3" t="inlineStr">
        <is>
          <t>2022-08</t>
        </is>
      </c>
      <c r="H132" s="3" t="n">
        <v>4.622</v>
      </c>
    </row>
    <row r="133" ht="20" customHeight="1">
      <c r="A133" s="3" t="inlineStr">
        <is>
          <t>Delivery fuel</t>
        </is>
      </c>
      <c r="B133" s="3" t="inlineStr">
        <is>
          <t>Oil</t>
        </is>
      </c>
      <c r="C133" s="3" t="inlineStr">
        <is>
          <t>DIESEL</t>
        </is>
      </c>
      <c r="D133" s="3" t="inlineStr">
        <is>
          <t>INSEE BDM 010002076: Cours des matières premières importées - Gazole à faible teneur en soufre - Prix en euros par tonne - CAF - 1% de soufre</t>
        </is>
      </c>
      <c r="E133" s="3" t="inlineStr">
        <is>
          <t>L</t>
        </is>
      </c>
      <c r="F133" s="3" t="n">
        <v>1.62</v>
      </c>
      <c r="G133" s="3" t="inlineStr">
        <is>
          <t>2022-09</t>
        </is>
      </c>
      <c r="H133" s="3" t="n">
        <v>4.5261</v>
      </c>
    </row>
    <row r="134" ht="20" customHeight="1">
      <c r="A134" s="3" t="inlineStr">
        <is>
          <t>Delivery fuel</t>
        </is>
      </c>
      <c r="B134" s="3" t="inlineStr">
        <is>
          <t>Oil</t>
        </is>
      </c>
      <c r="C134" s="3" t="inlineStr">
        <is>
          <t>DIESEL</t>
        </is>
      </c>
      <c r="D134" s="3" t="inlineStr">
        <is>
          <t>INSEE BDM 010002076: Cours des matières premières importées - Gazole à faible teneur en soufre - Prix en euros par tonne - CAF - 1% de soufre</t>
        </is>
      </c>
      <c r="E134" s="3" t="inlineStr">
        <is>
          <t>L</t>
        </is>
      </c>
      <c r="F134" s="3" t="n">
        <v>1.62</v>
      </c>
      <c r="G134" s="3" t="inlineStr">
        <is>
          <t>2022-10</t>
        </is>
      </c>
      <c r="H134" s="3" t="n">
        <v>5.0421</v>
      </c>
    </row>
    <row r="135" ht="20" customHeight="1">
      <c r="A135" s="3" t="inlineStr">
        <is>
          <t>Delivery fuel</t>
        </is>
      </c>
      <c r="B135" s="3" t="inlineStr">
        <is>
          <t>Oil</t>
        </is>
      </c>
      <c r="C135" s="3" t="inlineStr">
        <is>
          <t>DIESEL</t>
        </is>
      </c>
      <c r="D135" s="3" t="inlineStr">
        <is>
          <t>INSEE BDM 010002076: Cours des matières premières importées - Gazole à faible teneur en soufre - Prix en euros par tonne - CAF - 1% de soufre</t>
        </is>
      </c>
      <c r="E135" s="3" t="inlineStr">
        <is>
          <t>L</t>
        </is>
      </c>
      <c r="F135" s="3" t="n">
        <v>1.62</v>
      </c>
      <c r="G135" s="3" t="inlineStr">
        <is>
          <t>2022-11</t>
        </is>
      </c>
      <c r="H135" s="3" t="n">
        <v>4.268</v>
      </c>
    </row>
    <row r="136" ht="20" customHeight="1">
      <c r="A136" s="3" t="inlineStr">
        <is>
          <t>Delivery fuel</t>
        </is>
      </c>
      <c r="B136" s="3" t="inlineStr">
        <is>
          <t>Oil</t>
        </is>
      </c>
      <c r="C136" s="3" t="inlineStr">
        <is>
          <t>DIESEL</t>
        </is>
      </c>
      <c r="D136" s="3" t="inlineStr">
        <is>
          <t>INSEE BDM 010002076: Cours des matières premières importées - Gazole à faible teneur en soufre - Prix en euros par tonne - CAF - 1% de soufre</t>
        </is>
      </c>
      <c r="E136" s="3" t="inlineStr">
        <is>
          <t>L</t>
        </is>
      </c>
      <c r="F136" s="3" t="n">
        <v>1.62</v>
      </c>
      <c r="G136" s="3" t="inlineStr">
        <is>
          <t>2022-12</t>
        </is>
      </c>
      <c r="H136" s="3" t="n">
        <v>3.6834</v>
      </c>
    </row>
    <row r="137" ht="20" customHeight="1">
      <c r="A137" s="3" t="inlineStr">
        <is>
          <t>Delivery fuel</t>
        </is>
      </c>
      <c r="B137" s="3" t="inlineStr">
        <is>
          <t>Oil</t>
        </is>
      </c>
      <c r="C137" s="3" t="inlineStr">
        <is>
          <t>DIESEL</t>
        </is>
      </c>
      <c r="D137" s="3" t="inlineStr">
        <is>
          <t>INSEE BDM 010002076: Cours des matières premières importées - Gazole à faible teneur en soufre - Prix en euros par tonne - CAF - 1% de soufre</t>
        </is>
      </c>
      <c r="E137" s="3" t="inlineStr">
        <is>
          <t>L</t>
        </is>
      </c>
      <c r="F137" s="3" t="n">
        <v>1.62</v>
      </c>
      <c r="G137" s="3" t="inlineStr">
        <is>
          <t>2023-01</t>
        </is>
      </c>
      <c r="H137" s="3" t="n">
        <v>3.7749</v>
      </c>
    </row>
    <row r="138" ht="20" customHeight="1">
      <c r="A138" s="3" t="inlineStr">
        <is>
          <t>Delivery fuel</t>
        </is>
      </c>
      <c r="B138" s="3" t="inlineStr">
        <is>
          <t>Oil</t>
        </is>
      </c>
      <c r="C138" s="3" t="inlineStr">
        <is>
          <t>DIESEL</t>
        </is>
      </c>
      <c r="D138" s="3" t="inlineStr">
        <is>
          <t>INSEE BDM 010002076: Cours des matières premières importées - Gazole à faible teneur en soufre - Prix en euros par tonne - CAF - 1% de soufre</t>
        </is>
      </c>
      <c r="E138" s="3" t="inlineStr">
        <is>
          <t>L</t>
        </is>
      </c>
      <c r="F138" s="3" t="n">
        <v>1.62</v>
      </c>
      <c r="G138" s="3" t="inlineStr">
        <is>
          <t>2023-02</t>
        </is>
      </c>
      <c r="H138" s="3" t="n">
        <v>3.3671</v>
      </c>
    </row>
    <row r="139" ht="20" customHeight="1">
      <c r="A139" s="3" t="inlineStr">
        <is>
          <t>Delivery fuel</t>
        </is>
      </c>
      <c r="B139" s="3" t="inlineStr">
        <is>
          <t>Oil</t>
        </is>
      </c>
      <c r="C139" s="3" t="inlineStr">
        <is>
          <t>DIESEL</t>
        </is>
      </c>
      <c r="D139" s="3" t="inlineStr">
        <is>
          <t>INSEE BDM 010002076: Cours des matières premières importées - Gazole à faible teneur en soufre - Prix en euros par tonne - CAF - 1% de soufre</t>
        </is>
      </c>
      <c r="E139" s="3" t="inlineStr">
        <is>
          <t>L</t>
        </is>
      </c>
      <c r="F139" s="3" t="n">
        <v>1.62</v>
      </c>
      <c r="G139" s="3" t="inlineStr">
        <is>
          <t>2023-03</t>
        </is>
      </c>
      <c r="H139" s="3" t="n">
        <v>3.2519</v>
      </c>
    </row>
    <row r="140" ht="20" customHeight="1">
      <c r="A140" s="3" t="inlineStr">
        <is>
          <t>Delivery fuel</t>
        </is>
      </c>
      <c r="B140" s="3" t="inlineStr">
        <is>
          <t>Oil</t>
        </is>
      </c>
      <c r="C140" s="3" t="inlineStr">
        <is>
          <t>DIESEL</t>
        </is>
      </c>
      <c r="D140" s="3" t="inlineStr">
        <is>
          <t>INSEE BDM 010002076: Cours des matières premières importées - Gazole à faible teneur en soufre - Prix en euros par tonne - CAF - 1% de soufre</t>
        </is>
      </c>
      <c r="E140" s="3" t="inlineStr">
        <is>
          <t>L</t>
        </is>
      </c>
      <c r="F140" s="3" t="n">
        <v>1.62</v>
      </c>
      <c r="G140" s="3" t="inlineStr">
        <is>
          <t>2023-04</t>
        </is>
      </c>
      <c r="H140" s="3" t="n">
        <v>3.0007</v>
      </c>
    </row>
    <row r="141" ht="20" customHeight="1">
      <c r="A141" s="3" t="inlineStr">
        <is>
          <t>Delivery fuel</t>
        </is>
      </c>
      <c r="B141" s="3" t="inlineStr">
        <is>
          <t>Oil</t>
        </is>
      </c>
      <c r="C141" s="3" t="inlineStr">
        <is>
          <t>DIESEL</t>
        </is>
      </c>
      <c r="D141" s="3" t="inlineStr">
        <is>
          <t>INSEE BDM 010002076: Cours des matières premières importées - Gazole à faible teneur en soufre - Prix en euros par tonne - CAF - 1% de soufre</t>
        </is>
      </c>
      <c r="E141" s="3" t="inlineStr">
        <is>
          <t>L</t>
        </is>
      </c>
      <c r="F141" s="3" t="n">
        <v>1.62</v>
      </c>
      <c r="G141" s="3" t="inlineStr">
        <is>
          <t>2023-05</t>
        </is>
      </c>
      <c r="H141" s="3" t="n">
        <v>2.7496</v>
      </c>
    </row>
    <row r="142" ht="20" customHeight="1">
      <c r="A142" s="3" t="inlineStr">
        <is>
          <t>Delivery fuel</t>
        </is>
      </c>
      <c r="B142" s="3" t="inlineStr">
        <is>
          <t>Oil</t>
        </is>
      </c>
      <c r="C142" s="3" t="inlineStr">
        <is>
          <t>DIESEL</t>
        </is>
      </c>
      <c r="D142" s="3" t="inlineStr">
        <is>
          <t>INSEE BDM 010002076: Cours des matières premières importées - Gazole à faible teneur en soufre - Prix en euros par tonne - CAF - 1% de soufre</t>
        </is>
      </c>
      <c r="E142" s="3" t="inlineStr">
        <is>
          <t>L</t>
        </is>
      </c>
      <c r="F142" s="3" t="n">
        <v>1.62</v>
      </c>
      <c r="G142" s="3" t="inlineStr">
        <is>
          <t>2023-06</t>
        </is>
      </c>
      <c r="H142" s="3" t="n">
        <v>2.8727</v>
      </c>
    </row>
    <row r="143" ht="20" customHeight="1">
      <c r="A143" s="3" t="inlineStr">
        <is>
          <t>Delivery fuel</t>
        </is>
      </c>
      <c r="B143" s="3" t="inlineStr">
        <is>
          <t>Oil</t>
        </is>
      </c>
      <c r="C143" s="3" t="inlineStr">
        <is>
          <t>DIESEL</t>
        </is>
      </c>
      <c r="D143" s="3" t="inlineStr">
        <is>
          <t>INSEE BDM 010002076: Cours des matières premières importées - Gazole à faible teneur en soufre - Prix en euros par tonne - CAF - 1% de soufre</t>
        </is>
      </c>
      <c r="E143" s="3" t="inlineStr">
        <is>
          <t>L</t>
        </is>
      </c>
      <c r="F143" s="3" t="n">
        <v>1.62</v>
      </c>
      <c r="G143" s="3" t="inlineStr">
        <is>
          <t>2023-07</t>
        </is>
      </c>
      <c r="H143" s="3" t="n">
        <v>3.0931</v>
      </c>
    </row>
    <row r="144" ht="20" customHeight="1">
      <c r="A144" s="3" t="inlineStr">
        <is>
          <t>Delivery fuel</t>
        </is>
      </c>
      <c r="B144" s="3" t="inlineStr">
        <is>
          <t>Oil</t>
        </is>
      </c>
      <c r="C144" s="3" t="inlineStr">
        <is>
          <t>DIESEL</t>
        </is>
      </c>
      <c r="D144" s="3" t="inlineStr">
        <is>
          <t>INSEE BDM 010002076: Cours des matières premières importées - Gazole à faible teneur en soufre - Prix en euros par tonne - CAF - 1% de soufre</t>
        </is>
      </c>
      <c r="E144" s="3" t="inlineStr">
        <is>
          <t>L</t>
        </is>
      </c>
      <c r="F144" s="3" t="n">
        <v>1.62</v>
      </c>
      <c r="G144" s="3" t="inlineStr">
        <is>
          <t>2023-08</t>
        </is>
      </c>
      <c r="H144" s="3" t="n">
        <v>3.6693</v>
      </c>
    </row>
    <row r="145" ht="20" customHeight="1">
      <c r="A145" s="3" t="inlineStr">
        <is>
          <t>Delivery fuel</t>
        </is>
      </c>
      <c r="B145" s="3" t="inlineStr">
        <is>
          <t>Oil</t>
        </is>
      </c>
      <c r="C145" s="3" t="inlineStr">
        <is>
          <t>DIESEL</t>
        </is>
      </c>
      <c r="D145" s="3" t="inlineStr">
        <is>
          <t>INSEE BDM 010002076: Cours des matières premières importées - Gazole à faible teneur en soufre - Prix en euros par tonne - CAF - 1% de soufre</t>
        </is>
      </c>
      <c r="E145" s="3" t="inlineStr">
        <is>
          <t>L</t>
        </is>
      </c>
      <c r="F145" s="3" t="n">
        <v>1.62</v>
      </c>
      <c r="G145" s="3" t="inlineStr">
        <is>
          <t>2023-09</t>
        </is>
      </c>
      <c r="H145" s="3" t="n">
        <v>4.0102</v>
      </c>
    </row>
    <row r="146" ht="20" customHeight="1">
      <c r="A146" s="3" t="inlineStr">
        <is>
          <t>Delivery fuel</t>
        </is>
      </c>
      <c r="B146" s="3" t="inlineStr">
        <is>
          <t>Oil</t>
        </is>
      </c>
      <c r="C146" s="3" t="inlineStr">
        <is>
          <t>DIESEL</t>
        </is>
      </c>
      <c r="D146" s="3" t="inlineStr">
        <is>
          <t>INSEE BDM 010002076: Cours des matières premières importées - Gazole à faible teneur en soufre - Prix en euros par tonne - CAF - 1% de soufre</t>
        </is>
      </c>
      <c r="E146" s="3" t="inlineStr">
        <is>
          <t>L</t>
        </is>
      </c>
      <c r="F146" s="3" t="n">
        <v>1.62</v>
      </c>
      <c r="G146" s="3" t="inlineStr">
        <is>
          <t>2023-10</t>
        </is>
      </c>
      <c r="H146" s="3" t="n">
        <v>3.7586</v>
      </c>
    </row>
    <row r="147" ht="20" customHeight="1">
      <c r="A147" s="3" t="inlineStr">
        <is>
          <t>Delivery fuel</t>
        </is>
      </c>
      <c r="B147" s="3" t="inlineStr">
        <is>
          <t>Oil</t>
        </is>
      </c>
      <c r="C147" s="3" t="inlineStr">
        <is>
          <t>DIESEL</t>
        </is>
      </c>
      <c r="D147" s="3" t="inlineStr">
        <is>
          <t>INSEE BDM 010002076: Cours des matières premières importées - Gazole à faible teneur en soufre - Prix en euros par tonne - CAF - 1% de soufre</t>
        </is>
      </c>
      <c r="E147" s="3" t="inlineStr">
        <is>
          <t>L</t>
        </is>
      </c>
      <c r="F147" s="3" t="n">
        <v>1.62</v>
      </c>
      <c r="G147" s="3" t="inlineStr">
        <is>
          <t>2023-11</t>
        </is>
      </c>
      <c r="H147" s="3" t="n">
        <v>3.3966</v>
      </c>
    </row>
    <row r="148" ht="20" customHeight="1">
      <c r="A148" s="3" t="inlineStr">
        <is>
          <t>Delivery fuel</t>
        </is>
      </c>
      <c r="B148" s="3" t="inlineStr">
        <is>
          <t>Oil</t>
        </is>
      </c>
      <c r="C148" s="3" t="inlineStr">
        <is>
          <t>DIESEL</t>
        </is>
      </c>
      <c r="D148" s="3" t="inlineStr">
        <is>
          <t>INSEE BDM 010002076: Cours des matières premières importées - Gazole à faible teneur en soufre - Prix en euros par tonne - CAF - 1% de soufre</t>
        </is>
      </c>
      <c r="E148" s="3" t="inlineStr">
        <is>
          <t>L</t>
        </is>
      </c>
      <c r="F148" s="3" t="n">
        <v>1.62</v>
      </c>
      <c r="G148" s="3" t="inlineStr">
        <is>
          <t>2023-12</t>
        </is>
      </c>
      <c r="H148" s="3" t="n">
        <v>3.1353</v>
      </c>
    </row>
    <row r="149" ht="20" customHeight="1">
      <c r="A149" s="3" t="inlineStr">
        <is>
          <t>Electricity for CNC, saws and dust extraction</t>
        </is>
      </c>
      <c r="B149" s="3" t="inlineStr">
        <is>
          <t>Electricity</t>
        </is>
      </c>
      <c r="C149" s="3" t="inlineStr">
        <is>
          <t>ELECTRICITY</t>
        </is>
      </c>
      <c r="D149" s="3" t="inlineStr">
        <is>
          <t>INSEE BDM 010777317: Indice mensuel des prix d'achat des moyens de production agricole (IPAMPA) - Electricité</t>
        </is>
      </c>
      <c r="E149" s="3" t="inlineStr">
        <is>
          <t>kWh</t>
        </is>
      </c>
      <c r="F149" s="3" t="n">
        <v>0.16</v>
      </c>
      <c r="G149" s="3" t="inlineStr">
        <is>
          <t>2021-01</t>
        </is>
      </c>
      <c r="H149" s="3" t="n">
        <v>0.16</v>
      </c>
    </row>
    <row r="150" ht="20" customHeight="1">
      <c r="A150" s="3" t="inlineStr">
        <is>
          <t>Electricity for CNC, saws and dust extraction</t>
        </is>
      </c>
      <c r="B150" s="3" t="inlineStr">
        <is>
          <t>Electricity</t>
        </is>
      </c>
      <c r="C150" s="3" t="inlineStr">
        <is>
          <t>ELECTRICITY</t>
        </is>
      </c>
      <c r="D150" s="3" t="inlineStr">
        <is>
          <t>INSEE BDM 010777317: Indice mensuel des prix d'achat des moyens de production agricole (IPAMPA) - Electricité</t>
        </is>
      </c>
      <c r="E150" s="3" t="inlineStr">
        <is>
          <t>kWh</t>
        </is>
      </c>
      <c r="F150" s="3" t="n">
        <v>0.16</v>
      </c>
      <c r="G150" s="3" t="inlineStr">
        <is>
          <t>2021-02</t>
        </is>
      </c>
      <c r="H150" s="3" t="n">
        <v>0.1624</v>
      </c>
    </row>
    <row r="151" ht="20" customHeight="1">
      <c r="A151" s="3" t="inlineStr">
        <is>
          <t>Electricity for CNC, saws and dust extraction</t>
        </is>
      </c>
      <c r="B151" s="3" t="inlineStr">
        <is>
          <t>Electricity</t>
        </is>
      </c>
      <c r="C151" s="3" t="inlineStr">
        <is>
          <t>ELECTRICITY</t>
        </is>
      </c>
      <c r="D151" s="3" t="inlineStr">
        <is>
          <t>INSEE BDM 010777317: Indice mensuel des prix d'achat des moyens de production agricole (IPAMPA) - Electricité</t>
        </is>
      </c>
      <c r="E151" s="3" t="inlineStr">
        <is>
          <t>kWh</t>
        </is>
      </c>
      <c r="F151" s="3" t="n">
        <v>0.16</v>
      </c>
      <c r="G151" s="3" t="inlineStr">
        <is>
          <t>2021-03</t>
        </is>
      </c>
      <c r="H151" s="3" t="n">
        <v>0.1624</v>
      </c>
    </row>
    <row r="152" ht="20" customHeight="1">
      <c r="A152" s="3" t="inlineStr">
        <is>
          <t>Electricity for CNC, saws and dust extraction</t>
        </is>
      </c>
      <c r="B152" s="3" t="inlineStr">
        <is>
          <t>Electricity</t>
        </is>
      </c>
      <c r="C152" s="3" t="inlineStr">
        <is>
          <t>ELECTRICITY</t>
        </is>
      </c>
      <c r="D152" s="3" t="inlineStr">
        <is>
          <t>INSEE BDM 010777317: Indice mensuel des prix d'achat des moyens de production agricole (IPAMPA) - Electricité</t>
        </is>
      </c>
      <c r="E152" s="3" t="inlineStr">
        <is>
          <t>kWh</t>
        </is>
      </c>
      <c r="F152" s="3" t="n">
        <v>0.16</v>
      </c>
      <c r="G152" s="3" t="inlineStr">
        <is>
          <t>2021-04</t>
        </is>
      </c>
      <c r="H152" s="3" t="n">
        <v>0.1624</v>
      </c>
    </row>
    <row r="153" ht="20" customHeight="1">
      <c r="A153" s="3" t="inlineStr">
        <is>
          <t>Electricity for CNC, saws and dust extraction</t>
        </is>
      </c>
      <c r="B153" s="3" t="inlineStr">
        <is>
          <t>Electricity</t>
        </is>
      </c>
      <c r="C153" s="3" t="inlineStr">
        <is>
          <t>ELECTRICITY</t>
        </is>
      </c>
      <c r="D153" s="3" t="inlineStr">
        <is>
          <t>INSEE BDM 010777317: Indice mensuel des prix d'achat des moyens de production agricole (IPAMPA) - Electricité</t>
        </is>
      </c>
      <c r="E153" s="3" t="inlineStr">
        <is>
          <t>kWh</t>
        </is>
      </c>
      <c r="F153" s="3" t="n">
        <v>0.16</v>
      </c>
      <c r="G153" s="3" t="inlineStr">
        <is>
          <t>2021-05</t>
        </is>
      </c>
      <c r="H153" s="3" t="n">
        <v>0.1625</v>
      </c>
    </row>
    <row r="154" ht="20" customHeight="1">
      <c r="A154" s="3" t="inlineStr">
        <is>
          <t>Electricity for CNC, saws and dust extraction</t>
        </is>
      </c>
      <c r="B154" s="3" t="inlineStr">
        <is>
          <t>Electricity</t>
        </is>
      </c>
      <c r="C154" s="3" t="inlineStr">
        <is>
          <t>ELECTRICITY</t>
        </is>
      </c>
      <c r="D154" s="3" t="inlineStr">
        <is>
          <t>INSEE BDM 010777317: Indice mensuel des prix d'achat des moyens de production agricole (IPAMPA) - Electricité</t>
        </is>
      </c>
      <c r="E154" s="3" t="inlineStr">
        <is>
          <t>kWh</t>
        </is>
      </c>
      <c r="F154" s="3" t="n">
        <v>0.16</v>
      </c>
      <c r="G154" s="3" t="inlineStr">
        <is>
          <t>2021-06</t>
        </is>
      </c>
      <c r="H154" s="3" t="n">
        <v>0.1625</v>
      </c>
    </row>
    <row r="155" ht="20" customHeight="1">
      <c r="A155" s="3" t="inlineStr">
        <is>
          <t>Electricity for CNC, saws and dust extraction</t>
        </is>
      </c>
      <c r="B155" s="3" t="inlineStr">
        <is>
          <t>Electricity</t>
        </is>
      </c>
      <c r="C155" s="3" t="inlineStr">
        <is>
          <t>ELECTRICITY</t>
        </is>
      </c>
      <c r="D155" s="3" t="inlineStr">
        <is>
          <t>INSEE BDM 010777317: Indice mensuel des prix d'achat des moyens de production agricole (IPAMPA) - Electricité</t>
        </is>
      </c>
      <c r="E155" s="3" t="inlineStr">
        <is>
          <t>kWh</t>
        </is>
      </c>
      <c r="F155" s="3" t="n">
        <v>0.16</v>
      </c>
      <c r="G155" s="3" t="inlineStr">
        <is>
          <t>2021-07</t>
        </is>
      </c>
      <c r="H155" s="3" t="n">
        <v>0.1625</v>
      </c>
    </row>
    <row r="156" ht="20" customHeight="1">
      <c r="A156" s="3" t="inlineStr">
        <is>
          <t>Electricity for CNC, saws and dust extraction</t>
        </is>
      </c>
      <c r="B156" s="3" t="inlineStr">
        <is>
          <t>Electricity</t>
        </is>
      </c>
      <c r="C156" s="3" t="inlineStr">
        <is>
          <t>ELECTRICITY</t>
        </is>
      </c>
      <c r="D156" s="3" t="inlineStr">
        <is>
          <t>INSEE BDM 010777317: Indice mensuel des prix d'achat des moyens de production agricole (IPAMPA) - Electricité</t>
        </is>
      </c>
      <c r="E156" s="3" t="inlineStr">
        <is>
          <t>kWh</t>
        </is>
      </c>
      <c r="F156" s="3" t="n">
        <v>0.16</v>
      </c>
      <c r="G156" s="3" t="inlineStr">
        <is>
          <t>2021-08</t>
        </is>
      </c>
      <c r="H156" s="3" t="n">
        <v>0.1635</v>
      </c>
    </row>
    <row r="157" ht="20" customHeight="1">
      <c r="A157" s="3" t="inlineStr">
        <is>
          <t>Electricity for CNC, saws and dust extraction</t>
        </is>
      </c>
      <c r="B157" s="3" t="inlineStr">
        <is>
          <t>Electricity</t>
        </is>
      </c>
      <c r="C157" s="3" t="inlineStr">
        <is>
          <t>ELECTRICITY</t>
        </is>
      </c>
      <c r="D157" s="3" t="inlineStr">
        <is>
          <t>INSEE BDM 010777317: Indice mensuel des prix d'achat des moyens de production agricole (IPAMPA) - Electricité</t>
        </is>
      </c>
      <c r="E157" s="3" t="inlineStr">
        <is>
          <t>kWh</t>
        </is>
      </c>
      <c r="F157" s="3" t="n">
        <v>0.16</v>
      </c>
      <c r="G157" s="3" t="inlineStr">
        <is>
          <t>2021-09</t>
        </is>
      </c>
      <c r="H157" s="3" t="n">
        <v>0.1635</v>
      </c>
    </row>
    <row r="158" ht="20" customHeight="1">
      <c r="A158" s="3" t="inlineStr">
        <is>
          <t>Electricity for CNC, saws and dust extraction</t>
        </is>
      </c>
      <c r="B158" s="3" t="inlineStr">
        <is>
          <t>Electricity</t>
        </is>
      </c>
      <c r="C158" s="3" t="inlineStr">
        <is>
          <t>ELECTRICITY</t>
        </is>
      </c>
      <c r="D158" s="3" t="inlineStr">
        <is>
          <t>INSEE BDM 010777317: Indice mensuel des prix d'achat des moyens de production agricole (IPAMPA) - Electricité</t>
        </is>
      </c>
      <c r="E158" s="3" t="inlineStr">
        <is>
          <t>kWh</t>
        </is>
      </c>
      <c r="F158" s="3" t="n">
        <v>0.16</v>
      </c>
      <c r="G158" s="3" t="inlineStr">
        <is>
          <t>2021-10</t>
        </is>
      </c>
      <c r="H158" s="3" t="n">
        <v>0.164</v>
      </c>
    </row>
    <row r="159" ht="20" customHeight="1">
      <c r="A159" s="3" t="inlineStr">
        <is>
          <t>Electricity for CNC, saws and dust extraction</t>
        </is>
      </c>
      <c r="B159" s="3" t="inlineStr">
        <is>
          <t>Electricity</t>
        </is>
      </c>
      <c r="C159" s="3" t="inlineStr">
        <is>
          <t>ELECTRICITY</t>
        </is>
      </c>
      <c r="D159" s="3" t="inlineStr">
        <is>
          <t>INSEE BDM 010777317: Indice mensuel des prix d'achat des moyens de production agricole (IPAMPA) - Electricité</t>
        </is>
      </c>
      <c r="E159" s="3" t="inlineStr">
        <is>
          <t>kWh</t>
        </is>
      </c>
      <c r="F159" s="3" t="n">
        <v>0.16</v>
      </c>
      <c r="G159" s="3" t="inlineStr">
        <is>
          <t>2021-11</t>
        </is>
      </c>
      <c r="H159" s="3" t="n">
        <v>0.1651</v>
      </c>
    </row>
    <row r="160" ht="20" customHeight="1">
      <c r="A160" s="3" t="inlineStr">
        <is>
          <t>Electricity for CNC, saws and dust extraction</t>
        </is>
      </c>
      <c r="B160" s="3" t="inlineStr">
        <is>
          <t>Electricity</t>
        </is>
      </c>
      <c r="C160" s="3" t="inlineStr">
        <is>
          <t>ELECTRICITY</t>
        </is>
      </c>
      <c r="D160" s="3" t="inlineStr">
        <is>
          <t>INSEE BDM 010777317: Indice mensuel des prix d'achat des moyens de production agricole (IPAMPA) - Electricité</t>
        </is>
      </c>
      <c r="E160" s="3" t="inlineStr">
        <is>
          <t>kWh</t>
        </is>
      </c>
      <c r="F160" s="3" t="n">
        <v>0.16</v>
      </c>
      <c r="G160" s="3" t="inlineStr">
        <is>
          <t>2021-12</t>
        </is>
      </c>
      <c r="H160" s="3" t="n">
        <v>0.1647</v>
      </c>
    </row>
    <row r="161" ht="20" customHeight="1">
      <c r="A161" s="3" t="inlineStr">
        <is>
          <t>Electricity for CNC, saws and dust extraction</t>
        </is>
      </c>
      <c r="B161" s="3" t="inlineStr">
        <is>
          <t>Electricity</t>
        </is>
      </c>
      <c r="C161" s="3" t="inlineStr">
        <is>
          <t>ELECTRICITY</t>
        </is>
      </c>
      <c r="D161" s="3" t="inlineStr">
        <is>
          <t>INSEE BDM 010777317: Indice mensuel des prix d'achat des moyens de production agricole (IPAMPA) - Electricité</t>
        </is>
      </c>
      <c r="E161" s="3" t="inlineStr">
        <is>
          <t>kWh</t>
        </is>
      </c>
      <c r="F161" s="3" t="n">
        <v>0.16</v>
      </c>
      <c r="G161" s="3" t="inlineStr">
        <is>
          <t>2022-01</t>
        </is>
      </c>
      <c r="H161" s="3" t="n">
        <v>0.1662</v>
      </c>
    </row>
    <row r="162" ht="20" customHeight="1">
      <c r="A162" s="3" t="inlineStr">
        <is>
          <t>Electricity for CNC, saws and dust extraction</t>
        </is>
      </c>
      <c r="B162" s="3" t="inlineStr">
        <is>
          <t>Electricity</t>
        </is>
      </c>
      <c r="C162" s="3" t="inlineStr">
        <is>
          <t>ELECTRICITY</t>
        </is>
      </c>
      <c r="D162" s="3" t="inlineStr">
        <is>
          <t>INSEE BDM 010777317: Indice mensuel des prix d'achat des moyens de production agricole (IPAMPA) - Electricité</t>
        </is>
      </c>
      <c r="E162" s="3" t="inlineStr">
        <is>
          <t>kWh</t>
        </is>
      </c>
      <c r="F162" s="3" t="n">
        <v>0.16</v>
      </c>
      <c r="G162" s="3" t="inlineStr">
        <is>
          <t>2022-02</t>
        </is>
      </c>
      <c r="H162" s="3" t="n">
        <v>0.1703</v>
      </c>
    </row>
    <row r="163" ht="20" customHeight="1">
      <c r="A163" s="3" t="inlineStr">
        <is>
          <t>Electricity for CNC, saws and dust extraction</t>
        </is>
      </c>
      <c r="B163" s="3" t="inlineStr">
        <is>
          <t>Electricity</t>
        </is>
      </c>
      <c r="C163" s="3" t="inlineStr">
        <is>
          <t>ELECTRICITY</t>
        </is>
      </c>
      <c r="D163" s="3" t="inlineStr">
        <is>
          <t>INSEE BDM 010777317: Indice mensuel des prix d'achat des moyens de production agricole (IPAMPA) - Electricité</t>
        </is>
      </c>
      <c r="E163" s="3" t="inlineStr">
        <is>
          <t>kWh</t>
        </is>
      </c>
      <c r="F163" s="3" t="n">
        <v>0.16</v>
      </c>
      <c r="G163" s="3" t="inlineStr">
        <is>
          <t>2022-03</t>
        </is>
      </c>
      <c r="H163" s="3" t="n">
        <v>0.1722</v>
      </c>
    </row>
    <row r="164" ht="20" customHeight="1">
      <c r="A164" s="3" t="inlineStr">
        <is>
          <t>Electricity for CNC, saws and dust extraction</t>
        </is>
      </c>
      <c r="B164" s="3" t="inlineStr">
        <is>
          <t>Electricity</t>
        </is>
      </c>
      <c r="C164" s="3" t="inlineStr">
        <is>
          <t>ELECTRICITY</t>
        </is>
      </c>
      <c r="D164" s="3" t="inlineStr">
        <is>
          <t>INSEE BDM 010777317: Indice mensuel des prix d'achat des moyens de production agricole (IPAMPA) - Electricité</t>
        </is>
      </c>
      <c r="E164" s="3" t="inlineStr">
        <is>
          <t>kWh</t>
        </is>
      </c>
      <c r="F164" s="3" t="n">
        <v>0.16</v>
      </c>
      <c r="G164" s="3" t="inlineStr">
        <is>
          <t>2022-04</t>
        </is>
      </c>
      <c r="H164" s="3" t="n">
        <v>0.1736</v>
      </c>
    </row>
    <row r="165" ht="20" customHeight="1">
      <c r="A165" s="3" t="inlineStr">
        <is>
          <t>Electricity for CNC, saws and dust extraction</t>
        </is>
      </c>
      <c r="B165" s="3" t="inlineStr">
        <is>
          <t>Electricity</t>
        </is>
      </c>
      <c r="C165" s="3" t="inlineStr">
        <is>
          <t>ELECTRICITY</t>
        </is>
      </c>
      <c r="D165" s="3" t="inlineStr">
        <is>
          <t>INSEE BDM 010777317: Indice mensuel des prix d'achat des moyens de production agricole (IPAMPA) - Electricité</t>
        </is>
      </c>
      <c r="E165" s="3" t="inlineStr">
        <is>
          <t>kWh</t>
        </is>
      </c>
      <c r="F165" s="3" t="n">
        <v>0.16</v>
      </c>
      <c r="G165" s="3" t="inlineStr">
        <is>
          <t>2022-05</t>
        </is>
      </c>
      <c r="H165" s="3" t="n">
        <v>0.173</v>
      </c>
    </row>
    <row r="166" ht="20" customHeight="1">
      <c r="A166" s="3" t="inlineStr">
        <is>
          <t>Electricity for CNC, saws and dust extraction</t>
        </is>
      </c>
      <c r="B166" s="3" t="inlineStr">
        <is>
          <t>Electricity</t>
        </is>
      </c>
      <c r="C166" s="3" t="inlineStr">
        <is>
          <t>ELECTRICITY</t>
        </is>
      </c>
      <c r="D166" s="3" t="inlineStr">
        <is>
          <t>INSEE BDM 010777317: Indice mensuel des prix d'achat des moyens de production agricole (IPAMPA) - Electricité</t>
        </is>
      </c>
      <c r="E166" s="3" t="inlineStr">
        <is>
          <t>kWh</t>
        </is>
      </c>
      <c r="F166" s="3" t="n">
        <v>0.16</v>
      </c>
      <c r="G166" s="3" t="inlineStr">
        <is>
          <t>2022-06</t>
        </is>
      </c>
      <c r="H166" s="3" t="n">
        <v>0.1749</v>
      </c>
    </row>
    <row r="167" ht="20" customHeight="1">
      <c r="A167" s="3" t="inlineStr">
        <is>
          <t>Electricity for CNC, saws and dust extraction</t>
        </is>
      </c>
      <c r="B167" s="3" t="inlineStr">
        <is>
          <t>Electricity</t>
        </is>
      </c>
      <c r="C167" s="3" t="inlineStr">
        <is>
          <t>ELECTRICITY</t>
        </is>
      </c>
      <c r="D167" s="3" t="inlineStr">
        <is>
          <t>INSEE BDM 010777317: Indice mensuel des prix d'achat des moyens de production agricole (IPAMPA) - Electricité</t>
        </is>
      </c>
      <c r="E167" s="3" t="inlineStr">
        <is>
          <t>kWh</t>
        </is>
      </c>
      <c r="F167" s="3" t="n">
        <v>0.16</v>
      </c>
      <c r="G167" s="3" t="inlineStr">
        <is>
          <t>2022-07</t>
        </is>
      </c>
      <c r="H167" s="3" t="n">
        <v>0.176</v>
      </c>
    </row>
    <row r="168" ht="20" customHeight="1">
      <c r="A168" s="3" t="inlineStr">
        <is>
          <t>Electricity for CNC, saws and dust extraction</t>
        </is>
      </c>
      <c r="B168" s="3" t="inlineStr">
        <is>
          <t>Electricity</t>
        </is>
      </c>
      <c r="C168" s="3" t="inlineStr">
        <is>
          <t>ELECTRICITY</t>
        </is>
      </c>
      <c r="D168" s="3" t="inlineStr">
        <is>
          <t>INSEE BDM 010777317: Indice mensuel des prix d'achat des moyens de production agricole (IPAMPA) - Electricité</t>
        </is>
      </c>
      <c r="E168" s="3" t="inlineStr">
        <is>
          <t>kWh</t>
        </is>
      </c>
      <c r="F168" s="3" t="n">
        <v>0.16</v>
      </c>
      <c r="G168" s="3" t="inlineStr">
        <is>
          <t>2022-08</t>
        </is>
      </c>
      <c r="H168" s="3" t="n">
        <v>0.1761</v>
      </c>
    </row>
    <row r="169" ht="20" customHeight="1">
      <c r="A169" s="3" t="inlineStr">
        <is>
          <t>Electricity for CNC, saws and dust extraction</t>
        </is>
      </c>
      <c r="B169" s="3" t="inlineStr">
        <is>
          <t>Electricity</t>
        </is>
      </c>
      <c r="C169" s="3" t="inlineStr">
        <is>
          <t>ELECTRICITY</t>
        </is>
      </c>
      <c r="D169" s="3" t="inlineStr">
        <is>
          <t>INSEE BDM 010777317: Indice mensuel des prix d'achat des moyens de production agricole (IPAMPA) - Electricité</t>
        </is>
      </c>
      <c r="E169" s="3" t="inlineStr">
        <is>
          <t>kWh</t>
        </is>
      </c>
      <c r="F169" s="3" t="n">
        <v>0.16</v>
      </c>
      <c r="G169" s="3" t="inlineStr">
        <is>
          <t>2022-09</t>
        </is>
      </c>
      <c r="H169" s="3" t="n">
        <v>0.1809</v>
      </c>
    </row>
    <row r="170" ht="20" customHeight="1">
      <c r="A170" s="3" t="inlineStr">
        <is>
          <t>Electricity for CNC, saws and dust extraction</t>
        </is>
      </c>
      <c r="B170" s="3" t="inlineStr">
        <is>
          <t>Electricity</t>
        </is>
      </c>
      <c r="C170" s="3" t="inlineStr">
        <is>
          <t>ELECTRICITY</t>
        </is>
      </c>
      <c r="D170" s="3" t="inlineStr">
        <is>
          <t>INSEE BDM 010777317: Indice mensuel des prix d'achat des moyens de production agricole (IPAMPA) - Electricité</t>
        </is>
      </c>
      <c r="E170" s="3" t="inlineStr">
        <is>
          <t>kWh</t>
        </is>
      </c>
      <c r="F170" s="3" t="n">
        <v>0.16</v>
      </c>
      <c r="G170" s="3" t="inlineStr">
        <is>
          <t>2022-10</t>
        </is>
      </c>
      <c r="H170" s="3" t="n">
        <v>0.1784</v>
      </c>
    </row>
    <row r="171" ht="20" customHeight="1">
      <c r="A171" s="3" t="inlineStr">
        <is>
          <t>Electricity for CNC, saws and dust extraction</t>
        </is>
      </c>
      <c r="B171" s="3" t="inlineStr">
        <is>
          <t>Electricity</t>
        </is>
      </c>
      <c r="C171" s="3" t="inlineStr">
        <is>
          <t>ELECTRICITY</t>
        </is>
      </c>
      <c r="D171" s="3" t="inlineStr">
        <is>
          <t>INSEE BDM 010777317: Indice mensuel des prix d'achat des moyens de production agricole (IPAMPA) - Electricité</t>
        </is>
      </c>
      <c r="E171" s="3" t="inlineStr">
        <is>
          <t>kWh</t>
        </is>
      </c>
      <c r="F171" s="3" t="n">
        <v>0.16</v>
      </c>
      <c r="G171" s="3" t="inlineStr">
        <is>
          <t>2022-11</t>
        </is>
      </c>
      <c r="H171" s="3" t="n">
        <v>0.1814</v>
      </c>
    </row>
    <row r="172" ht="20" customHeight="1">
      <c r="A172" s="3" t="inlineStr">
        <is>
          <t>Electricity for CNC, saws and dust extraction</t>
        </is>
      </c>
      <c r="B172" s="3" t="inlineStr">
        <is>
          <t>Electricity</t>
        </is>
      </c>
      <c r="C172" s="3" t="inlineStr">
        <is>
          <t>ELECTRICITY</t>
        </is>
      </c>
      <c r="D172" s="3" t="inlineStr">
        <is>
          <t>INSEE BDM 010777317: Indice mensuel des prix d'achat des moyens de production agricole (IPAMPA) - Electricité</t>
        </is>
      </c>
      <c r="E172" s="3" t="inlineStr">
        <is>
          <t>kWh</t>
        </is>
      </c>
      <c r="F172" s="3" t="n">
        <v>0.16</v>
      </c>
      <c r="G172" s="3" t="inlineStr">
        <is>
          <t>2022-12</t>
        </is>
      </c>
      <c r="H172" s="3" t="n">
        <v>0.1768</v>
      </c>
    </row>
    <row r="173" ht="20" customHeight="1">
      <c r="A173" s="3" t="inlineStr">
        <is>
          <t>Electricity for CNC, saws and dust extraction</t>
        </is>
      </c>
      <c r="B173" s="3" t="inlineStr">
        <is>
          <t>Electricity</t>
        </is>
      </c>
      <c r="C173" s="3" t="inlineStr">
        <is>
          <t>ELECTRICITY</t>
        </is>
      </c>
      <c r="D173" s="3" t="inlineStr">
        <is>
          <t>INSEE BDM 010777317: Indice mensuel des prix d'achat des moyens de production agricole (IPAMPA) - Electricité</t>
        </is>
      </c>
      <c r="E173" s="3" t="inlineStr">
        <is>
          <t>kWh</t>
        </is>
      </c>
      <c r="F173" s="3" t="n">
        <v>0.16</v>
      </c>
      <c r="G173" s="3" t="inlineStr">
        <is>
          <t>2023-01</t>
        </is>
      </c>
      <c r="H173" s="3" t="n">
        <v>0.1714</v>
      </c>
    </row>
    <row r="174" ht="20" customHeight="1">
      <c r="A174" s="3" t="inlineStr">
        <is>
          <t>Electricity for CNC, saws and dust extraction</t>
        </is>
      </c>
      <c r="B174" s="3" t="inlineStr">
        <is>
          <t>Electricity</t>
        </is>
      </c>
      <c r="C174" s="3" t="inlineStr">
        <is>
          <t>ELECTRICITY</t>
        </is>
      </c>
      <c r="D174" s="3" t="inlineStr">
        <is>
          <t>INSEE BDM 010777317: Indice mensuel des prix d'achat des moyens de production agricole (IPAMPA) - Electricité</t>
        </is>
      </c>
      <c r="E174" s="3" t="inlineStr">
        <is>
          <t>kWh</t>
        </is>
      </c>
      <c r="F174" s="3" t="n">
        <v>0.16</v>
      </c>
      <c r="G174" s="3" t="inlineStr">
        <is>
          <t>2023-02</t>
        </is>
      </c>
      <c r="H174" s="3" t="n">
        <v>0.1875</v>
      </c>
    </row>
    <row r="175" ht="20" customHeight="1">
      <c r="A175" s="3" t="inlineStr">
        <is>
          <t>Electricity for CNC, saws and dust extraction</t>
        </is>
      </c>
      <c r="B175" s="3" t="inlineStr">
        <is>
          <t>Electricity</t>
        </is>
      </c>
      <c r="C175" s="3" t="inlineStr">
        <is>
          <t>ELECTRICITY</t>
        </is>
      </c>
      <c r="D175" s="3" t="inlineStr">
        <is>
          <t>INSEE BDM 010777317: Indice mensuel des prix d'achat des moyens de production agricole (IPAMPA) - Electricité</t>
        </is>
      </c>
      <c r="E175" s="3" t="inlineStr">
        <is>
          <t>kWh</t>
        </is>
      </c>
      <c r="F175" s="3" t="n">
        <v>0.16</v>
      </c>
      <c r="G175" s="3" t="inlineStr">
        <is>
          <t>2023-03</t>
        </is>
      </c>
      <c r="H175" s="3" t="n">
        <v>0.1912</v>
      </c>
    </row>
    <row r="176" ht="20" customHeight="1">
      <c r="A176" s="3" t="inlineStr">
        <is>
          <t>Electricity for CNC, saws and dust extraction</t>
        </is>
      </c>
      <c r="B176" s="3" t="inlineStr">
        <is>
          <t>Electricity</t>
        </is>
      </c>
      <c r="C176" s="3" t="inlineStr">
        <is>
          <t>ELECTRICITY</t>
        </is>
      </c>
      <c r="D176" s="3" t="inlineStr">
        <is>
          <t>INSEE BDM 010777317: Indice mensuel des prix d'achat des moyens de production agricole (IPAMPA) - Electricité</t>
        </is>
      </c>
      <c r="E176" s="3" t="inlineStr">
        <is>
          <t>kWh</t>
        </is>
      </c>
      <c r="F176" s="3" t="n">
        <v>0.16</v>
      </c>
      <c r="G176" s="3" t="inlineStr">
        <is>
          <t>2023-04</t>
        </is>
      </c>
      <c r="H176" s="3" t="n">
        <v>0.1931</v>
      </c>
    </row>
    <row r="177" ht="20" customHeight="1">
      <c r="A177" s="3" t="inlineStr">
        <is>
          <t>Electricity for CNC, saws and dust extraction</t>
        </is>
      </c>
      <c r="B177" s="3" t="inlineStr">
        <is>
          <t>Electricity</t>
        </is>
      </c>
      <c r="C177" s="3" t="inlineStr">
        <is>
          <t>ELECTRICITY</t>
        </is>
      </c>
      <c r="D177" s="3" t="inlineStr">
        <is>
          <t>INSEE BDM 010777317: Indice mensuel des prix d'achat des moyens de production agricole (IPAMPA) - Electricité</t>
        </is>
      </c>
      <c r="E177" s="3" t="inlineStr">
        <is>
          <t>kWh</t>
        </is>
      </c>
      <c r="F177" s="3" t="n">
        <v>0.16</v>
      </c>
      <c r="G177" s="3" t="inlineStr">
        <is>
          <t>2023-05</t>
        </is>
      </c>
      <c r="H177" s="3" t="n">
        <v>0.1926</v>
      </c>
    </row>
    <row r="178" ht="20" customHeight="1">
      <c r="A178" s="3" t="inlineStr">
        <is>
          <t>Electricity for CNC, saws and dust extraction</t>
        </is>
      </c>
      <c r="B178" s="3" t="inlineStr">
        <is>
          <t>Electricity</t>
        </is>
      </c>
      <c r="C178" s="3" t="inlineStr">
        <is>
          <t>ELECTRICITY</t>
        </is>
      </c>
      <c r="D178" s="3" t="inlineStr">
        <is>
          <t>INSEE BDM 010777317: Indice mensuel des prix d'achat des moyens de production agricole (IPAMPA) - Electricité</t>
        </is>
      </c>
      <c r="E178" s="3" t="inlineStr">
        <is>
          <t>kWh</t>
        </is>
      </c>
      <c r="F178" s="3" t="n">
        <v>0.16</v>
      </c>
      <c r="G178" s="3" t="inlineStr">
        <is>
          <t>2023-06</t>
        </is>
      </c>
      <c r="H178" s="3" t="n">
        <v>0.1924</v>
      </c>
    </row>
    <row r="179" ht="20" customHeight="1">
      <c r="A179" s="3" t="inlineStr">
        <is>
          <t>Electricity for CNC, saws and dust extraction</t>
        </is>
      </c>
      <c r="B179" s="3" t="inlineStr">
        <is>
          <t>Electricity</t>
        </is>
      </c>
      <c r="C179" s="3" t="inlineStr">
        <is>
          <t>ELECTRICITY</t>
        </is>
      </c>
      <c r="D179" s="3" t="inlineStr">
        <is>
          <t>INSEE BDM 010777317: Indice mensuel des prix d'achat des moyens de production agricole (IPAMPA) - Electricité</t>
        </is>
      </c>
      <c r="E179" s="3" t="inlineStr">
        <is>
          <t>kWh</t>
        </is>
      </c>
      <c r="F179" s="3" t="n">
        <v>0.16</v>
      </c>
      <c r="G179" s="3" t="inlineStr">
        <is>
          <t>2023-07</t>
        </is>
      </c>
      <c r="H179" s="3" t="n">
        <v>0.1924</v>
      </c>
    </row>
    <row r="180" ht="20" customHeight="1">
      <c r="A180" s="3" t="inlineStr">
        <is>
          <t>Electricity for CNC, saws and dust extraction</t>
        </is>
      </c>
      <c r="B180" s="3" t="inlineStr">
        <is>
          <t>Electricity</t>
        </is>
      </c>
      <c r="C180" s="3" t="inlineStr">
        <is>
          <t>ELECTRICITY</t>
        </is>
      </c>
      <c r="D180" s="3" t="inlineStr">
        <is>
          <t>INSEE BDM 010777317: Indice mensuel des prix d'achat des moyens de production agricole (IPAMPA) - Electricité</t>
        </is>
      </c>
      <c r="E180" s="3" t="inlineStr">
        <is>
          <t>kWh</t>
        </is>
      </c>
      <c r="F180" s="3" t="n">
        <v>0.16</v>
      </c>
      <c r="G180" s="3" t="inlineStr">
        <is>
          <t>2023-08</t>
        </is>
      </c>
      <c r="H180" s="3" t="n">
        <v>0.2078</v>
      </c>
    </row>
    <row r="181" ht="20" customHeight="1">
      <c r="A181" s="3" t="inlineStr">
        <is>
          <t>Electricity for CNC, saws and dust extraction</t>
        </is>
      </c>
      <c r="B181" s="3" t="inlineStr">
        <is>
          <t>Electricity</t>
        </is>
      </c>
      <c r="C181" s="3" t="inlineStr">
        <is>
          <t>ELECTRICITY</t>
        </is>
      </c>
      <c r="D181" s="3" t="inlineStr">
        <is>
          <t>INSEE BDM 010777317: Indice mensuel des prix d'achat des moyens de production agricole (IPAMPA) - Electricité</t>
        </is>
      </c>
      <c r="E181" s="3" t="inlineStr">
        <is>
          <t>kWh</t>
        </is>
      </c>
      <c r="F181" s="3" t="n">
        <v>0.16</v>
      </c>
      <c r="G181" s="3" t="inlineStr">
        <is>
          <t>2023-09</t>
        </is>
      </c>
      <c r="H181" s="3" t="n">
        <v>0.21</v>
      </c>
    </row>
    <row r="182" ht="20" customHeight="1">
      <c r="A182" s="3" t="inlineStr">
        <is>
          <t>Electricity for CNC, saws and dust extraction</t>
        </is>
      </c>
      <c r="B182" s="3" t="inlineStr">
        <is>
          <t>Electricity</t>
        </is>
      </c>
      <c r="C182" s="3" t="inlineStr">
        <is>
          <t>ELECTRICITY</t>
        </is>
      </c>
      <c r="D182" s="3" t="inlineStr">
        <is>
          <t>INSEE BDM 010777317: Indice mensuel des prix d'achat des moyens de production agricole (IPAMPA) - Electricité</t>
        </is>
      </c>
      <c r="E182" s="3" t="inlineStr">
        <is>
          <t>kWh</t>
        </is>
      </c>
      <c r="F182" s="3" t="n">
        <v>0.16</v>
      </c>
      <c r="G182" s="3" t="inlineStr">
        <is>
          <t>2023-10</t>
        </is>
      </c>
      <c r="H182" s="3" t="n">
        <v>0.2113</v>
      </c>
    </row>
    <row r="183" ht="20" customHeight="1">
      <c r="A183" s="3" t="inlineStr">
        <is>
          <t>Electricity for CNC, saws and dust extraction</t>
        </is>
      </c>
      <c r="B183" s="3" t="inlineStr">
        <is>
          <t>Electricity</t>
        </is>
      </c>
      <c r="C183" s="3" t="inlineStr">
        <is>
          <t>ELECTRICITY</t>
        </is>
      </c>
      <c r="D183" s="3" t="inlineStr">
        <is>
          <t>INSEE BDM 010777317: Indice mensuel des prix d'achat des moyens de production agricole (IPAMPA) - Electricité</t>
        </is>
      </c>
      <c r="E183" s="3" t="inlineStr">
        <is>
          <t>kWh</t>
        </is>
      </c>
      <c r="F183" s="3" t="n">
        <v>0.16</v>
      </c>
      <c r="G183" s="3" t="inlineStr">
        <is>
          <t>2023-11</t>
        </is>
      </c>
      <c r="H183" s="3" t="n">
        <v>0.2105</v>
      </c>
    </row>
    <row r="184" ht="20" customHeight="1">
      <c r="A184" s="3" t="inlineStr">
        <is>
          <t>Electricity for CNC, saws and dust extraction</t>
        </is>
      </c>
      <c r="B184" s="3" t="inlineStr">
        <is>
          <t>Electricity</t>
        </is>
      </c>
      <c r="C184" s="3" t="inlineStr">
        <is>
          <t>ELECTRICITY</t>
        </is>
      </c>
      <c r="D184" s="3" t="inlineStr">
        <is>
          <t>INSEE BDM 010777317: Indice mensuel des prix d'achat des moyens de production agricole (IPAMPA) - Electricité</t>
        </is>
      </c>
      <c r="E184" s="3" t="inlineStr">
        <is>
          <t>kWh</t>
        </is>
      </c>
      <c r="F184" s="3" t="n">
        <v>0.16</v>
      </c>
      <c r="G184" s="3" t="inlineStr">
        <is>
          <t>2023-12</t>
        </is>
      </c>
      <c r="H184" s="3" t="n">
        <v>0.2103</v>
      </c>
    </row>
    <row r="185" ht="20" customHeight="1">
      <c r="A185" s="3" t="inlineStr">
        <is>
          <t>Steel screws, brackets and structural hardware</t>
        </is>
      </c>
      <c r="B185" s="3" t="inlineStr">
        <is>
          <t>Steel</t>
        </is>
      </c>
      <c r="C185" s="3" t="inlineStr">
        <is>
          <t>IRON_ORE</t>
        </is>
      </c>
      <c r="D18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5" s="3" t="inlineStr">
        <is>
          <t>kg</t>
        </is>
      </c>
      <c r="F185" s="3" t="n">
        <v>0.95</v>
      </c>
      <c r="G185" s="3" t="inlineStr">
        <is>
          <t>2021-01</t>
        </is>
      </c>
      <c r="H185" s="3" t="n">
        <v>0.95</v>
      </c>
    </row>
    <row r="186" ht="20" customHeight="1">
      <c r="A186" s="3" t="inlineStr">
        <is>
          <t>Steel screws, brackets and structural hardware</t>
        </is>
      </c>
      <c r="B186" s="3" t="inlineStr">
        <is>
          <t>Steel</t>
        </is>
      </c>
      <c r="C186" s="3" t="inlineStr">
        <is>
          <t>IRON_ORE</t>
        </is>
      </c>
      <c r="D18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6" s="3" t="inlineStr">
        <is>
          <t>kg</t>
        </is>
      </c>
      <c r="F186" s="3" t="n">
        <v>0.95</v>
      </c>
      <c r="G186" s="3" t="inlineStr">
        <is>
          <t>2021-02</t>
        </is>
      </c>
      <c r="H186" s="3" t="n">
        <v>0.9175</v>
      </c>
    </row>
    <row r="187" ht="20" customHeight="1">
      <c r="A187" s="3" t="inlineStr">
        <is>
          <t>Steel screws, brackets and structural hardware</t>
        </is>
      </c>
      <c r="B187" s="3" t="inlineStr">
        <is>
          <t>Steel</t>
        </is>
      </c>
      <c r="C187" s="3" t="inlineStr">
        <is>
          <t>IRON_ORE</t>
        </is>
      </c>
      <c r="D18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7" s="3" t="inlineStr">
        <is>
          <t>kg</t>
        </is>
      </c>
      <c r="F187" s="3" t="n">
        <v>0.95</v>
      </c>
      <c r="G187" s="3" t="inlineStr">
        <is>
          <t>2021-03</t>
        </is>
      </c>
      <c r="H187" s="3" t="n">
        <v>0.9422</v>
      </c>
    </row>
    <row r="188" ht="20" customHeight="1">
      <c r="A188" s="3" t="inlineStr">
        <is>
          <t>Steel screws, brackets and structural hardware</t>
        </is>
      </c>
      <c r="B188" s="3" t="inlineStr">
        <is>
          <t>Steel</t>
        </is>
      </c>
      <c r="C188" s="3" t="inlineStr">
        <is>
          <t>IRON_ORE</t>
        </is>
      </c>
      <c r="D18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8" s="3" t="inlineStr">
        <is>
          <t>kg</t>
        </is>
      </c>
      <c r="F188" s="3" t="n">
        <v>0.95</v>
      </c>
      <c r="G188" s="3" t="inlineStr">
        <is>
          <t>2021-04</t>
        </is>
      </c>
      <c r="H188" s="3" t="n">
        <v>1.0071</v>
      </c>
    </row>
    <row r="189" ht="20" customHeight="1">
      <c r="A189" s="3" t="inlineStr">
        <is>
          <t>Steel screws, brackets and structural hardware</t>
        </is>
      </c>
      <c r="B189" s="3" t="inlineStr">
        <is>
          <t>Steel</t>
        </is>
      </c>
      <c r="C189" s="3" t="inlineStr">
        <is>
          <t>IRON_ORE</t>
        </is>
      </c>
      <c r="D18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9" s="3" t="inlineStr">
        <is>
          <t>kg</t>
        </is>
      </c>
      <c r="F189" s="3" t="n">
        <v>0.95</v>
      </c>
      <c r="G189" s="3" t="inlineStr">
        <is>
          <t>2021-05</t>
        </is>
      </c>
      <c r="H189" s="3" t="n">
        <v>1.1634</v>
      </c>
    </row>
    <row r="190" ht="20" customHeight="1">
      <c r="A190" s="3" t="inlineStr">
        <is>
          <t>Steel screws, brackets and structural hardware</t>
        </is>
      </c>
      <c r="B190" s="3" t="inlineStr">
        <is>
          <t>Steel</t>
        </is>
      </c>
      <c r="C190" s="3" t="inlineStr">
        <is>
          <t>IRON_ORE</t>
        </is>
      </c>
      <c r="D19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0" s="3" t="inlineStr">
        <is>
          <t>kg</t>
        </is>
      </c>
      <c r="F190" s="3" t="n">
        <v>0.95</v>
      </c>
      <c r="G190" s="3" t="inlineStr">
        <is>
          <t>2021-06</t>
        </is>
      </c>
      <c r="H190" s="3" t="n">
        <v>1.2009</v>
      </c>
    </row>
    <row r="191" ht="20" customHeight="1">
      <c r="A191" s="3" t="inlineStr">
        <is>
          <t>Steel screws, brackets and structural hardware</t>
        </is>
      </c>
      <c r="B191" s="3" t="inlineStr">
        <is>
          <t>Steel</t>
        </is>
      </c>
      <c r="C191" s="3" t="inlineStr">
        <is>
          <t>IRON_ORE</t>
        </is>
      </c>
      <c r="D19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1" s="3" t="inlineStr">
        <is>
          <t>kg</t>
        </is>
      </c>
      <c r="F191" s="3" t="n">
        <v>0.95</v>
      </c>
      <c r="G191" s="3" t="inlineStr">
        <is>
          <t>2021-07</t>
        </is>
      </c>
      <c r="H191" s="3" t="n">
        <v>1.1993</v>
      </c>
    </row>
    <row r="192" ht="20" customHeight="1">
      <c r="A192" s="3" t="inlineStr">
        <is>
          <t>Steel screws, brackets and structural hardware</t>
        </is>
      </c>
      <c r="B192" s="3" t="inlineStr">
        <is>
          <t>Steel</t>
        </is>
      </c>
      <c r="C192" s="3" t="inlineStr">
        <is>
          <t>IRON_ORE</t>
        </is>
      </c>
      <c r="D19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2" s="3" t="inlineStr">
        <is>
          <t>kg</t>
        </is>
      </c>
      <c r="F192" s="3" t="n">
        <v>0.95</v>
      </c>
      <c r="G192" s="3" t="inlineStr">
        <is>
          <t>2021-08</t>
        </is>
      </c>
      <c r="H192" s="3" t="n">
        <v>0.9085</v>
      </c>
    </row>
    <row r="193" ht="20" customHeight="1">
      <c r="A193" s="3" t="inlineStr">
        <is>
          <t>Steel screws, brackets and structural hardware</t>
        </is>
      </c>
      <c r="B193" s="3" t="inlineStr">
        <is>
          <t>Steel</t>
        </is>
      </c>
      <c r="C193" s="3" t="inlineStr">
        <is>
          <t>IRON_ORE</t>
        </is>
      </c>
      <c r="D19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3" s="3" t="inlineStr">
        <is>
          <t>kg</t>
        </is>
      </c>
      <c r="F193" s="3" t="n">
        <v>0.95</v>
      </c>
      <c r="G193" s="3" t="inlineStr">
        <is>
          <t>2021-09</t>
        </is>
      </c>
      <c r="H193" s="3" t="n">
        <v>0.6974</v>
      </c>
    </row>
    <row r="194" ht="20" customHeight="1">
      <c r="A194" s="3" t="inlineStr">
        <is>
          <t>Steel screws, brackets and structural hardware</t>
        </is>
      </c>
      <c r="B194" s="3" t="inlineStr">
        <is>
          <t>Steel</t>
        </is>
      </c>
      <c r="C194" s="3" t="inlineStr">
        <is>
          <t>IRON_ORE</t>
        </is>
      </c>
      <c r="D19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4" s="3" t="inlineStr">
        <is>
          <t>kg</t>
        </is>
      </c>
      <c r="F194" s="3" t="n">
        <v>0.95</v>
      </c>
      <c r="G194" s="3" t="inlineStr">
        <is>
          <t>2021-10</t>
        </is>
      </c>
      <c r="H194" s="3" t="n">
        <v>0.6884</v>
      </c>
    </row>
    <row r="195" ht="20" customHeight="1">
      <c r="A195" s="3" t="inlineStr">
        <is>
          <t>Steel screws, brackets and structural hardware</t>
        </is>
      </c>
      <c r="B195" s="3" t="inlineStr">
        <is>
          <t>Steel</t>
        </is>
      </c>
      <c r="C195" s="3" t="inlineStr">
        <is>
          <t>IRON_ORE</t>
        </is>
      </c>
      <c r="D19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5" s="3" t="inlineStr">
        <is>
          <t>kg</t>
        </is>
      </c>
      <c r="F195" s="3" t="n">
        <v>0.95</v>
      </c>
      <c r="G195" s="3" t="inlineStr">
        <is>
          <t>2021-11</t>
        </is>
      </c>
      <c r="H195" s="3" t="n">
        <v>0.5389</v>
      </c>
    </row>
    <row r="196" ht="20" customHeight="1">
      <c r="A196" s="3" t="inlineStr">
        <is>
          <t>Steel screws, brackets and structural hardware</t>
        </is>
      </c>
      <c r="B196" s="3" t="inlineStr">
        <is>
          <t>Steel</t>
        </is>
      </c>
      <c r="C196" s="3" t="inlineStr">
        <is>
          <t>IRON_ORE</t>
        </is>
      </c>
      <c r="D19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6" s="3" t="inlineStr">
        <is>
          <t>kg</t>
        </is>
      </c>
      <c r="F196" s="3" t="n">
        <v>0.95</v>
      </c>
      <c r="G196" s="3" t="inlineStr">
        <is>
          <t>2021-12</t>
        </is>
      </c>
      <c r="H196" s="3" t="n">
        <v>0.6554</v>
      </c>
    </row>
    <row r="197" ht="20" customHeight="1">
      <c r="A197" s="3" t="inlineStr">
        <is>
          <t>Steel screws, brackets and structural hardware</t>
        </is>
      </c>
      <c r="B197" s="3" t="inlineStr">
        <is>
          <t>Steel</t>
        </is>
      </c>
      <c r="C197" s="3" t="inlineStr">
        <is>
          <t>IRON_ORE</t>
        </is>
      </c>
      <c r="D19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7" s="3" t="inlineStr">
        <is>
          <t>kg</t>
        </is>
      </c>
      <c r="F197" s="3" t="n">
        <v>0.95</v>
      </c>
      <c r="G197" s="3" t="inlineStr">
        <is>
          <t>2022-01</t>
        </is>
      </c>
      <c r="H197" s="3" t="n">
        <v>0.7422</v>
      </c>
    </row>
    <row r="198" ht="20" customHeight="1">
      <c r="A198" s="3" t="inlineStr">
        <is>
          <t>Steel screws, brackets and structural hardware</t>
        </is>
      </c>
      <c r="B198" s="3" t="inlineStr">
        <is>
          <t>Steel</t>
        </is>
      </c>
      <c r="C198" s="3" t="inlineStr">
        <is>
          <t>IRON_ORE</t>
        </is>
      </c>
      <c r="D19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8" s="3" t="inlineStr">
        <is>
          <t>kg</t>
        </is>
      </c>
      <c r="F198" s="3" t="n">
        <v>0.95</v>
      </c>
      <c r="G198" s="3" t="inlineStr">
        <is>
          <t>2022-02</t>
        </is>
      </c>
      <c r="H198" s="3" t="n">
        <v>0.7999000000000001</v>
      </c>
    </row>
    <row r="199" ht="20" customHeight="1">
      <c r="A199" s="3" t="inlineStr">
        <is>
          <t>Steel screws, brackets and structural hardware</t>
        </is>
      </c>
      <c r="B199" s="3" t="inlineStr">
        <is>
          <t>Steel</t>
        </is>
      </c>
      <c r="C199" s="3" t="inlineStr">
        <is>
          <t>IRON_ORE</t>
        </is>
      </c>
      <c r="D19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9" s="3" t="inlineStr">
        <is>
          <t>kg</t>
        </is>
      </c>
      <c r="F199" s="3" t="n">
        <v>0.95</v>
      </c>
      <c r="G199" s="3" t="inlineStr">
        <is>
          <t>2022-03</t>
        </is>
      </c>
      <c r="H199" s="3" t="n">
        <v>0.852</v>
      </c>
    </row>
    <row r="200" ht="20" customHeight="1">
      <c r="A200" s="3" t="inlineStr">
        <is>
          <t>Steel screws, brackets and structural hardware</t>
        </is>
      </c>
      <c r="B200" s="3" t="inlineStr">
        <is>
          <t>Steel</t>
        </is>
      </c>
      <c r="C200" s="3" t="inlineStr">
        <is>
          <t>IRON_ORE</t>
        </is>
      </c>
      <c r="D20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0" s="3" t="inlineStr">
        <is>
          <t>kg</t>
        </is>
      </c>
      <c r="F200" s="3" t="n">
        <v>0.95</v>
      </c>
      <c r="G200" s="3" t="inlineStr">
        <is>
          <t>2022-04</t>
        </is>
      </c>
      <c r="H200" s="3" t="n">
        <v>0.8469</v>
      </c>
    </row>
    <row r="201" ht="20" customHeight="1">
      <c r="A201" s="3" t="inlineStr">
        <is>
          <t>Steel screws, brackets and structural hardware</t>
        </is>
      </c>
      <c r="B201" s="3" t="inlineStr">
        <is>
          <t>Steel</t>
        </is>
      </c>
      <c r="C201" s="3" t="inlineStr">
        <is>
          <t>IRON_ORE</t>
        </is>
      </c>
      <c r="D20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1" s="3" t="inlineStr">
        <is>
          <t>kg</t>
        </is>
      </c>
      <c r="F201" s="3" t="n">
        <v>0.95</v>
      </c>
      <c r="G201" s="3" t="inlineStr">
        <is>
          <t>2022-05</t>
        </is>
      </c>
      <c r="H201" s="3" t="n">
        <v>0.7349</v>
      </c>
    </row>
    <row r="202" ht="20" customHeight="1">
      <c r="A202" s="3" t="inlineStr">
        <is>
          <t>Steel screws, brackets and structural hardware</t>
        </is>
      </c>
      <c r="B202" s="3" t="inlineStr">
        <is>
          <t>Steel</t>
        </is>
      </c>
      <c r="C202" s="3" t="inlineStr">
        <is>
          <t>IRON_ORE</t>
        </is>
      </c>
      <c r="D20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2" s="3" t="inlineStr">
        <is>
          <t>kg</t>
        </is>
      </c>
      <c r="F202" s="3" t="n">
        <v>0.95</v>
      </c>
      <c r="G202" s="3" t="inlineStr">
        <is>
          <t>2022-06</t>
        </is>
      </c>
      <c r="H202" s="3" t="n">
        <v>0.7321</v>
      </c>
    </row>
    <row r="203" ht="20" customHeight="1">
      <c r="A203" s="3" t="inlineStr">
        <is>
          <t>Steel screws, brackets and structural hardware</t>
        </is>
      </c>
      <c r="B203" s="3" t="inlineStr">
        <is>
          <t>Steel</t>
        </is>
      </c>
      <c r="C203" s="3" t="inlineStr">
        <is>
          <t>IRON_ORE</t>
        </is>
      </c>
      <c r="D20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3" s="3" t="inlineStr">
        <is>
          <t>kg</t>
        </is>
      </c>
      <c r="F203" s="3" t="n">
        <v>0.95</v>
      </c>
      <c r="G203" s="3" t="inlineStr">
        <is>
          <t>2022-07</t>
        </is>
      </c>
      <c r="H203" s="3" t="n">
        <v>0.6083</v>
      </c>
    </row>
    <row r="204" ht="20" customHeight="1">
      <c r="A204" s="3" t="inlineStr">
        <is>
          <t>Steel screws, brackets and structural hardware</t>
        </is>
      </c>
      <c r="B204" s="3" t="inlineStr">
        <is>
          <t>Steel</t>
        </is>
      </c>
      <c r="C204" s="3" t="inlineStr">
        <is>
          <t>IRON_ORE</t>
        </is>
      </c>
      <c r="D20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4" s="3" t="inlineStr">
        <is>
          <t>kg</t>
        </is>
      </c>
      <c r="F204" s="3" t="n">
        <v>0.95</v>
      </c>
      <c r="G204" s="3" t="inlineStr">
        <is>
          <t>2022-08</t>
        </is>
      </c>
      <c r="H204" s="3" t="n">
        <v>0.6094000000000001</v>
      </c>
    </row>
    <row r="205" ht="20" customHeight="1">
      <c r="A205" s="3" t="inlineStr">
        <is>
          <t>Steel screws, brackets and structural hardware</t>
        </is>
      </c>
      <c r="B205" s="3" t="inlineStr">
        <is>
          <t>Steel</t>
        </is>
      </c>
      <c r="C205" s="3" t="inlineStr">
        <is>
          <t>IRON_ORE</t>
        </is>
      </c>
      <c r="D20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5" s="3" t="inlineStr">
        <is>
          <t>kg</t>
        </is>
      </c>
      <c r="F205" s="3" t="n">
        <v>0.95</v>
      </c>
      <c r="G205" s="3" t="inlineStr">
        <is>
          <t>2022-09</t>
        </is>
      </c>
      <c r="H205" s="3" t="n">
        <v>0.5590000000000001</v>
      </c>
    </row>
    <row r="206" ht="20" customHeight="1">
      <c r="A206" s="3" t="inlineStr">
        <is>
          <t>Steel screws, brackets and structural hardware</t>
        </is>
      </c>
      <c r="B206" s="3" t="inlineStr">
        <is>
          <t>Steel</t>
        </is>
      </c>
      <c r="C206" s="3" t="inlineStr">
        <is>
          <t>IRON_ORE</t>
        </is>
      </c>
      <c r="D20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6" s="3" t="inlineStr">
        <is>
          <t>kg</t>
        </is>
      </c>
      <c r="F206" s="3" t="n">
        <v>0.95</v>
      </c>
      <c r="G206" s="3" t="inlineStr">
        <is>
          <t>2022-10</t>
        </is>
      </c>
      <c r="H206" s="3" t="n">
        <v>0.5187</v>
      </c>
    </row>
    <row r="207" ht="20" customHeight="1">
      <c r="A207" s="3" t="inlineStr">
        <is>
          <t>Steel screws, brackets and structural hardware</t>
        </is>
      </c>
      <c r="B207" s="3" t="inlineStr">
        <is>
          <t>Steel</t>
        </is>
      </c>
      <c r="C207" s="3" t="inlineStr">
        <is>
          <t>IRON_ORE</t>
        </is>
      </c>
      <c r="D20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7" s="3" t="inlineStr">
        <is>
          <t>kg</t>
        </is>
      </c>
      <c r="F207" s="3" t="n">
        <v>0.95</v>
      </c>
      <c r="G207" s="3" t="inlineStr">
        <is>
          <t>2022-11</t>
        </is>
      </c>
      <c r="H207" s="3" t="n">
        <v>0.5226</v>
      </c>
    </row>
    <row r="208" ht="20" customHeight="1">
      <c r="A208" s="3" t="inlineStr">
        <is>
          <t>Steel screws, brackets and structural hardware</t>
        </is>
      </c>
      <c r="B208" s="3" t="inlineStr">
        <is>
          <t>Steel</t>
        </is>
      </c>
      <c r="C208" s="3" t="inlineStr">
        <is>
          <t>IRON_ORE</t>
        </is>
      </c>
      <c r="D20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8" s="3" t="inlineStr">
        <is>
          <t>kg</t>
        </is>
      </c>
      <c r="F208" s="3" t="n">
        <v>0.95</v>
      </c>
      <c r="G208" s="3" t="inlineStr">
        <is>
          <t>2022-12</t>
        </is>
      </c>
      <c r="H208" s="3" t="n">
        <v>0.6262</v>
      </c>
    </row>
    <row r="209" ht="20" customHeight="1">
      <c r="A209" s="3" t="inlineStr">
        <is>
          <t>Steel screws, brackets and structural hardware</t>
        </is>
      </c>
      <c r="B209" s="3" t="inlineStr">
        <is>
          <t>Steel</t>
        </is>
      </c>
      <c r="C209" s="3" t="inlineStr">
        <is>
          <t>IRON_ORE</t>
        </is>
      </c>
      <c r="D20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9" s="3" t="inlineStr">
        <is>
          <t>kg</t>
        </is>
      </c>
      <c r="F209" s="3" t="n">
        <v>0.95</v>
      </c>
      <c r="G209" s="3" t="inlineStr">
        <is>
          <t>2023-01</t>
        </is>
      </c>
      <c r="H209" s="3" t="n">
        <v>0.6845</v>
      </c>
    </row>
    <row r="210" ht="20" customHeight="1">
      <c r="A210" s="3" t="inlineStr">
        <is>
          <t>Steel screws, brackets and structural hardware</t>
        </is>
      </c>
      <c r="B210" s="3" t="inlineStr">
        <is>
          <t>Steel</t>
        </is>
      </c>
      <c r="C210" s="3" t="inlineStr">
        <is>
          <t>IRON_ORE</t>
        </is>
      </c>
      <c r="D21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0" s="3" t="inlineStr">
        <is>
          <t>kg</t>
        </is>
      </c>
      <c r="F210" s="3" t="n">
        <v>0.95</v>
      </c>
      <c r="G210" s="3" t="inlineStr">
        <is>
          <t>2023-02</t>
        </is>
      </c>
      <c r="H210" s="3" t="n">
        <v>0.7147</v>
      </c>
    </row>
    <row r="211" ht="20" customHeight="1">
      <c r="A211" s="3" t="inlineStr">
        <is>
          <t>Steel screws, brackets and structural hardware</t>
        </is>
      </c>
      <c r="B211" s="3" t="inlineStr">
        <is>
          <t>Steel</t>
        </is>
      </c>
      <c r="C211" s="3" t="inlineStr">
        <is>
          <t>IRON_ORE</t>
        </is>
      </c>
      <c r="D21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1" s="3" t="inlineStr">
        <is>
          <t>kg</t>
        </is>
      </c>
      <c r="F211" s="3" t="n">
        <v>0.95</v>
      </c>
      <c r="G211" s="3" t="inlineStr">
        <is>
          <t>2023-03</t>
        </is>
      </c>
      <c r="H211" s="3" t="n">
        <v>0.7192</v>
      </c>
    </row>
    <row r="212" ht="20" customHeight="1">
      <c r="A212" s="3" t="inlineStr">
        <is>
          <t>Steel screws, brackets and structural hardware</t>
        </is>
      </c>
      <c r="B212" s="3" t="inlineStr">
        <is>
          <t>Steel</t>
        </is>
      </c>
      <c r="C212" s="3" t="inlineStr">
        <is>
          <t>IRON_ORE</t>
        </is>
      </c>
      <c r="D21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2" s="3" t="inlineStr">
        <is>
          <t>kg</t>
        </is>
      </c>
      <c r="F212" s="3" t="n">
        <v>0.95</v>
      </c>
      <c r="G212" s="3" t="inlineStr">
        <is>
          <t>2023-04</t>
        </is>
      </c>
      <c r="H212" s="3" t="n">
        <v>0.6576</v>
      </c>
    </row>
    <row r="213" ht="20" customHeight="1">
      <c r="A213" s="3" t="inlineStr">
        <is>
          <t>Steel screws, brackets and structural hardware</t>
        </is>
      </c>
      <c r="B213" s="3" t="inlineStr">
        <is>
          <t>Steel</t>
        </is>
      </c>
      <c r="C213" s="3" t="inlineStr">
        <is>
          <t>IRON_ORE</t>
        </is>
      </c>
      <c r="D21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3" s="3" t="inlineStr">
        <is>
          <t>kg</t>
        </is>
      </c>
      <c r="F213" s="3" t="n">
        <v>0.95</v>
      </c>
      <c r="G213" s="3" t="inlineStr">
        <is>
          <t>2023-05</t>
        </is>
      </c>
      <c r="H213" s="3" t="n">
        <v>0.5893</v>
      </c>
    </row>
    <row r="214" ht="20" customHeight="1">
      <c r="A214" s="3" t="inlineStr">
        <is>
          <t>Steel screws, brackets and structural hardware</t>
        </is>
      </c>
      <c r="B214" s="3" t="inlineStr">
        <is>
          <t>Steel</t>
        </is>
      </c>
      <c r="C214" s="3" t="inlineStr">
        <is>
          <t>IRON_ORE</t>
        </is>
      </c>
      <c r="D21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4" s="3" t="inlineStr">
        <is>
          <t>kg</t>
        </is>
      </c>
      <c r="F214" s="3" t="n">
        <v>0.95</v>
      </c>
      <c r="G214" s="3" t="inlineStr">
        <is>
          <t>2023-06</t>
        </is>
      </c>
      <c r="H214" s="3" t="n">
        <v>0.6352</v>
      </c>
    </row>
    <row r="215" ht="20" customHeight="1">
      <c r="A215" s="3" t="inlineStr">
        <is>
          <t>Steel screws, brackets and structural hardware</t>
        </is>
      </c>
      <c r="B215" s="3" t="inlineStr">
        <is>
          <t>Steel</t>
        </is>
      </c>
      <c r="C215" s="3" t="inlineStr">
        <is>
          <t>IRON_ORE</t>
        </is>
      </c>
      <c r="D21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5" s="3" t="inlineStr">
        <is>
          <t>kg</t>
        </is>
      </c>
      <c r="F215" s="3" t="n">
        <v>0.95</v>
      </c>
      <c r="G215" s="3" t="inlineStr">
        <is>
          <t>2023-07</t>
        </is>
      </c>
      <c r="H215" s="3" t="n">
        <v>0.6408</v>
      </c>
    </row>
    <row r="216" ht="20" customHeight="1">
      <c r="A216" s="3" t="inlineStr">
        <is>
          <t>Steel screws, brackets and structural hardware</t>
        </is>
      </c>
      <c r="B216" s="3" t="inlineStr">
        <is>
          <t>Steel</t>
        </is>
      </c>
      <c r="C216" s="3" t="inlineStr">
        <is>
          <t>IRON_ORE</t>
        </is>
      </c>
      <c r="D21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6" s="3" t="inlineStr">
        <is>
          <t>kg</t>
        </is>
      </c>
      <c r="F216" s="3" t="n">
        <v>0.95</v>
      </c>
      <c r="G216" s="3" t="inlineStr">
        <is>
          <t>2023-08</t>
        </is>
      </c>
      <c r="H216" s="3" t="n">
        <v>0.6173</v>
      </c>
    </row>
    <row r="217" ht="20" customHeight="1">
      <c r="A217" s="3" t="inlineStr">
        <is>
          <t>Steel screws, brackets and structural hardware</t>
        </is>
      </c>
      <c r="B217" s="3" t="inlineStr">
        <is>
          <t>Steel</t>
        </is>
      </c>
      <c r="C217" s="3" t="inlineStr">
        <is>
          <t>IRON_ORE</t>
        </is>
      </c>
      <c r="D21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7" s="3" t="inlineStr">
        <is>
          <t>kg</t>
        </is>
      </c>
      <c r="F217" s="3" t="n">
        <v>0.95</v>
      </c>
      <c r="G217" s="3" t="inlineStr">
        <is>
          <t>2023-09</t>
        </is>
      </c>
      <c r="H217" s="3" t="n">
        <v>0.6778</v>
      </c>
    </row>
    <row r="218" ht="20" customHeight="1">
      <c r="A218" s="3" t="inlineStr">
        <is>
          <t>Steel screws, brackets and structural hardware</t>
        </is>
      </c>
      <c r="B218" s="3" t="inlineStr">
        <is>
          <t>Steel</t>
        </is>
      </c>
      <c r="C218" s="3" t="inlineStr">
        <is>
          <t>IRON_ORE</t>
        </is>
      </c>
      <c r="D21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8" s="3" t="inlineStr">
        <is>
          <t>kg</t>
        </is>
      </c>
      <c r="F218" s="3" t="n">
        <v>0.95</v>
      </c>
      <c r="G218" s="3" t="inlineStr">
        <is>
          <t>2023-10</t>
        </is>
      </c>
      <c r="H218" s="3" t="n">
        <v>0.6666</v>
      </c>
    </row>
    <row r="219" ht="20" customHeight="1">
      <c r="A219" s="3" t="inlineStr">
        <is>
          <t>Steel screws, brackets and structural hardware</t>
        </is>
      </c>
      <c r="B219" s="3" t="inlineStr">
        <is>
          <t>Steel</t>
        </is>
      </c>
      <c r="C219" s="3" t="inlineStr">
        <is>
          <t>IRON_ORE</t>
        </is>
      </c>
      <c r="D21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9" s="3" t="inlineStr">
        <is>
          <t>kg</t>
        </is>
      </c>
      <c r="F219" s="3" t="n">
        <v>0.95</v>
      </c>
      <c r="G219" s="3" t="inlineStr">
        <is>
          <t>2023-11</t>
        </is>
      </c>
      <c r="H219" s="3" t="n">
        <v>0.7343</v>
      </c>
    </row>
    <row r="220" ht="20" customHeight="1">
      <c r="A220" s="3" t="inlineStr">
        <is>
          <t>Steel screws, brackets and structural hardware</t>
        </is>
      </c>
      <c r="B220" s="3" t="inlineStr">
        <is>
          <t>Steel</t>
        </is>
      </c>
      <c r="C220" s="3" t="inlineStr">
        <is>
          <t>IRON_ORE</t>
        </is>
      </c>
      <c r="D22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0" s="3" t="inlineStr">
        <is>
          <t>kg</t>
        </is>
      </c>
      <c r="F220" s="3" t="n">
        <v>0.95</v>
      </c>
      <c r="G220" s="3" t="inlineStr">
        <is>
          <t>2023-12</t>
        </is>
      </c>
      <c r="H220" s="3" t="n">
        <v>0.768</v>
      </c>
    </row>
    <row r="221" ht="20" customHeight="1">
      <c r="A221" s="3" t="inlineStr">
        <is>
          <t>Workshop payroll and charges</t>
        </is>
      </c>
      <c r="B221" s="3" t="n"/>
      <c r="C221" s="3" t="inlineStr">
        <is>
          <t>LABOR_INDUSTRY</t>
        </is>
      </c>
      <c r="D221" s="3" t="inlineStr">
        <is>
          <t xml:space="preserve">INSEE BDM 010762004: Indice du coût du travail - Coût horaire - Industrie manufacturière (NAF rév. 2 section C) - Base 100 en 2020 </t>
        </is>
      </c>
      <c r="E221" s="3" t="inlineStr">
        <is>
          <t>monthly package</t>
        </is>
      </c>
      <c r="F221" s="3" t="n">
        <v>38750</v>
      </c>
      <c r="G221" s="3" t="inlineStr">
        <is>
          <t>2021-01</t>
        </is>
      </c>
      <c r="H221" s="3" t="n">
        <v>38750</v>
      </c>
    </row>
    <row r="222" ht="20" customHeight="1">
      <c r="A222" s="3" t="inlineStr">
        <is>
          <t>Workshop payroll and charges</t>
        </is>
      </c>
      <c r="B222" s="3" t="n"/>
      <c r="C222" s="3" t="inlineStr">
        <is>
          <t>LABOR_INDUSTRY</t>
        </is>
      </c>
      <c r="D222" s="3" t="inlineStr">
        <is>
          <t xml:space="preserve">INSEE BDM 010762004: Indice du coût du travail - Coût horaire - Industrie manufacturière (NAF rév. 2 section C) - Base 100 en 2020 </t>
        </is>
      </c>
      <c r="E222" s="3" t="inlineStr">
        <is>
          <t>monthly package</t>
        </is>
      </c>
      <c r="F222" s="3" t="n">
        <v>38750</v>
      </c>
      <c r="G222" s="3" t="inlineStr">
        <is>
          <t>2021-02</t>
        </is>
      </c>
      <c r="H222" s="3" t="n">
        <v>38750</v>
      </c>
    </row>
    <row r="223" ht="20" customHeight="1">
      <c r="A223" s="3" t="inlineStr">
        <is>
          <t>Workshop payroll and charges</t>
        </is>
      </c>
      <c r="B223" s="3" t="n"/>
      <c r="C223" s="3" t="inlineStr">
        <is>
          <t>LABOR_INDUSTRY</t>
        </is>
      </c>
      <c r="D223" s="3" t="inlineStr">
        <is>
          <t xml:space="preserve">INSEE BDM 010762004: Indice du coût du travail - Coût horaire - Industrie manufacturière (NAF rév. 2 section C) - Base 100 en 2020 </t>
        </is>
      </c>
      <c r="E223" s="3" t="inlineStr">
        <is>
          <t>monthly package</t>
        </is>
      </c>
      <c r="F223" s="3" t="n">
        <v>38750</v>
      </c>
      <c r="G223" s="3" t="inlineStr">
        <is>
          <t>2021-03</t>
        </is>
      </c>
      <c r="H223" s="3" t="n">
        <v>38750</v>
      </c>
    </row>
    <row r="224" ht="20" customHeight="1">
      <c r="A224" s="3" t="inlineStr">
        <is>
          <t>Workshop payroll and charges</t>
        </is>
      </c>
      <c r="B224" s="3" t="n"/>
      <c r="C224" s="3" t="inlineStr">
        <is>
          <t>LABOR_INDUSTRY</t>
        </is>
      </c>
      <c r="D224" s="3" t="inlineStr">
        <is>
          <t xml:space="preserve">INSEE BDM 010762004: Indice du coût du travail - Coût horaire - Industrie manufacturière (NAF rév. 2 section C) - Base 100 en 2020 </t>
        </is>
      </c>
      <c r="E224" s="3" t="inlineStr">
        <is>
          <t>monthly package</t>
        </is>
      </c>
      <c r="F224" s="3" t="n">
        <v>38750</v>
      </c>
      <c r="G224" s="3" t="inlineStr">
        <is>
          <t>2021-04</t>
        </is>
      </c>
      <c r="H224" s="3" t="n">
        <v>38750</v>
      </c>
    </row>
    <row r="225" ht="20" customHeight="1">
      <c r="A225" s="3" t="inlineStr">
        <is>
          <t>Workshop payroll and charges</t>
        </is>
      </c>
      <c r="B225" s="3" t="n"/>
      <c r="C225" s="3" t="inlineStr">
        <is>
          <t>LABOR_INDUSTRY</t>
        </is>
      </c>
      <c r="D225" s="3" t="inlineStr">
        <is>
          <t xml:space="preserve">INSEE BDM 010762004: Indice du coût du travail - Coût horaire - Industrie manufacturière (NAF rév. 2 section C) - Base 100 en 2020 </t>
        </is>
      </c>
      <c r="E225" s="3" t="inlineStr">
        <is>
          <t>monthly package</t>
        </is>
      </c>
      <c r="F225" s="3" t="n">
        <v>38750</v>
      </c>
      <c r="G225" s="3" t="inlineStr">
        <is>
          <t>2021-05</t>
        </is>
      </c>
      <c r="H225" s="3" t="n">
        <v>38750</v>
      </c>
    </row>
    <row r="226" ht="20" customHeight="1">
      <c r="A226" s="3" t="inlineStr">
        <is>
          <t>Workshop payroll and charges</t>
        </is>
      </c>
      <c r="B226" s="3" t="n"/>
      <c r="C226" s="3" t="inlineStr">
        <is>
          <t>LABOR_INDUSTRY</t>
        </is>
      </c>
      <c r="D226" s="3" t="inlineStr">
        <is>
          <t xml:space="preserve">INSEE BDM 010762004: Indice du coût du travail - Coût horaire - Industrie manufacturière (NAF rév. 2 section C) - Base 100 en 2020 </t>
        </is>
      </c>
      <c r="E226" s="3" t="inlineStr">
        <is>
          <t>monthly package</t>
        </is>
      </c>
      <c r="F226" s="3" t="n">
        <v>38750</v>
      </c>
      <c r="G226" s="3" t="inlineStr">
        <is>
          <t>2021-06</t>
        </is>
      </c>
      <c r="H226" s="3" t="n">
        <v>38750</v>
      </c>
    </row>
    <row r="227" ht="20" customHeight="1">
      <c r="A227" s="3" t="inlineStr">
        <is>
          <t>Workshop payroll and charges</t>
        </is>
      </c>
      <c r="B227" s="3" t="n"/>
      <c r="C227" s="3" t="inlineStr">
        <is>
          <t>LABOR_INDUSTRY</t>
        </is>
      </c>
      <c r="D227" s="3" t="inlineStr">
        <is>
          <t xml:space="preserve">INSEE BDM 010762004: Indice du coût du travail - Coût horaire - Industrie manufacturière (NAF rév. 2 section C) - Base 100 en 2020 </t>
        </is>
      </c>
      <c r="E227" s="3" t="inlineStr">
        <is>
          <t>monthly package</t>
        </is>
      </c>
      <c r="F227" s="3" t="n">
        <v>38750</v>
      </c>
      <c r="G227" s="3" t="inlineStr">
        <is>
          <t>2021-07</t>
        </is>
      </c>
      <c r="H227" s="3" t="n">
        <v>38750</v>
      </c>
    </row>
    <row r="228" ht="20" customHeight="1">
      <c r="A228" s="3" t="inlineStr">
        <is>
          <t>Workshop payroll and charges</t>
        </is>
      </c>
      <c r="B228" s="3" t="n"/>
      <c r="C228" s="3" t="inlineStr">
        <is>
          <t>LABOR_INDUSTRY</t>
        </is>
      </c>
      <c r="D228" s="3" t="inlineStr">
        <is>
          <t xml:space="preserve">INSEE BDM 010762004: Indice du coût du travail - Coût horaire - Industrie manufacturière (NAF rév. 2 section C) - Base 100 en 2020 </t>
        </is>
      </c>
      <c r="E228" s="3" t="inlineStr">
        <is>
          <t>monthly package</t>
        </is>
      </c>
      <c r="F228" s="3" t="n">
        <v>38750</v>
      </c>
      <c r="G228" s="3" t="inlineStr">
        <is>
          <t>2021-08</t>
        </is>
      </c>
      <c r="H228" s="3" t="n">
        <v>38750</v>
      </c>
    </row>
    <row r="229" ht="20" customHeight="1">
      <c r="A229" s="3" t="inlineStr">
        <is>
          <t>Workshop payroll and charges</t>
        </is>
      </c>
      <c r="B229" s="3" t="n"/>
      <c r="C229" s="3" t="inlineStr">
        <is>
          <t>LABOR_INDUSTRY</t>
        </is>
      </c>
      <c r="D229" s="3" t="inlineStr">
        <is>
          <t xml:space="preserve">INSEE BDM 010762004: Indice du coût du travail - Coût horaire - Industrie manufacturière (NAF rév. 2 section C) - Base 100 en 2020 </t>
        </is>
      </c>
      <c r="E229" s="3" t="inlineStr">
        <is>
          <t>monthly package</t>
        </is>
      </c>
      <c r="F229" s="3" t="n">
        <v>38750</v>
      </c>
      <c r="G229" s="3" t="inlineStr">
        <is>
          <t>2021-09</t>
        </is>
      </c>
      <c r="H229" s="3" t="n">
        <v>38750</v>
      </c>
    </row>
    <row r="230" ht="20" customHeight="1">
      <c r="A230" s="3" t="inlineStr">
        <is>
          <t>Workshop payroll and charges</t>
        </is>
      </c>
      <c r="B230" s="3" t="n"/>
      <c r="C230" s="3" t="inlineStr">
        <is>
          <t>LABOR_INDUSTRY</t>
        </is>
      </c>
      <c r="D230" s="3" t="inlineStr">
        <is>
          <t xml:space="preserve">INSEE BDM 010762004: Indice du coût du travail - Coût horaire - Industrie manufacturière (NAF rév. 2 section C) - Base 100 en 2020 </t>
        </is>
      </c>
      <c r="E230" s="3" t="inlineStr">
        <is>
          <t>monthly package</t>
        </is>
      </c>
      <c r="F230" s="3" t="n">
        <v>38750</v>
      </c>
      <c r="G230" s="3" t="inlineStr">
        <is>
          <t>2021-10</t>
        </is>
      </c>
      <c r="H230" s="3" t="n">
        <v>38750</v>
      </c>
    </row>
    <row r="231" ht="20" customHeight="1">
      <c r="A231" s="3" t="inlineStr">
        <is>
          <t>Workshop payroll and charges</t>
        </is>
      </c>
      <c r="B231" s="3" t="n"/>
      <c r="C231" s="3" t="inlineStr">
        <is>
          <t>LABOR_INDUSTRY</t>
        </is>
      </c>
      <c r="D231" s="3" t="inlineStr">
        <is>
          <t xml:space="preserve">INSEE BDM 010762004: Indice du coût du travail - Coût horaire - Industrie manufacturière (NAF rév. 2 section C) - Base 100 en 2020 </t>
        </is>
      </c>
      <c r="E231" s="3" t="inlineStr">
        <is>
          <t>monthly package</t>
        </is>
      </c>
      <c r="F231" s="3" t="n">
        <v>38750</v>
      </c>
      <c r="G231" s="3" t="inlineStr">
        <is>
          <t>2021-11</t>
        </is>
      </c>
      <c r="H231" s="3" t="n">
        <v>38750</v>
      </c>
    </row>
    <row r="232" ht="20" customHeight="1">
      <c r="A232" s="3" t="inlineStr">
        <is>
          <t>Workshop payroll and charges</t>
        </is>
      </c>
      <c r="B232" s="3" t="n"/>
      <c r="C232" s="3" t="inlineStr">
        <is>
          <t>LABOR_INDUSTRY</t>
        </is>
      </c>
      <c r="D232" s="3" t="inlineStr">
        <is>
          <t xml:space="preserve">INSEE BDM 010762004: Indice du coût du travail - Coût horaire - Industrie manufacturière (NAF rév. 2 section C) - Base 100 en 2020 </t>
        </is>
      </c>
      <c r="E232" s="3" t="inlineStr">
        <is>
          <t>monthly package</t>
        </is>
      </c>
      <c r="F232" s="3" t="n">
        <v>38750</v>
      </c>
      <c r="G232" s="3" t="inlineStr">
        <is>
          <t>2021-12</t>
        </is>
      </c>
      <c r="H232" s="3" t="n">
        <v>38750</v>
      </c>
    </row>
    <row r="233" ht="20" customHeight="1">
      <c r="A233" s="3" t="inlineStr">
        <is>
          <t>Workshop payroll and charges</t>
        </is>
      </c>
      <c r="B233" s="3" t="n"/>
      <c r="C233" s="3" t="inlineStr">
        <is>
          <t>LABOR_INDUSTRY</t>
        </is>
      </c>
      <c r="D233" s="3" t="inlineStr">
        <is>
          <t xml:space="preserve">INSEE BDM 010762004: Indice du coût du travail - Coût horaire - Industrie manufacturière (NAF rév. 2 section C) - Base 100 en 2020 </t>
        </is>
      </c>
      <c r="E233" s="3" t="inlineStr">
        <is>
          <t>monthly package</t>
        </is>
      </c>
      <c r="F233" s="3" t="n">
        <v>38750</v>
      </c>
      <c r="G233" s="3" t="inlineStr">
        <is>
          <t>2022-01</t>
        </is>
      </c>
      <c r="H233" s="3" t="n">
        <v>38750</v>
      </c>
    </row>
    <row r="234" ht="20" customHeight="1">
      <c r="A234" s="3" t="inlineStr">
        <is>
          <t>Workshop payroll and charges</t>
        </is>
      </c>
      <c r="B234" s="3" t="n"/>
      <c r="C234" s="3" t="inlineStr">
        <is>
          <t>LABOR_INDUSTRY</t>
        </is>
      </c>
      <c r="D234" s="3" t="inlineStr">
        <is>
          <t xml:space="preserve">INSEE BDM 010762004: Indice du coût du travail - Coût horaire - Industrie manufacturière (NAF rév. 2 section C) - Base 100 en 2020 </t>
        </is>
      </c>
      <c r="E234" s="3" t="inlineStr">
        <is>
          <t>monthly package</t>
        </is>
      </c>
      <c r="F234" s="3" t="n">
        <v>38750</v>
      </c>
      <c r="G234" s="3" t="inlineStr">
        <is>
          <t>2022-02</t>
        </is>
      </c>
      <c r="H234" s="3" t="n">
        <v>38750</v>
      </c>
    </row>
    <row r="235" ht="20" customHeight="1">
      <c r="A235" s="3" t="inlineStr">
        <is>
          <t>Workshop payroll and charges</t>
        </is>
      </c>
      <c r="B235" s="3" t="n"/>
      <c r="C235" s="3" t="inlineStr">
        <is>
          <t>LABOR_INDUSTRY</t>
        </is>
      </c>
      <c r="D235" s="3" t="inlineStr">
        <is>
          <t xml:space="preserve">INSEE BDM 010762004: Indice du coût du travail - Coût horaire - Industrie manufacturière (NAF rév. 2 section C) - Base 100 en 2020 </t>
        </is>
      </c>
      <c r="E235" s="3" t="inlineStr">
        <is>
          <t>monthly package</t>
        </is>
      </c>
      <c r="F235" s="3" t="n">
        <v>38750</v>
      </c>
      <c r="G235" s="3" t="inlineStr">
        <is>
          <t>2022-03</t>
        </is>
      </c>
      <c r="H235" s="3" t="n">
        <v>38750</v>
      </c>
    </row>
    <row r="236" ht="20" customHeight="1">
      <c r="A236" s="3" t="inlineStr">
        <is>
          <t>Workshop payroll and charges</t>
        </is>
      </c>
      <c r="B236" s="3" t="n"/>
      <c r="C236" s="3" t="inlineStr">
        <is>
          <t>LABOR_INDUSTRY</t>
        </is>
      </c>
      <c r="D236" s="3" t="inlineStr">
        <is>
          <t xml:space="preserve">INSEE BDM 010762004: Indice du coût du travail - Coût horaire - Industrie manufacturière (NAF rév. 2 section C) - Base 100 en 2020 </t>
        </is>
      </c>
      <c r="E236" s="3" t="inlineStr">
        <is>
          <t>monthly package</t>
        </is>
      </c>
      <c r="F236" s="3" t="n">
        <v>38750</v>
      </c>
      <c r="G236" s="3" t="inlineStr">
        <is>
          <t>2022-04</t>
        </is>
      </c>
      <c r="H236" s="3" t="n">
        <v>38750</v>
      </c>
    </row>
    <row r="237" ht="20" customHeight="1">
      <c r="A237" s="3" t="inlineStr">
        <is>
          <t>Workshop payroll and charges</t>
        </is>
      </c>
      <c r="B237" s="3" t="n"/>
      <c r="C237" s="3" t="inlineStr">
        <is>
          <t>LABOR_INDUSTRY</t>
        </is>
      </c>
      <c r="D237" s="3" t="inlineStr">
        <is>
          <t xml:space="preserve">INSEE BDM 010762004: Indice du coût du travail - Coût horaire - Industrie manufacturière (NAF rév. 2 section C) - Base 100 en 2020 </t>
        </is>
      </c>
      <c r="E237" s="3" t="inlineStr">
        <is>
          <t>monthly package</t>
        </is>
      </c>
      <c r="F237" s="3" t="n">
        <v>38750</v>
      </c>
      <c r="G237" s="3" t="inlineStr">
        <is>
          <t>2022-05</t>
        </is>
      </c>
      <c r="H237" s="3" t="n">
        <v>38750</v>
      </c>
    </row>
    <row r="238" ht="20" customHeight="1">
      <c r="A238" s="3" t="inlineStr">
        <is>
          <t>Workshop payroll and charges</t>
        </is>
      </c>
      <c r="B238" s="3" t="n"/>
      <c r="C238" s="3" t="inlineStr">
        <is>
          <t>LABOR_INDUSTRY</t>
        </is>
      </c>
      <c r="D238" s="3" t="inlineStr">
        <is>
          <t xml:space="preserve">INSEE BDM 010762004: Indice du coût du travail - Coût horaire - Industrie manufacturière (NAF rév. 2 section C) - Base 100 en 2020 </t>
        </is>
      </c>
      <c r="E238" s="3" t="inlineStr">
        <is>
          <t>monthly package</t>
        </is>
      </c>
      <c r="F238" s="3" t="n">
        <v>38750</v>
      </c>
      <c r="G238" s="3" t="inlineStr">
        <is>
          <t>2022-06</t>
        </is>
      </c>
      <c r="H238" s="3" t="n">
        <v>38750</v>
      </c>
    </row>
    <row r="239" ht="20" customHeight="1">
      <c r="A239" s="3" t="inlineStr">
        <is>
          <t>Workshop payroll and charges</t>
        </is>
      </c>
      <c r="B239" s="3" t="n"/>
      <c r="C239" s="3" t="inlineStr">
        <is>
          <t>LABOR_INDUSTRY</t>
        </is>
      </c>
      <c r="D239" s="3" t="inlineStr">
        <is>
          <t xml:space="preserve">INSEE BDM 010762004: Indice du coût du travail - Coût horaire - Industrie manufacturière (NAF rév. 2 section C) - Base 100 en 2020 </t>
        </is>
      </c>
      <c r="E239" s="3" t="inlineStr">
        <is>
          <t>monthly package</t>
        </is>
      </c>
      <c r="F239" s="3" t="n">
        <v>38750</v>
      </c>
      <c r="G239" s="3" t="inlineStr">
        <is>
          <t>2022-07</t>
        </is>
      </c>
      <c r="H239" s="3" t="n">
        <v>38750</v>
      </c>
    </row>
    <row r="240" ht="20" customHeight="1">
      <c r="A240" s="3" t="inlineStr">
        <is>
          <t>Workshop payroll and charges</t>
        </is>
      </c>
      <c r="B240" s="3" t="n"/>
      <c r="C240" s="3" t="inlineStr">
        <is>
          <t>LABOR_INDUSTRY</t>
        </is>
      </c>
      <c r="D240" s="3" t="inlineStr">
        <is>
          <t xml:space="preserve">INSEE BDM 010762004: Indice du coût du travail - Coût horaire - Industrie manufacturière (NAF rév. 2 section C) - Base 100 en 2020 </t>
        </is>
      </c>
      <c r="E240" s="3" t="inlineStr">
        <is>
          <t>monthly package</t>
        </is>
      </c>
      <c r="F240" s="3" t="n">
        <v>38750</v>
      </c>
      <c r="G240" s="3" t="inlineStr">
        <is>
          <t>2022-08</t>
        </is>
      </c>
      <c r="H240" s="3" t="n">
        <v>38750</v>
      </c>
    </row>
    <row r="241" ht="20" customHeight="1">
      <c r="A241" s="3" t="inlineStr">
        <is>
          <t>Workshop payroll and charges</t>
        </is>
      </c>
      <c r="B241" s="3" t="n"/>
      <c r="C241" s="3" t="inlineStr">
        <is>
          <t>LABOR_INDUSTRY</t>
        </is>
      </c>
      <c r="D241" s="3" t="inlineStr">
        <is>
          <t xml:space="preserve">INSEE BDM 010762004: Indice du coût du travail - Coût horaire - Industrie manufacturière (NAF rév. 2 section C) - Base 100 en 2020 </t>
        </is>
      </c>
      <c r="E241" s="3" t="inlineStr">
        <is>
          <t>monthly package</t>
        </is>
      </c>
      <c r="F241" s="3" t="n">
        <v>38750</v>
      </c>
      <c r="G241" s="3" t="inlineStr">
        <is>
          <t>2022-09</t>
        </is>
      </c>
      <c r="H241" s="3" t="n">
        <v>38750</v>
      </c>
    </row>
    <row r="242" ht="20" customHeight="1">
      <c r="A242" s="3" t="inlineStr">
        <is>
          <t>Workshop payroll and charges</t>
        </is>
      </c>
      <c r="B242" s="3" t="n"/>
      <c r="C242" s="3" t="inlineStr">
        <is>
          <t>LABOR_INDUSTRY</t>
        </is>
      </c>
      <c r="D242" s="3" t="inlineStr">
        <is>
          <t xml:space="preserve">INSEE BDM 010762004: Indice du coût du travail - Coût horaire - Industrie manufacturière (NAF rév. 2 section C) - Base 100 en 2020 </t>
        </is>
      </c>
      <c r="E242" s="3" t="inlineStr">
        <is>
          <t>monthly package</t>
        </is>
      </c>
      <c r="F242" s="3" t="n">
        <v>38750</v>
      </c>
      <c r="G242" s="3" t="inlineStr">
        <is>
          <t>2022-10</t>
        </is>
      </c>
      <c r="H242" s="3" t="n">
        <v>38750</v>
      </c>
    </row>
    <row r="243" ht="20" customHeight="1">
      <c r="A243" s="3" t="inlineStr">
        <is>
          <t>Workshop payroll and charges</t>
        </is>
      </c>
      <c r="B243" s="3" t="n"/>
      <c r="C243" s="3" t="inlineStr">
        <is>
          <t>LABOR_INDUSTRY</t>
        </is>
      </c>
      <c r="D243" s="3" t="inlineStr">
        <is>
          <t xml:space="preserve">INSEE BDM 010762004: Indice du coût du travail - Coût horaire - Industrie manufacturière (NAF rév. 2 section C) - Base 100 en 2020 </t>
        </is>
      </c>
      <c r="E243" s="3" t="inlineStr">
        <is>
          <t>monthly package</t>
        </is>
      </c>
      <c r="F243" s="3" t="n">
        <v>38750</v>
      </c>
      <c r="G243" s="3" t="inlineStr">
        <is>
          <t>2022-11</t>
        </is>
      </c>
      <c r="H243" s="3" t="n">
        <v>38750</v>
      </c>
    </row>
    <row r="244" ht="20" customHeight="1">
      <c r="A244" s="3" t="inlineStr">
        <is>
          <t>Workshop payroll and charges</t>
        </is>
      </c>
      <c r="B244" s="3" t="n"/>
      <c r="C244" s="3" t="inlineStr">
        <is>
          <t>LABOR_INDUSTRY</t>
        </is>
      </c>
      <c r="D244" s="3" t="inlineStr">
        <is>
          <t xml:space="preserve">INSEE BDM 010762004: Indice du coût du travail - Coût horaire - Industrie manufacturière (NAF rév. 2 section C) - Base 100 en 2020 </t>
        </is>
      </c>
      <c r="E244" s="3" t="inlineStr">
        <is>
          <t>monthly package</t>
        </is>
      </c>
      <c r="F244" s="3" t="n">
        <v>38750</v>
      </c>
      <c r="G244" s="3" t="inlineStr">
        <is>
          <t>2022-12</t>
        </is>
      </c>
      <c r="H244" s="3" t="n">
        <v>38750</v>
      </c>
    </row>
    <row r="245" ht="20" customHeight="1">
      <c r="A245" s="3" t="inlineStr">
        <is>
          <t>Workshop payroll and charges</t>
        </is>
      </c>
      <c r="B245" s="3" t="n"/>
      <c r="C245" s="3" t="inlineStr">
        <is>
          <t>LABOR_INDUSTRY</t>
        </is>
      </c>
      <c r="D245" s="3" t="inlineStr">
        <is>
          <t xml:space="preserve">INSEE BDM 010762004: Indice du coût du travail - Coût horaire - Industrie manufacturière (NAF rév. 2 section C) - Base 100 en 2020 </t>
        </is>
      </c>
      <c r="E245" s="3" t="inlineStr">
        <is>
          <t>monthly package</t>
        </is>
      </c>
      <c r="F245" s="3" t="n">
        <v>38750</v>
      </c>
      <c r="G245" s="3" t="inlineStr">
        <is>
          <t>2023-01</t>
        </is>
      </c>
      <c r="H245" s="3" t="n">
        <v>38750</v>
      </c>
    </row>
    <row r="246" ht="20" customHeight="1">
      <c r="A246" s="3" t="inlineStr">
        <is>
          <t>Workshop payroll and charges</t>
        </is>
      </c>
      <c r="B246" s="3" t="n"/>
      <c r="C246" s="3" t="inlineStr">
        <is>
          <t>LABOR_INDUSTRY</t>
        </is>
      </c>
      <c r="D246" s="3" t="inlineStr">
        <is>
          <t xml:space="preserve">INSEE BDM 010762004: Indice du coût du travail - Coût horaire - Industrie manufacturière (NAF rév. 2 section C) - Base 100 en 2020 </t>
        </is>
      </c>
      <c r="E246" s="3" t="inlineStr">
        <is>
          <t>monthly package</t>
        </is>
      </c>
      <c r="F246" s="3" t="n">
        <v>38750</v>
      </c>
      <c r="G246" s="3" t="inlineStr">
        <is>
          <t>2023-02</t>
        </is>
      </c>
      <c r="H246" s="3" t="n">
        <v>38750</v>
      </c>
    </row>
    <row r="247" ht="20" customHeight="1">
      <c r="A247" s="3" t="inlineStr">
        <is>
          <t>Workshop payroll and charges</t>
        </is>
      </c>
      <c r="B247" s="3" t="n"/>
      <c r="C247" s="3" t="inlineStr">
        <is>
          <t>LABOR_INDUSTRY</t>
        </is>
      </c>
      <c r="D247" s="3" t="inlineStr">
        <is>
          <t xml:space="preserve">INSEE BDM 010762004: Indice du coût du travail - Coût horaire - Industrie manufacturière (NAF rév. 2 section C) - Base 100 en 2020 </t>
        </is>
      </c>
      <c r="E247" s="3" t="inlineStr">
        <is>
          <t>monthly package</t>
        </is>
      </c>
      <c r="F247" s="3" t="n">
        <v>38750</v>
      </c>
      <c r="G247" s="3" t="inlineStr">
        <is>
          <t>2023-03</t>
        </is>
      </c>
      <c r="H247" s="3" t="n">
        <v>38750</v>
      </c>
    </row>
    <row r="248" ht="20" customHeight="1">
      <c r="A248" s="3" t="inlineStr">
        <is>
          <t>Workshop payroll and charges</t>
        </is>
      </c>
      <c r="B248" s="3" t="n"/>
      <c r="C248" s="3" t="inlineStr">
        <is>
          <t>LABOR_INDUSTRY</t>
        </is>
      </c>
      <c r="D248" s="3" t="inlineStr">
        <is>
          <t xml:space="preserve">INSEE BDM 010762004: Indice du coût du travail - Coût horaire - Industrie manufacturière (NAF rév. 2 section C) - Base 100 en 2020 </t>
        </is>
      </c>
      <c r="E248" s="3" t="inlineStr">
        <is>
          <t>monthly package</t>
        </is>
      </c>
      <c r="F248" s="3" t="n">
        <v>38750</v>
      </c>
      <c r="G248" s="3" t="inlineStr">
        <is>
          <t>2023-04</t>
        </is>
      </c>
      <c r="H248" s="3" t="n">
        <v>38750</v>
      </c>
    </row>
    <row r="249" ht="20" customHeight="1">
      <c r="A249" s="3" t="inlineStr">
        <is>
          <t>Workshop payroll and charges</t>
        </is>
      </c>
      <c r="B249" s="3" t="n"/>
      <c r="C249" s="3" t="inlineStr">
        <is>
          <t>LABOR_INDUSTRY</t>
        </is>
      </c>
      <c r="D249" s="3" t="inlineStr">
        <is>
          <t xml:space="preserve">INSEE BDM 010762004: Indice du coût du travail - Coût horaire - Industrie manufacturière (NAF rév. 2 section C) - Base 100 en 2020 </t>
        </is>
      </c>
      <c r="E249" s="3" t="inlineStr">
        <is>
          <t>monthly package</t>
        </is>
      </c>
      <c r="F249" s="3" t="n">
        <v>38750</v>
      </c>
      <c r="G249" s="3" t="inlineStr">
        <is>
          <t>2023-05</t>
        </is>
      </c>
      <c r="H249" s="3" t="n">
        <v>38750</v>
      </c>
    </row>
    <row r="250" ht="20" customHeight="1">
      <c r="A250" s="3" t="inlineStr">
        <is>
          <t>Workshop payroll and charges</t>
        </is>
      </c>
      <c r="B250" s="3" t="n"/>
      <c r="C250" s="3" t="inlineStr">
        <is>
          <t>LABOR_INDUSTRY</t>
        </is>
      </c>
      <c r="D250" s="3" t="inlineStr">
        <is>
          <t xml:space="preserve">INSEE BDM 010762004: Indice du coût du travail - Coût horaire - Industrie manufacturière (NAF rév. 2 section C) - Base 100 en 2020 </t>
        </is>
      </c>
      <c r="E250" s="3" t="inlineStr">
        <is>
          <t>monthly package</t>
        </is>
      </c>
      <c r="F250" s="3" t="n">
        <v>38750</v>
      </c>
      <c r="G250" s="3" t="inlineStr">
        <is>
          <t>2023-06</t>
        </is>
      </c>
      <c r="H250" s="3" t="n">
        <v>38750</v>
      </c>
    </row>
    <row r="251" ht="20" customHeight="1">
      <c r="A251" s="3" t="inlineStr">
        <is>
          <t>Workshop payroll and charges</t>
        </is>
      </c>
      <c r="B251" s="3" t="n"/>
      <c r="C251" s="3" t="inlineStr">
        <is>
          <t>LABOR_INDUSTRY</t>
        </is>
      </c>
      <c r="D251" s="3" t="inlineStr">
        <is>
          <t xml:space="preserve">INSEE BDM 010762004: Indice du coût du travail - Coût horaire - Industrie manufacturière (NAF rév. 2 section C) - Base 100 en 2020 </t>
        </is>
      </c>
      <c r="E251" s="3" t="inlineStr">
        <is>
          <t>monthly package</t>
        </is>
      </c>
      <c r="F251" s="3" t="n">
        <v>38750</v>
      </c>
      <c r="G251" s="3" t="inlineStr">
        <is>
          <t>2023-07</t>
        </is>
      </c>
      <c r="H251" s="3" t="n">
        <v>38750</v>
      </c>
    </row>
    <row r="252" ht="20" customHeight="1">
      <c r="A252" s="3" t="inlineStr">
        <is>
          <t>Workshop payroll and charges</t>
        </is>
      </c>
      <c r="B252" s="3" t="n"/>
      <c r="C252" s="3" t="inlineStr">
        <is>
          <t>LABOR_INDUSTRY</t>
        </is>
      </c>
      <c r="D252" s="3" t="inlineStr">
        <is>
          <t xml:space="preserve">INSEE BDM 010762004: Indice du coût du travail - Coût horaire - Industrie manufacturière (NAF rév. 2 section C) - Base 100 en 2020 </t>
        </is>
      </c>
      <c r="E252" s="3" t="inlineStr">
        <is>
          <t>monthly package</t>
        </is>
      </c>
      <c r="F252" s="3" t="n">
        <v>38750</v>
      </c>
      <c r="G252" s="3" t="inlineStr">
        <is>
          <t>2023-08</t>
        </is>
      </c>
      <c r="H252" s="3" t="n">
        <v>38750</v>
      </c>
    </row>
    <row r="253" ht="20" customHeight="1">
      <c r="A253" s="3" t="inlineStr">
        <is>
          <t>Workshop payroll and charges</t>
        </is>
      </c>
      <c r="B253" s="3" t="n"/>
      <c r="C253" s="3" t="inlineStr">
        <is>
          <t>LABOR_INDUSTRY</t>
        </is>
      </c>
      <c r="D253" s="3" t="inlineStr">
        <is>
          <t xml:space="preserve">INSEE BDM 010762004: Indice du coût du travail - Coût horaire - Industrie manufacturière (NAF rév. 2 section C) - Base 100 en 2020 </t>
        </is>
      </c>
      <c r="E253" s="3" t="inlineStr">
        <is>
          <t>monthly package</t>
        </is>
      </c>
      <c r="F253" s="3" t="n">
        <v>38750</v>
      </c>
      <c r="G253" s="3" t="inlineStr">
        <is>
          <t>2023-09</t>
        </is>
      </c>
      <c r="H253" s="3" t="n">
        <v>38750</v>
      </c>
    </row>
    <row r="254" ht="20" customHeight="1">
      <c r="A254" s="3" t="inlineStr">
        <is>
          <t>Workshop payroll and charges</t>
        </is>
      </c>
      <c r="B254" s="3" t="n"/>
      <c r="C254" s="3" t="inlineStr">
        <is>
          <t>LABOR_INDUSTRY</t>
        </is>
      </c>
      <c r="D254" s="3" t="inlineStr">
        <is>
          <t xml:space="preserve">INSEE BDM 010762004: Indice du coût du travail - Coût horaire - Industrie manufacturière (NAF rév. 2 section C) - Base 100 en 2020 </t>
        </is>
      </c>
      <c r="E254" s="3" t="inlineStr">
        <is>
          <t>monthly package</t>
        </is>
      </c>
      <c r="F254" s="3" t="n">
        <v>38750</v>
      </c>
      <c r="G254" s="3" t="inlineStr">
        <is>
          <t>2023-10</t>
        </is>
      </c>
      <c r="H254" s="3" t="n">
        <v>38750</v>
      </c>
    </row>
    <row r="255" ht="20" customHeight="1">
      <c r="A255" s="3" t="inlineStr">
        <is>
          <t>Workshop payroll and charges</t>
        </is>
      </c>
      <c r="B255" s="3" t="n"/>
      <c r="C255" s="3" t="inlineStr">
        <is>
          <t>LABOR_INDUSTRY</t>
        </is>
      </c>
      <c r="D255" s="3" t="inlineStr">
        <is>
          <t xml:space="preserve">INSEE BDM 010762004: Indice du coût du travail - Coût horaire - Industrie manufacturière (NAF rév. 2 section C) - Base 100 en 2020 </t>
        </is>
      </c>
      <c r="E255" s="3" t="inlineStr">
        <is>
          <t>monthly package</t>
        </is>
      </c>
      <c r="F255" s="3" t="n">
        <v>38750</v>
      </c>
      <c r="G255" s="3" t="inlineStr">
        <is>
          <t>2023-11</t>
        </is>
      </c>
      <c r="H255" s="3" t="n">
        <v>38750</v>
      </c>
    </row>
    <row r="256" ht="20" customHeight="1">
      <c r="A256" s="3" t="inlineStr">
        <is>
          <t>Workshop payroll and charges</t>
        </is>
      </c>
      <c r="B256" s="3" t="n"/>
      <c r="C256" s="3" t="inlineStr">
        <is>
          <t>LABOR_INDUSTRY</t>
        </is>
      </c>
      <c r="D256" s="3" t="inlineStr">
        <is>
          <t xml:space="preserve">INSEE BDM 010762004: Indice du coût du travail - Coût horaire - Industrie manufacturière (NAF rév. 2 section C) - Base 100 en 2020 </t>
        </is>
      </c>
      <c r="E256" s="3" t="inlineStr">
        <is>
          <t>monthly package</t>
        </is>
      </c>
      <c r="F256" s="3" t="n">
        <v>38750</v>
      </c>
      <c r="G256" s="3" t="inlineStr">
        <is>
          <t>2023-12</t>
        </is>
      </c>
      <c r="H256" s="3" t="n">
        <v>38750</v>
      </c>
    </row>
    <row r="257" ht="20" customHeight="1">
      <c r="A257" s="3" t="inlineStr">
        <is>
          <t>Machine maintenance, blades and tooling</t>
        </is>
      </c>
      <c r="B257" s="3" t="n"/>
      <c r="C257" s="3" t="inlineStr">
        <is>
          <t>MAINTENANCE</t>
        </is>
      </c>
      <c r="D257" s="3" t="inlineStr">
        <is>
          <t>INSEE BDM 010777481: Indice mensuel des prix d'achat des moyens de production agricole (IPAMPA) - Entretien et réparation</t>
        </is>
      </c>
      <c r="E257" s="3" t="inlineStr">
        <is>
          <t>monthly package</t>
        </is>
      </c>
      <c r="F257" s="3" t="n">
        <v>6250</v>
      </c>
      <c r="G257" s="3" t="inlineStr">
        <is>
          <t>2021-01</t>
        </is>
      </c>
      <c r="H257" s="3" t="n">
        <v>6250</v>
      </c>
    </row>
    <row r="258" ht="20" customHeight="1">
      <c r="A258" s="3" t="inlineStr">
        <is>
          <t>Machine maintenance, blades and tooling</t>
        </is>
      </c>
      <c r="B258" s="3" t="n"/>
      <c r="C258" s="3" t="inlineStr">
        <is>
          <t>MAINTENANCE</t>
        </is>
      </c>
      <c r="D258" s="3" t="inlineStr">
        <is>
          <t>INSEE BDM 010777481: Indice mensuel des prix d'achat des moyens de production agricole (IPAMPA) - Entretien et réparation</t>
        </is>
      </c>
      <c r="E258" s="3" t="inlineStr">
        <is>
          <t>monthly package</t>
        </is>
      </c>
      <c r="F258" s="3" t="n">
        <v>6250</v>
      </c>
      <c r="G258" s="3" t="inlineStr">
        <is>
          <t>2021-02</t>
        </is>
      </c>
      <c r="H258" s="3" t="n">
        <v>6256.1335</v>
      </c>
    </row>
    <row r="259" ht="20" customHeight="1">
      <c r="A259" s="3" t="inlineStr">
        <is>
          <t>Machine maintenance, blades and tooling</t>
        </is>
      </c>
      <c r="B259" s="3" t="n"/>
      <c r="C259" s="3" t="inlineStr">
        <is>
          <t>MAINTENANCE</t>
        </is>
      </c>
      <c r="D259" s="3" t="inlineStr">
        <is>
          <t>INSEE BDM 010777481: Indice mensuel des prix d'achat des moyens de production agricole (IPAMPA) - Entretien et réparation</t>
        </is>
      </c>
      <c r="E259" s="3" t="inlineStr">
        <is>
          <t>monthly package</t>
        </is>
      </c>
      <c r="F259" s="3" t="n">
        <v>6250</v>
      </c>
      <c r="G259" s="3" t="inlineStr">
        <is>
          <t>2021-03</t>
        </is>
      </c>
      <c r="H259" s="3" t="n">
        <v>6280.6673</v>
      </c>
    </row>
    <row r="260" ht="20" customHeight="1">
      <c r="A260" s="3" t="inlineStr">
        <is>
          <t>Machine maintenance, blades and tooling</t>
        </is>
      </c>
      <c r="B260" s="3" t="n"/>
      <c r="C260" s="3" t="inlineStr">
        <is>
          <t>MAINTENANCE</t>
        </is>
      </c>
      <c r="D260" s="3" t="inlineStr">
        <is>
          <t>INSEE BDM 010777481: Indice mensuel des prix d'achat des moyens de production agricole (IPAMPA) - Entretien et réparation</t>
        </is>
      </c>
      <c r="E260" s="3" t="inlineStr">
        <is>
          <t>monthly package</t>
        </is>
      </c>
      <c r="F260" s="3" t="n">
        <v>6250</v>
      </c>
      <c r="G260" s="3" t="inlineStr">
        <is>
          <t>2021-04</t>
        </is>
      </c>
      <c r="H260" s="3" t="n">
        <v>6262.2669</v>
      </c>
    </row>
    <row r="261" ht="20" customHeight="1">
      <c r="A261" s="3" t="inlineStr">
        <is>
          <t>Machine maintenance, blades and tooling</t>
        </is>
      </c>
      <c r="B261" s="3" t="n"/>
      <c r="C261" s="3" t="inlineStr">
        <is>
          <t>MAINTENANCE</t>
        </is>
      </c>
      <c r="D261" s="3" t="inlineStr">
        <is>
          <t>INSEE BDM 010777481: Indice mensuel des prix d'achat des moyens de production agricole (IPAMPA) - Entretien et réparation</t>
        </is>
      </c>
      <c r="E261" s="3" t="inlineStr">
        <is>
          <t>monthly package</t>
        </is>
      </c>
      <c r="F261" s="3" t="n">
        <v>6250</v>
      </c>
      <c r="G261" s="3" t="inlineStr">
        <is>
          <t>2021-05</t>
        </is>
      </c>
      <c r="H261" s="3" t="n">
        <v>6274.5339</v>
      </c>
    </row>
    <row r="262" ht="20" customHeight="1">
      <c r="A262" s="3" t="inlineStr">
        <is>
          <t>Machine maintenance, blades and tooling</t>
        </is>
      </c>
      <c r="B262" s="3" t="n"/>
      <c r="C262" s="3" t="inlineStr">
        <is>
          <t>MAINTENANCE</t>
        </is>
      </c>
      <c r="D262" s="3" t="inlineStr">
        <is>
          <t>INSEE BDM 010777481: Indice mensuel des prix d'achat des moyens de production agricole (IPAMPA) - Entretien et réparation</t>
        </is>
      </c>
      <c r="E262" s="3" t="inlineStr">
        <is>
          <t>monthly package</t>
        </is>
      </c>
      <c r="F262" s="3" t="n">
        <v>6250</v>
      </c>
      <c r="G262" s="3" t="inlineStr">
        <is>
          <t>2021-06</t>
        </is>
      </c>
      <c r="H262" s="3" t="n">
        <v>6292.9342</v>
      </c>
    </row>
    <row r="263" ht="20" customHeight="1">
      <c r="A263" s="3" t="inlineStr">
        <is>
          <t>Machine maintenance, blades and tooling</t>
        </is>
      </c>
      <c r="B263" s="3" t="n"/>
      <c r="C263" s="3" t="inlineStr">
        <is>
          <t>MAINTENANCE</t>
        </is>
      </c>
      <c r="D263" s="3" t="inlineStr">
        <is>
          <t>INSEE BDM 010777481: Indice mensuel des prix d'achat des moyens de production agricole (IPAMPA) - Entretien et réparation</t>
        </is>
      </c>
      <c r="E263" s="3" t="inlineStr">
        <is>
          <t>monthly package</t>
        </is>
      </c>
      <c r="F263" s="3" t="n">
        <v>6250</v>
      </c>
      <c r="G263" s="3" t="inlineStr">
        <is>
          <t>2021-07</t>
        </is>
      </c>
      <c r="H263" s="3" t="n">
        <v>6317.4681</v>
      </c>
    </row>
    <row r="264" ht="20" customHeight="1">
      <c r="A264" s="3" t="inlineStr">
        <is>
          <t>Machine maintenance, blades and tooling</t>
        </is>
      </c>
      <c r="B264" s="3" t="n"/>
      <c r="C264" s="3" t="inlineStr">
        <is>
          <t>MAINTENANCE</t>
        </is>
      </c>
      <c r="D264" s="3" t="inlineStr">
        <is>
          <t>INSEE BDM 010777481: Indice mensuel des prix d'achat des moyens de production agricole (IPAMPA) - Entretien et réparation</t>
        </is>
      </c>
      <c r="E264" s="3" t="inlineStr">
        <is>
          <t>monthly package</t>
        </is>
      </c>
      <c r="F264" s="3" t="n">
        <v>6250</v>
      </c>
      <c r="G264" s="3" t="inlineStr">
        <is>
          <t>2021-08</t>
        </is>
      </c>
      <c r="H264" s="3" t="n">
        <v>6317.4681</v>
      </c>
    </row>
    <row r="265" ht="20" customHeight="1">
      <c r="A265" s="3" t="inlineStr">
        <is>
          <t>Machine maintenance, blades and tooling</t>
        </is>
      </c>
      <c r="B265" s="3" t="n"/>
      <c r="C265" s="3" t="inlineStr">
        <is>
          <t>MAINTENANCE</t>
        </is>
      </c>
      <c r="D265" s="3" t="inlineStr">
        <is>
          <t>INSEE BDM 010777481: Indice mensuel des prix d'achat des moyens de production agricole (IPAMPA) - Entretien et réparation</t>
        </is>
      </c>
      <c r="E265" s="3" t="inlineStr">
        <is>
          <t>monthly package</t>
        </is>
      </c>
      <c r="F265" s="3" t="n">
        <v>6250</v>
      </c>
      <c r="G265" s="3" t="inlineStr">
        <is>
          <t>2021-09</t>
        </is>
      </c>
      <c r="H265" s="3" t="n">
        <v>6329.735</v>
      </c>
    </row>
    <row r="266" ht="20" customHeight="1">
      <c r="A266" s="3" t="inlineStr">
        <is>
          <t>Machine maintenance, blades and tooling</t>
        </is>
      </c>
      <c r="B266" s="3" t="n"/>
      <c r="C266" s="3" t="inlineStr">
        <is>
          <t>MAINTENANCE</t>
        </is>
      </c>
      <c r="D266" s="3" t="inlineStr">
        <is>
          <t>INSEE BDM 010777481: Indice mensuel des prix d'achat des moyens de production agricole (IPAMPA) - Entretien et réparation</t>
        </is>
      </c>
      <c r="E266" s="3" t="inlineStr">
        <is>
          <t>monthly package</t>
        </is>
      </c>
      <c r="F266" s="3" t="n">
        <v>6250</v>
      </c>
      <c r="G266" s="3" t="inlineStr">
        <is>
          <t>2021-10</t>
        </is>
      </c>
      <c r="H266" s="3" t="n">
        <v>6354.2689</v>
      </c>
    </row>
    <row r="267" ht="20" customHeight="1">
      <c r="A267" s="3" t="inlineStr">
        <is>
          <t>Machine maintenance, blades and tooling</t>
        </is>
      </c>
      <c r="B267" s="3" t="n"/>
      <c r="C267" s="3" t="inlineStr">
        <is>
          <t>MAINTENANCE</t>
        </is>
      </c>
      <c r="D267" s="3" t="inlineStr">
        <is>
          <t>INSEE BDM 010777481: Indice mensuel des prix d'achat des moyens de production agricole (IPAMPA) - Entretien et réparation</t>
        </is>
      </c>
      <c r="E267" s="3" t="inlineStr">
        <is>
          <t>monthly package</t>
        </is>
      </c>
      <c r="F267" s="3" t="n">
        <v>6250</v>
      </c>
      <c r="G267" s="3" t="inlineStr">
        <is>
          <t>2021-11</t>
        </is>
      </c>
      <c r="H267" s="3" t="n">
        <v>6372.6693</v>
      </c>
    </row>
    <row r="268" ht="20" customHeight="1">
      <c r="A268" s="3" t="inlineStr">
        <is>
          <t>Machine maintenance, blades and tooling</t>
        </is>
      </c>
      <c r="B268" s="3" t="n"/>
      <c r="C268" s="3" t="inlineStr">
        <is>
          <t>MAINTENANCE</t>
        </is>
      </c>
      <c r="D268" s="3" t="inlineStr">
        <is>
          <t>INSEE BDM 010777481: Indice mensuel des prix d'achat des moyens de production agricole (IPAMPA) - Entretien et réparation</t>
        </is>
      </c>
      <c r="E268" s="3" t="inlineStr">
        <is>
          <t>monthly package</t>
        </is>
      </c>
      <c r="F268" s="3" t="n">
        <v>6250</v>
      </c>
      <c r="G268" s="3" t="inlineStr">
        <is>
          <t>2021-12</t>
        </is>
      </c>
      <c r="H268" s="3" t="n">
        <v>6391.0697</v>
      </c>
    </row>
    <row r="269" ht="20" customHeight="1">
      <c r="A269" s="3" t="inlineStr">
        <is>
          <t>Machine maintenance, blades and tooling</t>
        </is>
      </c>
      <c r="B269" s="3" t="n"/>
      <c r="C269" s="3" t="inlineStr">
        <is>
          <t>MAINTENANCE</t>
        </is>
      </c>
      <c r="D269" s="3" t="inlineStr">
        <is>
          <t>INSEE BDM 010777481: Indice mensuel des prix d'achat des moyens de production agricole (IPAMPA) - Entretien et réparation</t>
        </is>
      </c>
      <c r="E269" s="3" t="inlineStr">
        <is>
          <t>monthly package</t>
        </is>
      </c>
      <c r="F269" s="3" t="n">
        <v>6250</v>
      </c>
      <c r="G269" s="3" t="inlineStr">
        <is>
          <t>2022-01</t>
        </is>
      </c>
      <c r="H269" s="3" t="n">
        <v>6458.5378</v>
      </c>
    </row>
    <row r="270" ht="20" customHeight="1">
      <c r="A270" s="3" t="inlineStr">
        <is>
          <t>Machine maintenance, blades and tooling</t>
        </is>
      </c>
      <c r="B270" s="3" t="n"/>
      <c r="C270" s="3" t="inlineStr">
        <is>
          <t>MAINTENANCE</t>
        </is>
      </c>
      <c r="D270" s="3" t="inlineStr">
        <is>
          <t>INSEE BDM 010777481: Indice mensuel des prix d'achat des moyens de production agricole (IPAMPA) - Entretien et réparation</t>
        </is>
      </c>
      <c r="E270" s="3" t="inlineStr">
        <is>
          <t>monthly package</t>
        </is>
      </c>
      <c r="F270" s="3" t="n">
        <v>6250</v>
      </c>
      <c r="G270" s="3" t="inlineStr">
        <is>
          <t>2022-02</t>
        </is>
      </c>
      <c r="H270" s="3" t="n">
        <v>6483.0716</v>
      </c>
    </row>
    <row r="271" ht="20" customHeight="1">
      <c r="A271" s="3" t="inlineStr">
        <is>
          <t>Machine maintenance, blades and tooling</t>
        </is>
      </c>
      <c r="B271" s="3" t="n"/>
      <c r="C271" s="3" t="inlineStr">
        <is>
          <t>MAINTENANCE</t>
        </is>
      </c>
      <c r="D271" s="3" t="inlineStr">
        <is>
          <t>INSEE BDM 010777481: Indice mensuel des prix d'achat des moyens de production agricole (IPAMPA) - Entretien et réparation</t>
        </is>
      </c>
      <c r="E271" s="3" t="inlineStr">
        <is>
          <t>monthly package</t>
        </is>
      </c>
      <c r="F271" s="3" t="n">
        <v>6250</v>
      </c>
      <c r="G271" s="3" t="inlineStr">
        <is>
          <t>2022-03</t>
        </is>
      </c>
      <c r="H271" s="3" t="n">
        <v>6519.8724</v>
      </c>
    </row>
    <row r="272" ht="20" customHeight="1">
      <c r="A272" s="3" t="inlineStr">
        <is>
          <t>Machine maintenance, blades and tooling</t>
        </is>
      </c>
      <c r="B272" s="3" t="n"/>
      <c r="C272" s="3" t="inlineStr">
        <is>
          <t>MAINTENANCE</t>
        </is>
      </c>
      <c r="D272" s="3" t="inlineStr">
        <is>
          <t>INSEE BDM 010777481: Indice mensuel des prix d'achat des moyens de production agricole (IPAMPA) - Entretien et réparation</t>
        </is>
      </c>
      <c r="E272" s="3" t="inlineStr">
        <is>
          <t>monthly package</t>
        </is>
      </c>
      <c r="F272" s="3" t="n">
        <v>6250</v>
      </c>
      <c r="G272" s="3" t="inlineStr">
        <is>
          <t>2022-04</t>
        </is>
      </c>
      <c r="H272" s="3" t="n">
        <v>6562.8067</v>
      </c>
    </row>
    <row r="273" ht="20" customHeight="1">
      <c r="A273" s="3" t="inlineStr">
        <is>
          <t>Machine maintenance, blades and tooling</t>
        </is>
      </c>
      <c r="B273" s="3" t="n"/>
      <c r="C273" s="3" t="inlineStr">
        <is>
          <t>MAINTENANCE</t>
        </is>
      </c>
      <c r="D273" s="3" t="inlineStr">
        <is>
          <t>INSEE BDM 010777481: Indice mensuel des prix d'achat des moyens de production agricole (IPAMPA) - Entretien et réparation</t>
        </is>
      </c>
      <c r="E273" s="3" t="inlineStr">
        <is>
          <t>monthly package</t>
        </is>
      </c>
      <c r="F273" s="3" t="n">
        <v>6250</v>
      </c>
      <c r="G273" s="3" t="inlineStr">
        <is>
          <t>2022-05</t>
        </is>
      </c>
      <c r="H273" s="3" t="n">
        <v>6605.7409</v>
      </c>
    </row>
    <row r="274" ht="20" customHeight="1">
      <c r="A274" s="3" t="inlineStr">
        <is>
          <t>Machine maintenance, blades and tooling</t>
        </is>
      </c>
      <c r="B274" s="3" t="n"/>
      <c r="C274" s="3" t="inlineStr">
        <is>
          <t>MAINTENANCE</t>
        </is>
      </c>
      <c r="D274" s="3" t="inlineStr">
        <is>
          <t>INSEE BDM 010777481: Indice mensuel des prix d'achat des moyens de production agricole (IPAMPA) - Entretien et réparation</t>
        </is>
      </c>
      <c r="E274" s="3" t="inlineStr">
        <is>
          <t>monthly package</t>
        </is>
      </c>
      <c r="F274" s="3" t="n">
        <v>6250</v>
      </c>
      <c r="G274" s="3" t="inlineStr">
        <is>
          <t>2022-06</t>
        </is>
      </c>
      <c r="H274" s="3" t="n">
        <v>6667.0756</v>
      </c>
    </row>
    <row r="275" ht="20" customHeight="1">
      <c r="A275" s="3" t="inlineStr">
        <is>
          <t>Machine maintenance, blades and tooling</t>
        </is>
      </c>
      <c r="B275" s="3" t="n"/>
      <c r="C275" s="3" t="inlineStr">
        <is>
          <t>MAINTENANCE</t>
        </is>
      </c>
      <c r="D275" s="3" t="inlineStr">
        <is>
          <t>INSEE BDM 010777481: Indice mensuel des prix d'achat des moyens de production agricole (IPAMPA) - Entretien et réparation</t>
        </is>
      </c>
      <c r="E275" s="3" t="inlineStr">
        <is>
          <t>monthly package</t>
        </is>
      </c>
      <c r="F275" s="3" t="n">
        <v>6250</v>
      </c>
      <c r="G275" s="3" t="inlineStr">
        <is>
          <t>2022-07</t>
        </is>
      </c>
      <c r="H275" s="3" t="n">
        <v>6722.2767</v>
      </c>
    </row>
    <row r="276" ht="20" customHeight="1">
      <c r="A276" s="3" t="inlineStr">
        <is>
          <t>Machine maintenance, blades and tooling</t>
        </is>
      </c>
      <c r="B276" s="3" t="n"/>
      <c r="C276" s="3" t="inlineStr">
        <is>
          <t>MAINTENANCE</t>
        </is>
      </c>
      <c r="D276" s="3" t="inlineStr">
        <is>
          <t>INSEE BDM 010777481: Indice mensuel des prix d'achat des moyens de production agricole (IPAMPA) - Entretien et réparation</t>
        </is>
      </c>
      <c r="E276" s="3" t="inlineStr">
        <is>
          <t>monthly package</t>
        </is>
      </c>
      <c r="F276" s="3" t="n">
        <v>6250</v>
      </c>
      <c r="G276" s="3" t="inlineStr">
        <is>
          <t>2022-08</t>
        </is>
      </c>
      <c r="H276" s="3" t="n">
        <v>6765.211</v>
      </c>
    </row>
    <row r="277" ht="20" customHeight="1">
      <c r="A277" s="3" t="inlineStr">
        <is>
          <t>Machine maintenance, blades and tooling</t>
        </is>
      </c>
      <c r="B277" s="3" t="n"/>
      <c r="C277" s="3" t="inlineStr">
        <is>
          <t>MAINTENANCE</t>
        </is>
      </c>
      <c r="D277" s="3" t="inlineStr">
        <is>
          <t>INSEE BDM 010777481: Indice mensuel des prix d'achat des moyens de production agricole (IPAMPA) - Entretien et réparation</t>
        </is>
      </c>
      <c r="E277" s="3" t="inlineStr">
        <is>
          <t>monthly package</t>
        </is>
      </c>
      <c r="F277" s="3" t="n">
        <v>6250</v>
      </c>
      <c r="G277" s="3" t="inlineStr">
        <is>
          <t>2022-09</t>
        </is>
      </c>
      <c r="H277" s="3" t="n">
        <v>6795.8783</v>
      </c>
    </row>
    <row r="278" ht="20" customHeight="1">
      <c r="A278" s="3" t="inlineStr">
        <is>
          <t>Machine maintenance, blades and tooling</t>
        </is>
      </c>
      <c r="B278" s="3" t="n"/>
      <c r="C278" s="3" t="inlineStr">
        <is>
          <t>MAINTENANCE</t>
        </is>
      </c>
      <c r="D278" s="3" t="inlineStr">
        <is>
          <t>INSEE BDM 010777481: Indice mensuel des prix d'achat des moyens de production agricole (IPAMPA) - Entretien et réparation</t>
        </is>
      </c>
      <c r="E278" s="3" t="inlineStr">
        <is>
          <t>monthly package</t>
        </is>
      </c>
      <c r="F278" s="3" t="n">
        <v>6250</v>
      </c>
      <c r="G278" s="3" t="inlineStr">
        <is>
          <t>2022-10</t>
        </is>
      </c>
      <c r="H278" s="3" t="n">
        <v>6820.4122</v>
      </c>
    </row>
    <row r="279" ht="20" customHeight="1">
      <c r="A279" s="3" t="inlineStr">
        <is>
          <t>Machine maintenance, blades and tooling</t>
        </is>
      </c>
      <c r="B279" s="3" t="n"/>
      <c r="C279" s="3" t="inlineStr">
        <is>
          <t>MAINTENANCE</t>
        </is>
      </c>
      <c r="D279" s="3" t="inlineStr">
        <is>
          <t>INSEE BDM 010777481: Indice mensuel des prix d'achat des moyens de production agricole (IPAMPA) - Entretien et réparation</t>
        </is>
      </c>
      <c r="E279" s="3" t="inlineStr">
        <is>
          <t>monthly package</t>
        </is>
      </c>
      <c r="F279" s="3" t="n">
        <v>6250</v>
      </c>
      <c r="G279" s="3" t="inlineStr">
        <is>
          <t>2022-11</t>
        </is>
      </c>
      <c r="H279" s="3" t="n">
        <v>6844.946</v>
      </c>
    </row>
    <row r="280" ht="20" customHeight="1">
      <c r="A280" s="3" t="inlineStr">
        <is>
          <t>Machine maintenance, blades and tooling</t>
        </is>
      </c>
      <c r="B280" s="3" t="n"/>
      <c r="C280" s="3" t="inlineStr">
        <is>
          <t>MAINTENANCE</t>
        </is>
      </c>
      <c r="D280" s="3" t="inlineStr">
        <is>
          <t>INSEE BDM 010777481: Indice mensuel des prix d'achat des moyens de production agricole (IPAMPA) - Entretien et réparation</t>
        </is>
      </c>
      <c r="E280" s="3" t="inlineStr">
        <is>
          <t>monthly package</t>
        </is>
      </c>
      <c r="F280" s="3" t="n">
        <v>6250</v>
      </c>
      <c r="G280" s="3" t="inlineStr">
        <is>
          <t>2022-12</t>
        </is>
      </c>
      <c r="H280" s="3" t="n">
        <v>6869.4799</v>
      </c>
    </row>
    <row r="281" ht="20" customHeight="1">
      <c r="A281" s="3" t="inlineStr">
        <is>
          <t>Machine maintenance, blades and tooling</t>
        </is>
      </c>
      <c r="B281" s="3" t="n"/>
      <c r="C281" s="3" t="inlineStr">
        <is>
          <t>MAINTENANCE</t>
        </is>
      </c>
      <c r="D281" s="3" t="inlineStr">
        <is>
          <t>INSEE BDM 010777481: Indice mensuel des prix d'achat des moyens de production agricole (IPAMPA) - Entretien et réparation</t>
        </is>
      </c>
      <c r="E281" s="3" t="inlineStr">
        <is>
          <t>monthly package</t>
        </is>
      </c>
      <c r="F281" s="3" t="n">
        <v>6250</v>
      </c>
      <c r="G281" s="3" t="inlineStr">
        <is>
          <t>2023-01</t>
        </is>
      </c>
      <c r="H281" s="3" t="n">
        <v>7004.4161</v>
      </c>
    </row>
    <row r="282" ht="20" customHeight="1">
      <c r="A282" s="3" t="inlineStr">
        <is>
          <t>Machine maintenance, blades and tooling</t>
        </is>
      </c>
      <c r="B282" s="3" t="n"/>
      <c r="C282" s="3" t="inlineStr">
        <is>
          <t>MAINTENANCE</t>
        </is>
      </c>
      <c r="D282" s="3" t="inlineStr">
        <is>
          <t>INSEE BDM 010777481: Indice mensuel des prix d'achat des moyens de production agricole (IPAMPA) - Entretien et réparation</t>
        </is>
      </c>
      <c r="E282" s="3" t="inlineStr">
        <is>
          <t>monthly package</t>
        </is>
      </c>
      <c r="F282" s="3" t="n">
        <v>6250</v>
      </c>
      <c r="G282" s="3" t="inlineStr">
        <is>
          <t>2023-02</t>
        </is>
      </c>
      <c r="H282" s="3" t="n">
        <v>7071.8842</v>
      </c>
    </row>
    <row r="283" ht="20" customHeight="1">
      <c r="A283" s="3" t="inlineStr">
        <is>
          <t>Machine maintenance, blades and tooling</t>
        </is>
      </c>
      <c r="B283" s="3" t="n"/>
      <c r="C283" s="3" t="inlineStr">
        <is>
          <t>MAINTENANCE</t>
        </is>
      </c>
      <c r="D283" s="3" t="inlineStr">
        <is>
          <t>INSEE BDM 010777481: Indice mensuel des prix d'achat des moyens de production agricole (IPAMPA) - Entretien et réparation</t>
        </is>
      </c>
      <c r="E283" s="3" t="inlineStr">
        <is>
          <t>monthly package</t>
        </is>
      </c>
      <c r="F283" s="3" t="n">
        <v>6250</v>
      </c>
      <c r="G283" s="3" t="inlineStr">
        <is>
          <t>2023-03</t>
        </is>
      </c>
      <c r="H283" s="3" t="n">
        <v>7108.685</v>
      </c>
    </row>
    <row r="284" ht="20" customHeight="1">
      <c r="A284" s="3" t="inlineStr">
        <is>
          <t>Machine maintenance, blades and tooling</t>
        </is>
      </c>
      <c r="B284" s="3" t="n"/>
      <c r="C284" s="3" t="inlineStr">
        <is>
          <t>MAINTENANCE</t>
        </is>
      </c>
      <c r="D284" s="3" t="inlineStr">
        <is>
          <t>INSEE BDM 010777481: Indice mensuel des prix d'achat des moyens de production agricole (IPAMPA) - Entretien et réparation</t>
        </is>
      </c>
      <c r="E284" s="3" t="inlineStr">
        <is>
          <t>monthly package</t>
        </is>
      </c>
      <c r="F284" s="3" t="n">
        <v>6250</v>
      </c>
      <c r="G284" s="3" t="inlineStr">
        <is>
          <t>2023-04</t>
        </is>
      </c>
      <c r="H284" s="3" t="n">
        <v>7145.4858</v>
      </c>
    </row>
    <row r="285" ht="20" customHeight="1">
      <c r="A285" s="3" t="inlineStr">
        <is>
          <t>Machine maintenance, blades and tooling</t>
        </is>
      </c>
      <c r="B285" s="3" t="n"/>
      <c r="C285" s="3" t="inlineStr">
        <is>
          <t>MAINTENANCE</t>
        </is>
      </c>
      <c r="D285" s="3" t="inlineStr">
        <is>
          <t>INSEE BDM 010777481: Indice mensuel des prix d'achat des moyens de production agricole (IPAMPA) - Entretien et réparation</t>
        </is>
      </c>
      <c r="E285" s="3" t="inlineStr">
        <is>
          <t>monthly package</t>
        </is>
      </c>
      <c r="F285" s="3" t="n">
        <v>6250</v>
      </c>
      <c r="G285" s="3" t="inlineStr">
        <is>
          <t>2023-05</t>
        </is>
      </c>
      <c r="H285" s="3" t="n">
        <v>7163.8862</v>
      </c>
    </row>
    <row r="286" ht="20" customHeight="1">
      <c r="A286" s="3" t="inlineStr">
        <is>
          <t>Machine maintenance, blades and tooling</t>
        </is>
      </c>
      <c r="B286" s="3" t="n"/>
      <c r="C286" s="3" t="inlineStr">
        <is>
          <t>MAINTENANCE</t>
        </is>
      </c>
      <c r="D286" s="3" t="inlineStr">
        <is>
          <t>INSEE BDM 010777481: Indice mensuel des prix d'achat des moyens de production agricole (IPAMPA) - Entretien et réparation</t>
        </is>
      </c>
      <c r="E286" s="3" t="inlineStr">
        <is>
          <t>monthly package</t>
        </is>
      </c>
      <c r="F286" s="3" t="n">
        <v>6250</v>
      </c>
      <c r="G286" s="3" t="inlineStr">
        <is>
          <t>2023-06</t>
        </is>
      </c>
      <c r="H286" s="3" t="n">
        <v>7176.1531</v>
      </c>
    </row>
    <row r="287" ht="20" customHeight="1">
      <c r="A287" s="3" t="inlineStr">
        <is>
          <t>Machine maintenance, blades and tooling</t>
        </is>
      </c>
      <c r="B287" s="3" t="n"/>
      <c r="C287" s="3" t="inlineStr">
        <is>
          <t>MAINTENANCE</t>
        </is>
      </c>
      <c r="D287" s="3" t="inlineStr">
        <is>
          <t>INSEE BDM 010777481: Indice mensuel des prix d'achat des moyens de production agricole (IPAMPA) - Entretien et réparation</t>
        </is>
      </c>
      <c r="E287" s="3" t="inlineStr">
        <is>
          <t>monthly package</t>
        </is>
      </c>
      <c r="F287" s="3" t="n">
        <v>6250</v>
      </c>
      <c r="G287" s="3" t="inlineStr">
        <is>
          <t>2023-07</t>
        </is>
      </c>
      <c r="H287" s="3" t="n">
        <v>7194.5535</v>
      </c>
    </row>
    <row r="288" ht="20" customHeight="1">
      <c r="A288" s="3" t="inlineStr">
        <is>
          <t>Machine maintenance, blades and tooling</t>
        </is>
      </c>
      <c r="B288" s="3" t="n"/>
      <c r="C288" s="3" t="inlineStr">
        <is>
          <t>MAINTENANCE</t>
        </is>
      </c>
      <c r="D288" s="3" t="inlineStr">
        <is>
          <t>INSEE BDM 010777481: Indice mensuel des prix d'achat des moyens de production agricole (IPAMPA) - Entretien et réparation</t>
        </is>
      </c>
      <c r="E288" s="3" t="inlineStr">
        <is>
          <t>monthly package</t>
        </is>
      </c>
      <c r="F288" s="3" t="n">
        <v>6250</v>
      </c>
      <c r="G288" s="3" t="inlineStr">
        <is>
          <t>2023-08</t>
        </is>
      </c>
      <c r="H288" s="3" t="n">
        <v>7212.9539</v>
      </c>
    </row>
    <row r="289" ht="20" customHeight="1">
      <c r="A289" s="3" t="inlineStr">
        <is>
          <t>Machine maintenance, blades and tooling</t>
        </is>
      </c>
      <c r="B289" s="3" t="n"/>
      <c r="C289" s="3" t="inlineStr">
        <is>
          <t>MAINTENANCE</t>
        </is>
      </c>
      <c r="D289" s="3" t="inlineStr">
        <is>
          <t>INSEE BDM 010777481: Indice mensuel des prix d'achat des moyens de production agricole (IPAMPA) - Entretien et réparation</t>
        </is>
      </c>
      <c r="E289" s="3" t="inlineStr">
        <is>
          <t>monthly package</t>
        </is>
      </c>
      <c r="F289" s="3" t="n">
        <v>6250</v>
      </c>
      <c r="G289" s="3" t="inlineStr">
        <is>
          <t>2023-09</t>
        </is>
      </c>
      <c r="H289" s="3" t="n">
        <v>7249.7547</v>
      </c>
    </row>
    <row r="290" ht="20" customHeight="1">
      <c r="A290" s="3" t="inlineStr">
        <is>
          <t>Machine maintenance, blades and tooling</t>
        </is>
      </c>
      <c r="B290" s="3" t="n"/>
      <c r="C290" s="3" t="inlineStr">
        <is>
          <t>MAINTENANCE</t>
        </is>
      </c>
      <c r="D290" s="3" t="inlineStr">
        <is>
          <t>INSEE BDM 010777481: Indice mensuel des prix d'achat des moyens de production agricole (IPAMPA) - Entretien et réparation</t>
        </is>
      </c>
      <c r="E290" s="3" t="inlineStr">
        <is>
          <t>monthly package</t>
        </is>
      </c>
      <c r="F290" s="3" t="n">
        <v>6250</v>
      </c>
      <c r="G290" s="3" t="inlineStr">
        <is>
          <t>2023-10</t>
        </is>
      </c>
      <c r="H290" s="3" t="n">
        <v>7286.5554</v>
      </c>
    </row>
    <row r="291" ht="20" customHeight="1">
      <c r="A291" s="3" t="inlineStr">
        <is>
          <t>Machine maintenance, blades and tooling</t>
        </is>
      </c>
      <c r="B291" s="3" t="n"/>
      <c r="C291" s="3" t="inlineStr">
        <is>
          <t>MAINTENANCE</t>
        </is>
      </c>
      <c r="D291" s="3" t="inlineStr">
        <is>
          <t>INSEE BDM 010777481: Indice mensuel des prix d'achat des moyens de production agricole (IPAMPA) - Entretien et réparation</t>
        </is>
      </c>
      <c r="E291" s="3" t="inlineStr">
        <is>
          <t>monthly package</t>
        </is>
      </c>
      <c r="F291" s="3" t="n">
        <v>6250</v>
      </c>
      <c r="G291" s="3" t="inlineStr">
        <is>
          <t>2023-11</t>
        </is>
      </c>
      <c r="H291" s="3" t="n">
        <v>7304.9558</v>
      </c>
    </row>
    <row r="292" ht="20" customHeight="1">
      <c r="A292" s="3" t="inlineStr">
        <is>
          <t>Machine maintenance, blades and tooling</t>
        </is>
      </c>
      <c r="B292" s="3" t="n"/>
      <c r="C292" s="3" t="inlineStr">
        <is>
          <t>MAINTENANCE</t>
        </is>
      </c>
      <c r="D292" s="3" t="inlineStr">
        <is>
          <t>INSEE BDM 010777481: Indice mensuel des prix d'achat des moyens de production agricole (IPAMPA) - Entretien et réparation</t>
        </is>
      </c>
      <c r="E292" s="3" t="inlineStr">
        <is>
          <t>monthly package</t>
        </is>
      </c>
      <c r="F292" s="3" t="n">
        <v>6250</v>
      </c>
      <c r="G292" s="3" t="inlineStr">
        <is>
          <t>2023-12</t>
        </is>
      </c>
      <c r="H292" s="3" t="n">
        <v>7323.3562</v>
      </c>
    </row>
    <row r="293" ht="20" customHeight="1">
      <c r="A293" s="3" t="inlineStr">
        <is>
          <t>Workshop rent</t>
        </is>
      </c>
      <c r="B293" s="3" t="n"/>
      <c r="C293" s="3" t="inlineStr">
        <is>
          <t>RENT_COMMERCIAL</t>
        </is>
      </c>
      <c r="D293" s="3" t="inlineStr">
        <is>
          <t>INSEE BDM 001532540: Indice des loyers commerciaux (ILC) - Base 100 au 1er trimestre 2008</t>
        </is>
      </c>
      <c r="E293" s="3" t="inlineStr">
        <is>
          <t>monthly package</t>
        </is>
      </c>
      <c r="F293" s="3" t="n">
        <v>9375</v>
      </c>
      <c r="G293" s="3" t="inlineStr">
        <is>
          <t>2021-01</t>
        </is>
      </c>
      <c r="H293" s="3" t="n">
        <v>9375</v>
      </c>
    </row>
    <row r="294" ht="20" customHeight="1">
      <c r="A294" s="3" t="inlineStr">
        <is>
          <t>Workshop rent</t>
        </is>
      </c>
      <c r="B294" s="3" t="n"/>
      <c r="C294" s="3" t="inlineStr">
        <is>
          <t>RENT_COMMERCIAL</t>
        </is>
      </c>
      <c r="D294" s="3" t="inlineStr">
        <is>
          <t>INSEE BDM 001532540: Indice des loyers commerciaux (ILC) - Base 100 au 1er trimestre 2008</t>
        </is>
      </c>
      <c r="E294" s="3" t="inlineStr">
        <is>
          <t>monthly package</t>
        </is>
      </c>
      <c r="F294" s="3" t="n">
        <v>9375</v>
      </c>
      <c r="G294" s="3" t="inlineStr">
        <is>
          <t>2021-02</t>
        </is>
      </c>
      <c r="H294" s="3" t="n">
        <v>9375</v>
      </c>
    </row>
    <row r="295" ht="20" customHeight="1">
      <c r="A295" s="3" t="inlineStr">
        <is>
          <t>Workshop rent</t>
        </is>
      </c>
      <c r="B295" s="3" t="n"/>
      <c r="C295" s="3" t="inlineStr">
        <is>
          <t>RENT_COMMERCIAL</t>
        </is>
      </c>
      <c r="D295" s="3" t="inlineStr">
        <is>
          <t>INSEE BDM 001532540: Indice des loyers commerciaux (ILC) - Base 100 au 1er trimestre 2008</t>
        </is>
      </c>
      <c r="E295" s="3" t="inlineStr">
        <is>
          <t>monthly package</t>
        </is>
      </c>
      <c r="F295" s="3" t="n">
        <v>9375</v>
      </c>
      <c r="G295" s="3" t="inlineStr">
        <is>
          <t>2021-03</t>
        </is>
      </c>
      <c r="H295" s="3" t="n">
        <v>9375</v>
      </c>
    </row>
    <row r="296" ht="20" customHeight="1">
      <c r="A296" s="3" t="inlineStr">
        <is>
          <t>Workshop rent</t>
        </is>
      </c>
      <c r="B296" s="3" t="n"/>
      <c r="C296" s="3" t="inlineStr">
        <is>
          <t>RENT_COMMERCIAL</t>
        </is>
      </c>
      <c r="D296" s="3" t="inlineStr">
        <is>
          <t>INSEE BDM 001532540: Indice des loyers commerciaux (ILC) - Base 100 au 1er trimestre 2008</t>
        </is>
      </c>
      <c r="E296" s="3" t="inlineStr">
        <is>
          <t>monthly package</t>
        </is>
      </c>
      <c r="F296" s="3" t="n">
        <v>9375</v>
      </c>
      <c r="G296" s="3" t="inlineStr">
        <is>
          <t>2021-04</t>
        </is>
      </c>
      <c r="H296" s="3" t="n">
        <v>9375</v>
      </c>
    </row>
    <row r="297" ht="20" customHeight="1">
      <c r="A297" s="3" t="inlineStr">
        <is>
          <t>Workshop rent</t>
        </is>
      </c>
      <c r="B297" s="3" t="n"/>
      <c r="C297" s="3" t="inlineStr">
        <is>
          <t>RENT_COMMERCIAL</t>
        </is>
      </c>
      <c r="D297" s="3" t="inlineStr">
        <is>
          <t>INSEE BDM 001532540: Indice des loyers commerciaux (ILC) - Base 100 au 1er trimestre 2008</t>
        </is>
      </c>
      <c r="E297" s="3" t="inlineStr">
        <is>
          <t>monthly package</t>
        </is>
      </c>
      <c r="F297" s="3" t="n">
        <v>9375</v>
      </c>
      <c r="G297" s="3" t="inlineStr">
        <is>
          <t>2021-05</t>
        </is>
      </c>
      <c r="H297" s="3" t="n">
        <v>9375</v>
      </c>
    </row>
    <row r="298" ht="20" customHeight="1">
      <c r="A298" s="3" t="inlineStr">
        <is>
          <t>Workshop rent</t>
        </is>
      </c>
      <c r="B298" s="3" t="n"/>
      <c r="C298" s="3" t="inlineStr">
        <is>
          <t>RENT_COMMERCIAL</t>
        </is>
      </c>
      <c r="D298" s="3" t="inlineStr">
        <is>
          <t>INSEE BDM 001532540: Indice des loyers commerciaux (ILC) - Base 100 au 1er trimestre 2008</t>
        </is>
      </c>
      <c r="E298" s="3" t="inlineStr">
        <is>
          <t>monthly package</t>
        </is>
      </c>
      <c r="F298" s="3" t="n">
        <v>9375</v>
      </c>
      <c r="G298" s="3" t="inlineStr">
        <is>
          <t>2021-06</t>
        </is>
      </c>
      <c r="H298" s="3" t="n">
        <v>9375</v>
      </c>
    </row>
    <row r="299" ht="20" customHeight="1">
      <c r="A299" s="3" t="inlineStr">
        <is>
          <t>Workshop rent</t>
        </is>
      </c>
      <c r="B299" s="3" t="n"/>
      <c r="C299" s="3" t="inlineStr">
        <is>
          <t>RENT_COMMERCIAL</t>
        </is>
      </c>
      <c r="D299" s="3" t="inlineStr">
        <is>
          <t>INSEE BDM 001532540: Indice des loyers commerciaux (ILC) - Base 100 au 1er trimestre 2008</t>
        </is>
      </c>
      <c r="E299" s="3" t="inlineStr">
        <is>
          <t>monthly package</t>
        </is>
      </c>
      <c r="F299" s="3" t="n">
        <v>9375</v>
      </c>
      <c r="G299" s="3" t="inlineStr">
        <is>
          <t>2021-07</t>
        </is>
      </c>
      <c r="H299" s="3" t="n">
        <v>9375</v>
      </c>
    </row>
    <row r="300" ht="20" customHeight="1">
      <c r="A300" s="3" t="inlineStr">
        <is>
          <t>Workshop rent</t>
        </is>
      </c>
      <c r="B300" s="3" t="n"/>
      <c r="C300" s="3" t="inlineStr">
        <is>
          <t>RENT_COMMERCIAL</t>
        </is>
      </c>
      <c r="D300" s="3" t="inlineStr">
        <is>
          <t>INSEE BDM 001532540: Indice des loyers commerciaux (ILC) - Base 100 au 1er trimestre 2008</t>
        </is>
      </c>
      <c r="E300" s="3" t="inlineStr">
        <is>
          <t>monthly package</t>
        </is>
      </c>
      <c r="F300" s="3" t="n">
        <v>9375</v>
      </c>
      <c r="G300" s="3" t="inlineStr">
        <is>
          <t>2021-08</t>
        </is>
      </c>
      <c r="H300" s="3" t="n">
        <v>9375</v>
      </c>
    </row>
    <row r="301" ht="20" customHeight="1">
      <c r="A301" s="3" t="inlineStr">
        <is>
          <t>Workshop rent</t>
        </is>
      </c>
      <c r="B301" s="3" t="n"/>
      <c r="C301" s="3" t="inlineStr">
        <is>
          <t>RENT_COMMERCIAL</t>
        </is>
      </c>
      <c r="D301" s="3" t="inlineStr">
        <is>
          <t>INSEE BDM 001532540: Indice des loyers commerciaux (ILC) - Base 100 au 1er trimestre 2008</t>
        </is>
      </c>
      <c r="E301" s="3" t="inlineStr">
        <is>
          <t>monthly package</t>
        </is>
      </c>
      <c r="F301" s="3" t="n">
        <v>9375</v>
      </c>
      <c r="G301" s="3" t="inlineStr">
        <is>
          <t>2021-09</t>
        </is>
      </c>
      <c r="H301" s="3" t="n">
        <v>9375</v>
      </c>
    </row>
    <row r="302" ht="20" customHeight="1">
      <c r="A302" s="3" t="inlineStr">
        <is>
          <t>Workshop rent</t>
        </is>
      </c>
      <c r="B302" s="3" t="n"/>
      <c r="C302" s="3" t="inlineStr">
        <is>
          <t>RENT_COMMERCIAL</t>
        </is>
      </c>
      <c r="D302" s="3" t="inlineStr">
        <is>
          <t>INSEE BDM 001532540: Indice des loyers commerciaux (ILC) - Base 100 au 1er trimestre 2008</t>
        </is>
      </c>
      <c r="E302" s="3" t="inlineStr">
        <is>
          <t>monthly package</t>
        </is>
      </c>
      <c r="F302" s="3" t="n">
        <v>9375</v>
      </c>
      <c r="G302" s="3" t="inlineStr">
        <is>
          <t>2021-10</t>
        </is>
      </c>
      <c r="H302" s="3" t="n">
        <v>9375</v>
      </c>
    </row>
    <row r="303" ht="20" customHeight="1">
      <c r="A303" s="3" t="inlineStr">
        <is>
          <t>Workshop rent</t>
        </is>
      </c>
      <c r="B303" s="3" t="n"/>
      <c r="C303" s="3" t="inlineStr">
        <is>
          <t>RENT_COMMERCIAL</t>
        </is>
      </c>
      <c r="D303" s="3" t="inlineStr">
        <is>
          <t>INSEE BDM 001532540: Indice des loyers commerciaux (ILC) - Base 100 au 1er trimestre 2008</t>
        </is>
      </c>
      <c r="E303" s="3" t="inlineStr">
        <is>
          <t>monthly package</t>
        </is>
      </c>
      <c r="F303" s="3" t="n">
        <v>9375</v>
      </c>
      <c r="G303" s="3" t="inlineStr">
        <is>
          <t>2021-11</t>
        </is>
      </c>
      <c r="H303" s="3" t="n">
        <v>9375</v>
      </c>
    </row>
    <row r="304" ht="20" customHeight="1">
      <c r="A304" s="3" t="inlineStr">
        <is>
          <t>Workshop rent</t>
        </is>
      </c>
      <c r="B304" s="3" t="n"/>
      <c r="C304" s="3" t="inlineStr">
        <is>
          <t>RENT_COMMERCIAL</t>
        </is>
      </c>
      <c r="D304" s="3" t="inlineStr">
        <is>
          <t>INSEE BDM 001532540: Indice des loyers commerciaux (ILC) - Base 100 au 1er trimestre 2008</t>
        </is>
      </c>
      <c r="E304" s="3" t="inlineStr">
        <is>
          <t>monthly package</t>
        </is>
      </c>
      <c r="F304" s="3" t="n">
        <v>9375</v>
      </c>
      <c r="G304" s="3" t="inlineStr">
        <is>
          <t>2021-12</t>
        </is>
      </c>
      <c r="H304" s="3" t="n">
        <v>9375</v>
      </c>
    </row>
    <row r="305" ht="20" customHeight="1">
      <c r="A305" s="3" t="inlineStr">
        <is>
          <t>Workshop rent</t>
        </is>
      </c>
      <c r="B305" s="3" t="n"/>
      <c r="C305" s="3" t="inlineStr">
        <is>
          <t>RENT_COMMERCIAL</t>
        </is>
      </c>
      <c r="D305" s="3" t="inlineStr">
        <is>
          <t>INSEE BDM 001532540: Indice des loyers commerciaux (ILC) - Base 100 au 1er trimestre 2008</t>
        </is>
      </c>
      <c r="E305" s="3" t="inlineStr">
        <is>
          <t>monthly package</t>
        </is>
      </c>
      <c r="F305" s="3" t="n">
        <v>9375</v>
      </c>
      <c r="G305" s="3" t="inlineStr">
        <is>
          <t>2022-01</t>
        </is>
      </c>
      <c r="H305" s="3" t="n">
        <v>9375</v>
      </c>
    </row>
    <row r="306" ht="20" customHeight="1">
      <c r="A306" s="3" t="inlineStr">
        <is>
          <t>Workshop rent</t>
        </is>
      </c>
      <c r="B306" s="3" t="n"/>
      <c r="C306" s="3" t="inlineStr">
        <is>
          <t>RENT_COMMERCIAL</t>
        </is>
      </c>
      <c r="D306" s="3" t="inlineStr">
        <is>
          <t>INSEE BDM 001532540: Indice des loyers commerciaux (ILC) - Base 100 au 1er trimestre 2008</t>
        </is>
      </c>
      <c r="E306" s="3" t="inlineStr">
        <is>
          <t>monthly package</t>
        </is>
      </c>
      <c r="F306" s="3" t="n">
        <v>9375</v>
      </c>
      <c r="G306" s="3" t="inlineStr">
        <is>
          <t>2022-02</t>
        </is>
      </c>
      <c r="H306" s="3" t="n">
        <v>9375</v>
      </c>
    </row>
    <row r="307" ht="20" customHeight="1">
      <c r="A307" s="3" t="inlineStr">
        <is>
          <t>Workshop rent</t>
        </is>
      </c>
      <c r="B307" s="3" t="n"/>
      <c r="C307" s="3" t="inlineStr">
        <is>
          <t>RENT_COMMERCIAL</t>
        </is>
      </c>
      <c r="D307" s="3" t="inlineStr">
        <is>
          <t>INSEE BDM 001532540: Indice des loyers commerciaux (ILC) - Base 100 au 1er trimestre 2008</t>
        </is>
      </c>
      <c r="E307" s="3" t="inlineStr">
        <is>
          <t>monthly package</t>
        </is>
      </c>
      <c r="F307" s="3" t="n">
        <v>9375</v>
      </c>
      <c r="G307" s="3" t="inlineStr">
        <is>
          <t>2022-03</t>
        </is>
      </c>
      <c r="H307" s="3" t="n">
        <v>9375</v>
      </c>
    </row>
    <row r="308" ht="20" customHeight="1">
      <c r="A308" s="3" t="inlineStr">
        <is>
          <t>Workshop rent</t>
        </is>
      </c>
      <c r="B308" s="3" t="n"/>
      <c r="C308" s="3" t="inlineStr">
        <is>
          <t>RENT_COMMERCIAL</t>
        </is>
      </c>
      <c r="D308" s="3" t="inlineStr">
        <is>
          <t>INSEE BDM 001532540: Indice des loyers commerciaux (ILC) - Base 100 au 1er trimestre 2008</t>
        </is>
      </c>
      <c r="E308" s="3" t="inlineStr">
        <is>
          <t>monthly package</t>
        </is>
      </c>
      <c r="F308" s="3" t="n">
        <v>9375</v>
      </c>
      <c r="G308" s="3" t="inlineStr">
        <is>
          <t>2022-04</t>
        </is>
      </c>
      <c r="H308" s="3" t="n">
        <v>9375</v>
      </c>
    </row>
    <row r="309" ht="20" customHeight="1">
      <c r="A309" s="3" t="inlineStr">
        <is>
          <t>Workshop rent</t>
        </is>
      </c>
      <c r="B309" s="3" t="n"/>
      <c r="C309" s="3" t="inlineStr">
        <is>
          <t>RENT_COMMERCIAL</t>
        </is>
      </c>
      <c r="D309" s="3" t="inlineStr">
        <is>
          <t>INSEE BDM 001532540: Indice des loyers commerciaux (ILC) - Base 100 au 1er trimestre 2008</t>
        </is>
      </c>
      <c r="E309" s="3" t="inlineStr">
        <is>
          <t>monthly package</t>
        </is>
      </c>
      <c r="F309" s="3" t="n">
        <v>9375</v>
      </c>
      <c r="G309" s="3" t="inlineStr">
        <is>
          <t>2022-05</t>
        </is>
      </c>
      <c r="H309" s="3" t="n">
        <v>9375</v>
      </c>
    </row>
    <row r="310" ht="20" customHeight="1">
      <c r="A310" s="3" t="inlineStr">
        <is>
          <t>Workshop rent</t>
        </is>
      </c>
      <c r="B310" s="3" t="n"/>
      <c r="C310" s="3" t="inlineStr">
        <is>
          <t>RENT_COMMERCIAL</t>
        </is>
      </c>
      <c r="D310" s="3" t="inlineStr">
        <is>
          <t>INSEE BDM 001532540: Indice des loyers commerciaux (ILC) - Base 100 au 1er trimestre 2008</t>
        </is>
      </c>
      <c r="E310" s="3" t="inlineStr">
        <is>
          <t>monthly package</t>
        </is>
      </c>
      <c r="F310" s="3" t="n">
        <v>9375</v>
      </c>
      <c r="G310" s="3" t="inlineStr">
        <is>
          <t>2022-06</t>
        </is>
      </c>
      <c r="H310" s="3" t="n">
        <v>9375</v>
      </c>
    </row>
    <row r="311" ht="20" customHeight="1">
      <c r="A311" s="3" t="inlineStr">
        <is>
          <t>Workshop rent</t>
        </is>
      </c>
      <c r="B311" s="3" t="n"/>
      <c r="C311" s="3" t="inlineStr">
        <is>
          <t>RENT_COMMERCIAL</t>
        </is>
      </c>
      <c r="D311" s="3" t="inlineStr">
        <is>
          <t>INSEE BDM 001532540: Indice des loyers commerciaux (ILC) - Base 100 au 1er trimestre 2008</t>
        </is>
      </c>
      <c r="E311" s="3" t="inlineStr">
        <is>
          <t>monthly package</t>
        </is>
      </c>
      <c r="F311" s="3" t="n">
        <v>9375</v>
      </c>
      <c r="G311" s="3" t="inlineStr">
        <is>
          <t>2022-07</t>
        </is>
      </c>
      <c r="H311" s="3" t="n">
        <v>9375</v>
      </c>
    </row>
    <row r="312" ht="20" customHeight="1">
      <c r="A312" s="3" t="inlineStr">
        <is>
          <t>Workshop rent</t>
        </is>
      </c>
      <c r="B312" s="3" t="n"/>
      <c r="C312" s="3" t="inlineStr">
        <is>
          <t>RENT_COMMERCIAL</t>
        </is>
      </c>
      <c r="D312" s="3" t="inlineStr">
        <is>
          <t>INSEE BDM 001532540: Indice des loyers commerciaux (ILC) - Base 100 au 1er trimestre 2008</t>
        </is>
      </c>
      <c r="E312" s="3" t="inlineStr">
        <is>
          <t>monthly package</t>
        </is>
      </c>
      <c r="F312" s="3" t="n">
        <v>9375</v>
      </c>
      <c r="G312" s="3" t="inlineStr">
        <is>
          <t>2022-08</t>
        </is>
      </c>
      <c r="H312" s="3" t="n">
        <v>9375</v>
      </c>
    </row>
    <row r="313" ht="20" customHeight="1">
      <c r="A313" s="3" t="inlineStr">
        <is>
          <t>Workshop rent</t>
        </is>
      </c>
      <c r="B313" s="3" t="n"/>
      <c r="C313" s="3" t="inlineStr">
        <is>
          <t>RENT_COMMERCIAL</t>
        </is>
      </c>
      <c r="D313" s="3" t="inlineStr">
        <is>
          <t>INSEE BDM 001532540: Indice des loyers commerciaux (ILC) - Base 100 au 1er trimestre 2008</t>
        </is>
      </c>
      <c r="E313" s="3" t="inlineStr">
        <is>
          <t>monthly package</t>
        </is>
      </c>
      <c r="F313" s="3" t="n">
        <v>9375</v>
      </c>
      <c r="G313" s="3" t="inlineStr">
        <is>
          <t>2022-09</t>
        </is>
      </c>
      <c r="H313" s="3" t="n">
        <v>9375</v>
      </c>
    </row>
    <row r="314" ht="20" customHeight="1">
      <c r="A314" s="3" t="inlineStr">
        <is>
          <t>Workshop rent</t>
        </is>
      </c>
      <c r="B314" s="3" t="n"/>
      <c r="C314" s="3" t="inlineStr">
        <is>
          <t>RENT_COMMERCIAL</t>
        </is>
      </c>
      <c r="D314" s="3" t="inlineStr">
        <is>
          <t>INSEE BDM 001532540: Indice des loyers commerciaux (ILC) - Base 100 au 1er trimestre 2008</t>
        </is>
      </c>
      <c r="E314" s="3" t="inlineStr">
        <is>
          <t>monthly package</t>
        </is>
      </c>
      <c r="F314" s="3" t="n">
        <v>9375</v>
      </c>
      <c r="G314" s="3" t="inlineStr">
        <is>
          <t>2022-10</t>
        </is>
      </c>
      <c r="H314" s="3" t="n">
        <v>9375</v>
      </c>
    </row>
    <row r="315" ht="20" customHeight="1">
      <c r="A315" s="3" t="inlineStr">
        <is>
          <t>Workshop rent</t>
        </is>
      </c>
      <c r="B315" s="3" t="n"/>
      <c r="C315" s="3" t="inlineStr">
        <is>
          <t>RENT_COMMERCIAL</t>
        </is>
      </c>
      <c r="D315" s="3" t="inlineStr">
        <is>
          <t>INSEE BDM 001532540: Indice des loyers commerciaux (ILC) - Base 100 au 1er trimestre 2008</t>
        </is>
      </c>
      <c r="E315" s="3" t="inlineStr">
        <is>
          <t>monthly package</t>
        </is>
      </c>
      <c r="F315" s="3" t="n">
        <v>9375</v>
      </c>
      <c r="G315" s="3" t="inlineStr">
        <is>
          <t>2022-11</t>
        </is>
      </c>
      <c r="H315" s="3" t="n">
        <v>9375</v>
      </c>
    </row>
    <row r="316" ht="20" customHeight="1">
      <c r="A316" s="3" t="inlineStr">
        <is>
          <t>Workshop rent</t>
        </is>
      </c>
      <c r="B316" s="3" t="n"/>
      <c r="C316" s="3" t="inlineStr">
        <is>
          <t>RENT_COMMERCIAL</t>
        </is>
      </c>
      <c r="D316" s="3" t="inlineStr">
        <is>
          <t>INSEE BDM 001532540: Indice des loyers commerciaux (ILC) - Base 100 au 1er trimestre 2008</t>
        </is>
      </c>
      <c r="E316" s="3" t="inlineStr">
        <is>
          <t>monthly package</t>
        </is>
      </c>
      <c r="F316" s="3" t="n">
        <v>9375</v>
      </c>
      <c r="G316" s="3" t="inlineStr">
        <is>
          <t>2022-12</t>
        </is>
      </c>
      <c r="H316" s="3" t="n">
        <v>9375</v>
      </c>
    </row>
    <row r="317" ht="20" customHeight="1">
      <c r="A317" s="3" t="inlineStr">
        <is>
          <t>Workshop rent</t>
        </is>
      </c>
      <c r="B317" s="3" t="n"/>
      <c r="C317" s="3" t="inlineStr">
        <is>
          <t>RENT_COMMERCIAL</t>
        </is>
      </c>
      <c r="D317" s="3" t="inlineStr">
        <is>
          <t>INSEE BDM 001532540: Indice des loyers commerciaux (ILC) - Base 100 au 1er trimestre 2008</t>
        </is>
      </c>
      <c r="E317" s="3" t="inlineStr">
        <is>
          <t>monthly package</t>
        </is>
      </c>
      <c r="F317" s="3" t="n">
        <v>9375</v>
      </c>
      <c r="G317" s="3" t="inlineStr">
        <is>
          <t>2023-01</t>
        </is>
      </c>
      <c r="H317" s="3" t="n">
        <v>9375</v>
      </c>
    </row>
    <row r="318" ht="20" customHeight="1">
      <c r="A318" s="3" t="inlineStr">
        <is>
          <t>Workshop rent</t>
        </is>
      </c>
      <c r="B318" s="3" t="n"/>
      <c r="C318" s="3" t="inlineStr">
        <is>
          <t>RENT_COMMERCIAL</t>
        </is>
      </c>
      <c r="D318" s="3" t="inlineStr">
        <is>
          <t>INSEE BDM 001532540: Indice des loyers commerciaux (ILC) - Base 100 au 1er trimestre 2008</t>
        </is>
      </c>
      <c r="E318" s="3" t="inlineStr">
        <is>
          <t>monthly package</t>
        </is>
      </c>
      <c r="F318" s="3" t="n">
        <v>9375</v>
      </c>
      <c r="G318" s="3" t="inlineStr">
        <is>
          <t>2023-02</t>
        </is>
      </c>
      <c r="H318" s="3" t="n">
        <v>9375</v>
      </c>
    </row>
    <row r="319" ht="20" customHeight="1">
      <c r="A319" s="3" t="inlineStr">
        <is>
          <t>Workshop rent</t>
        </is>
      </c>
      <c r="B319" s="3" t="n"/>
      <c r="C319" s="3" t="inlineStr">
        <is>
          <t>RENT_COMMERCIAL</t>
        </is>
      </c>
      <c r="D319" s="3" t="inlineStr">
        <is>
          <t>INSEE BDM 001532540: Indice des loyers commerciaux (ILC) - Base 100 au 1er trimestre 2008</t>
        </is>
      </c>
      <c r="E319" s="3" t="inlineStr">
        <is>
          <t>monthly package</t>
        </is>
      </c>
      <c r="F319" s="3" t="n">
        <v>9375</v>
      </c>
      <c r="G319" s="3" t="inlineStr">
        <is>
          <t>2023-03</t>
        </is>
      </c>
      <c r="H319" s="3" t="n">
        <v>9375</v>
      </c>
    </row>
    <row r="320" ht="20" customHeight="1">
      <c r="A320" s="3" t="inlineStr">
        <is>
          <t>Workshop rent</t>
        </is>
      </c>
      <c r="B320" s="3" t="n"/>
      <c r="C320" s="3" t="inlineStr">
        <is>
          <t>RENT_COMMERCIAL</t>
        </is>
      </c>
      <c r="D320" s="3" t="inlineStr">
        <is>
          <t>INSEE BDM 001532540: Indice des loyers commerciaux (ILC) - Base 100 au 1er trimestre 2008</t>
        </is>
      </c>
      <c r="E320" s="3" t="inlineStr">
        <is>
          <t>monthly package</t>
        </is>
      </c>
      <c r="F320" s="3" t="n">
        <v>9375</v>
      </c>
      <c r="G320" s="3" t="inlineStr">
        <is>
          <t>2023-04</t>
        </is>
      </c>
      <c r="H320" s="3" t="n">
        <v>9375</v>
      </c>
    </row>
    <row r="321" ht="20" customHeight="1">
      <c r="A321" s="3" t="inlineStr">
        <is>
          <t>Workshop rent</t>
        </is>
      </c>
      <c r="B321" s="3" t="n"/>
      <c r="C321" s="3" t="inlineStr">
        <is>
          <t>RENT_COMMERCIAL</t>
        </is>
      </c>
      <c r="D321" s="3" t="inlineStr">
        <is>
          <t>INSEE BDM 001532540: Indice des loyers commerciaux (ILC) - Base 100 au 1er trimestre 2008</t>
        </is>
      </c>
      <c r="E321" s="3" t="inlineStr">
        <is>
          <t>monthly package</t>
        </is>
      </c>
      <c r="F321" s="3" t="n">
        <v>9375</v>
      </c>
      <c r="G321" s="3" t="inlineStr">
        <is>
          <t>2023-05</t>
        </is>
      </c>
      <c r="H321" s="3" t="n">
        <v>9375</v>
      </c>
    </row>
    <row r="322" ht="20" customHeight="1">
      <c r="A322" s="3" t="inlineStr">
        <is>
          <t>Workshop rent</t>
        </is>
      </c>
      <c r="B322" s="3" t="n"/>
      <c r="C322" s="3" t="inlineStr">
        <is>
          <t>RENT_COMMERCIAL</t>
        </is>
      </c>
      <c r="D322" s="3" t="inlineStr">
        <is>
          <t>INSEE BDM 001532540: Indice des loyers commerciaux (ILC) - Base 100 au 1er trimestre 2008</t>
        </is>
      </c>
      <c r="E322" s="3" t="inlineStr">
        <is>
          <t>monthly package</t>
        </is>
      </c>
      <c r="F322" s="3" t="n">
        <v>9375</v>
      </c>
      <c r="G322" s="3" t="inlineStr">
        <is>
          <t>2023-06</t>
        </is>
      </c>
      <c r="H322" s="3" t="n">
        <v>9375</v>
      </c>
    </row>
    <row r="323" ht="20" customHeight="1">
      <c r="A323" s="3" t="inlineStr">
        <is>
          <t>Workshop rent</t>
        </is>
      </c>
      <c r="B323" s="3" t="n"/>
      <c r="C323" s="3" t="inlineStr">
        <is>
          <t>RENT_COMMERCIAL</t>
        </is>
      </c>
      <c r="D323" s="3" t="inlineStr">
        <is>
          <t>INSEE BDM 001532540: Indice des loyers commerciaux (ILC) - Base 100 au 1er trimestre 2008</t>
        </is>
      </c>
      <c r="E323" s="3" t="inlineStr">
        <is>
          <t>monthly package</t>
        </is>
      </c>
      <c r="F323" s="3" t="n">
        <v>9375</v>
      </c>
      <c r="G323" s="3" t="inlineStr">
        <is>
          <t>2023-07</t>
        </is>
      </c>
      <c r="H323" s="3" t="n">
        <v>9375</v>
      </c>
    </row>
    <row r="324" ht="20" customHeight="1">
      <c r="A324" s="3" t="inlineStr">
        <is>
          <t>Workshop rent</t>
        </is>
      </c>
      <c r="B324" s="3" t="n"/>
      <c r="C324" s="3" t="inlineStr">
        <is>
          <t>RENT_COMMERCIAL</t>
        </is>
      </c>
      <c r="D324" s="3" t="inlineStr">
        <is>
          <t>INSEE BDM 001532540: Indice des loyers commerciaux (ILC) - Base 100 au 1er trimestre 2008</t>
        </is>
      </c>
      <c r="E324" s="3" t="inlineStr">
        <is>
          <t>monthly package</t>
        </is>
      </c>
      <c r="F324" s="3" t="n">
        <v>9375</v>
      </c>
      <c r="G324" s="3" t="inlineStr">
        <is>
          <t>2023-08</t>
        </is>
      </c>
      <c r="H324" s="3" t="n">
        <v>9375</v>
      </c>
    </row>
    <row r="325" ht="20" customHeight="1">
      <c r="A325" s="3" t="inlineStr">
        <is>
          <t>Workshop rent</t>
        </is>
      </c>
      <c r="B325" s="3" t="n"/>
      <c r="C325" s="3" t="inlineStr">
        <is>
          <t>RENT_COMMERCIAL</t>
        </is>
      </c>
      <c r="D325" s="3" t="inlineStr">
        <is>
          <t>INSEE BDM 001532540: Indice des loyers commerciaux (ILC) - Base 100 au 1er trimestre 2008</t>
        </is>
      </c>
      <c r="E325" s="3" t="inlineStr">
        <is>
          <t>monthly package</t>
        </is>
      </c>
      <c r="F325" s="3" t="n">
        <v>9375</v>
      </c>
      <c r="G325" s="3" t="inlineStr">
        <is>
          <t>2023-09</t>
        </is>
      </c>
      <c r="H325" s="3" t="n">
        <v>9375</v>
      </c>
    </row>
    <row r="326" ht="20" customHeight="1">
      <c r="A326" s="3" t="inlineStr">
        <is>
          <t>Workshop rent</t>
        </is>
      </c>
      <c r="B326" s="3" t="n"/>
      <c r="C326" s="3" t="inlineStr">
        <is>
          <t>RENT_COMMERCIAL</t>
        </is>
      </c>
      <c r="D326" s="3" t="inlineStr">
        <is>
          <t>INSEE BDM 001532540: Indice des loyers commerciaux (ILC) - Base 100 au 1er trimestre 2008</t>
        </is>
      </c>
      <c r="E326" s="3" t="inlineStr">
        <is>
          <t>monthly package</t>
        </is>
      </c>
      <c r="F326" s="3" t="n">
        <v>9375</v>
      </c>
      <c r="G326" s="3" t="inlineStr">
        <is>
          <t>2023-10</t>
        </is>
      </c>
      <c r="H326" s="3" t="n">
        <v>9375</v>
      </c>
    </row>
    <row r="327" ht="20" customHeight="1">
      <c r="A327" s="3" t="inlineStr">
        <is>
          <t>Workshop rent</t>
        </is>
      </c>
      <c r="B327" s="3" t="n"/>
      <c r="C327" s="3" t="inlineStr">
        <is>
          <t>RENT_COMMERCIAL</t>
        </is>
      </c>
      <c r="D327" s="3" t="inlineStr">
        <is>
          <t>INSEE BDM 001532540: Indice des loyers commerciaux (ILC) - Base 100 au 1er trimestre 2008</t>
        </is>
      </c>
      <c r="E327" s="3" t="inlineStr">
        <is>
          <t>monthly package</t>
        </is>
      </c>
      <c r="F327" s="3" t="n">
        <v>9375</v>
      </c>
      <c r="G327" s="3" t="inlineStr">
        <is>
          <t>2023-11</t>
        </is>
      </c>
      <c r="H327" s="3" t="n">
        <v>9375</v>
      </c>
    </row>
    <row r="328" ht="20" customHeight="1">
      <c r="A328" s="3" t="inlineStr">
        <is>
          <t>Workshop rent</t>
        </is>
      </c>
      <c r="B328" s="3" t="n"/>
      <c r="C328" s="3" t="inlineStr">
        <is>
          <t>RENT_COMMERCIAL</t>
        </is>
      </c>
      <c r="D328" s="3" t="inlineStr">
        <is>
          <t>INSEE BDM 001532540: Indice des loyers commerciaux (ILC) - Base 100 au 1er trimestre 2008</t>
        </is>
      </c>
      <c r="E328" s="3" t="inlineStr">
        <is>
          <t>monthly package</t>
        </is>
      </c>
      <c r="F328" s="3" t="n">
        <v>9375</v>
      </c>
      <c r="G328" s="3" t="inlineStr">
        <is>
          <t>2023-12</t>
        </is>
      </c>
      <c r="H328" s="3" t="n">
        <v>9375</v>
      </c>
    </row>
    <row r="329" ht="20" customHeight="1">
      <c r="A329" s="3" t="inlineStr">
        <is>
          <t>Timber, boards and panels</t>
        </is>
      </c>
      <c r="B329" s="3" t="inlineStr">
        <is>
          <t>Wood</t>
        </is>
      </c>
      <c r="C329" s="3" t="inlineStr">
        <is>
          <t>WOOD</t>
        </is>
      </c>
      <c r="D329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29" s="3" t="inlineStr">
        <is>
          <t>m3</t>
        </is>
      </c>
      <c r="F329" s="3" t="n">
        <v>420</v>
      </c>
      <c r="G329" s="3" t="inlineStr">
        <is>
          <t>2021-01</t>
        </is>
      </c>
      <c r="H329" s="3" t="n">
        <v/>
      </c>
    </row>
    <row r="330" ht="20" customHeight="1">
      <c r="A330" s="3" t="inlineStr">
        <is>
          <t>Timber, boards and panels</t>
        </is>
      </c>
      <c r="B330" s="3" t="inlineStr">
        <is>
          <t>Wood</t>
        </is>
      </c>
      <c r="C330" s="3" t="inlineStr">
        <is>
          <t>WOOD</t>
        </is>
      </c>
      <c r="D330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30" s="3" t="inlineStr">
        <is>
          <t>m3</t>
        </is>
      </c>
      <c r="F330" s="3" t="n">
        <v>420</v>
      </c>
      <c r="G330" s="3" t="inlineStr">
        <is>
          <t>2021-02</t>
        </is>
      </c>
      <c r="H330" s="3" t="n">
        <v/>
      </c>
    </row>
    <row r="331" ht="20" customHeight="1">
      <c r="A331" s="3" t="inlineStr">
        <is>
          <t>Timber, boards and panels</t>
        </is>
      </c>
      <c r="B331" s="3" t="inlineStr">
        <is>
          <t>Wood</t>
        </is>
      </c>
      <c r="C331" s="3" t="inlineStr">
        <is>
          <t>WOOD</t>
        </is>
      </c>
      <c r="D331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31" s="3" t="inlineStr">
        <is>
          <t>m3</t>
        </is>
      </c>
      <c r="F331" s="3" t="n">
        <v>420</v>
      </c>
      <c r="G331" s="3" t="inlineStr">
        <is>
          <t>2021-03</t>
        </is>
      </c>
      <c r="H331" s="3" t="n">
        <v/>
      </c>
    </row>
    <row r="332" ht="20" customHeight="1">
      <c r="A332" s="3" t="inlineStr">
        <is>
          <t>Timber, boards and panels</t>
        </is>
      </c>
      <c r="B332" s="3" t="inlineStr">
        <is>
          <t>Wood</t>
        </is>
      </c>
      <c r="C332" s="3" t="inlineStr">
        <is>
          <t>WOOD</t>
        </is>
      </c>
      <c r="D332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32" s="3" t="inlineStr">
        <is>
          <t>m3</t>
        </is>
      </c>
      <c r="F332" s="3" t="n">
        <v>420</v>
      </c>
      <c r="G332" s="3" t="inlineStr">
        <is>
          <t>2021-04</t>
        </is>
      </c>
      <c r="H332" s="3" t="n">
        <v/>
      </c>
    </row>
    <row r="333" ht="20" customHeight="1">
      <c r="A333" s="3" t="inlineStr">
        <is>
          <t>Timber, boards and panels</t>
        </is>
      </c>
      <c r="B333" s="3" t="inlineStr">
        <is>
          <t>Wood</t>
        </is>
      </c>
      <c r="C333" s="3" t="inlineStr">
        <is>
          <t>WOOD</t>
        </is>
      </c>
      <c r="D333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33" s="3" t="inlineStr">
        <is>
          <t>m3</t>
        </is>
      </c>
      <c r="F333" s="3" t="n">
        <v>420</v>
      </c>
      <c r="G333" s="3" t="inlineStr">
        <is>
          <t>2021-05</t>
        </is>
      </c>
      <c r="H333" s="3" t="n">
        <v/>
      </c>
    </row>
    <row r="334" ht="20" customHeight="1">
      <c r="A334" s="3" t="inlineStr">
        <is>
          <t>Timber, boards and panels</t>
        </is>
      </c>
      <c r="B334" s="3" t="inlineStr">
        <is>
          <t>Wood</t>
        </is>
      </c>
      <c r="C334" s="3" t="inlineStr">
        <is>
          <t>WOOD</t>
        </is>
      </c>
      <c r="D334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34" s="3" t="inlineStr">
        <is>
          <t>m3</t>
        </is>
      </c>
      <c r="F334" s="3" t="n">
        <v>420</v>
      </c>
      <c r="G334" s="3" t="inlineStr">
        <is>
          <t>2021-06</t>
        </is>
      </c>
      <c r="H334" s="3" t="n">
        <v/>
      </c>
    </row>
    <row r="335" ht="20" customHeight="1">
      <c r="A335" s="3" t="inlineStr">
        <is>
          <t>Timber, boards and panels</t>
        </is>
      </c>
      <c r="B335" s="3" t="inlineStr">
        <is>
          <t>Wood</t>
        </is>
      </c>
      <c r="C335" s="3" t="inlineStr">
        <is>
          <t>WOOD</t>
        </is>
      </c>
      <c r="D335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35" s="3" t="inlineStr">
        <is>
          <t>m3</t>
        </is>
      </c>
      <c r="F335" s="3" t="n">
        <v>420</v>
      </c>
      <c r="G335" s="3" t="inlineStr">
        <is>
          <t>2021-07</t>
        </is>
      </c>
      <c r="H335" s="3" t="n">
        <v/>
      </c>
    </row>
    <row r="336" ht="20" customHeight="1">
      <c r="A336" s="3" t="inlineStr">
        <is>
          <t>Timber, boards and panels</t>
        </is>
      </c>
      <c r="B336" s="3" t="inlineStr">
        <is>
          <t>Wood</t>
        </is>
      </c>
      <c r="C336" s="3" t="inlineStr">
        <is>
          <t>WOOD</t>
        </is>
      </c>
      <c r="D336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36" s="3" t="inlineStr">
        <is>
          <t>m3</t>
        </is>
      </c>
      <c r="F336" s="3" t="n">
        <v>420</v>
      </c>
      <c r="G336" s="3" t="inlineStr">
        <is>
          <t>2021-08</t>
        </is>
      </c>
      <c r="H336" s="3" t="n">
        <v/>
      </c>
    </row>
    <row r="337" ht="20" customHeight="1">
      <c r="A337" s="3" t="inlineStr">
        <is>
          <t>Timber, boards and panels</t>
        </is>
      </c>
      <c r="B337" s="3" t="inlineStr">
        <is>
          <t>Wood</t>
        </is>
      </c>
      <c r="C337" s="3" t="inlineStr">
        <is>
          <t>WOOD</t>
        </is>
      </c>
      <c r="D337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37" s="3" t="inlineStr">
        <is>
          <t>m3</t>
        </is>
      </c>
      <c r="F337" s="3" t="n">
        <v>420</v>
      </c>
      <c r="G337" s="3" t="inlineStr">
        <is>
          <t>2021-09</t>
        </is>
      </c>
      <c r="H337" s="3" t="n">
        <v/>
      </c>
    </row>
    <row r="338" ht="20" customHeight="1">
      <c r="A338" s="3" t="inlineStr">
        <is>
          <t>Timber, boards and panels</t>
        </is>
      </c>
      <c r="B338" s="3" t="inlineStr">
        <is>
          <t>Wood</t>
        </is>
      </c>
      <c r="C338" s="3" t="inlineStr">
        <is>
          <t>WOOD</t>
        </is>
      </c>
      <c r="D338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38" s="3" t="inlineStr">
        <is>
          <t>m3</t>
        </is>
      </c>
      <c r="F338" s="3" t="n">
        <v>420</v>
      </c>
      <c r="G338" s="3" t="inlineStr">
        <is>
          <t>2021-10</t>
        </is>
      </c>
      <c r="H338" s="3" t="n">
        <v/>
      </c>
    </row>
    <row r="339" ht="20" customHeight="1">
      <c r="A339" s="3" t="inlineStr">
        <is>
          <t>Timber, boards and panels</t>
        </is>
      </c>
      <c r="B339" s="3" t="inlineStr">
        <is>
          <t>Wood</t>
        </is>
      </c>
      <c r="C339" s="3" t="inlineStr">
        <is>
          <t>WOOD</t>
        </is>
      </c>
      <c r="D339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39" s="3" t="inlineStr">
        <is>
          <t>m3</t>
        </is>
      </c>
      <c r="F339" s="3" t="n">
        <v>420</v>
      </c>
      <c r="G339" s="3" t="inlineStr">
        <is>
          <t>2021-11</t>
        </is>
      </c>
      <c r="H339" s="3" t="n">
        <v/>
      </c>
    </row>
    <row r="340" ht="20" customHeight="1">
      <c r="A340" s="3" t="inlineStr">
        <is>
          <t>Timber, boards and panels</t>
        </is>
      </c>
      <c r="B340" s="3" t="inlineStr">
        <is>
          <t>Wood</t>
        </is>
      </c>
      <c r="C340" s="3" t="inlineStr">
        <is>
          <t>WOOD</t>
        </is>
      </c>
      <c r="D340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40" s="3" t="inlineStr">
        <is>
          <t>m3</t>
        </is>
      </c>
      <c r="F340" s="3" t="n">
        <v>420</v>
      </c>
      <c r="G340" s="3" t="inlineStr">
        <is>
          <t>2021-12</t>
        </is>
      </c>
      <c r="H340" s="3" t="n">
        <v/>
      </c>
    </row>
    <row r="341" ht="20" customHeight="1">
      <c r="A341" s="3" t="inlineStr">
        <is>
          <t>Timber, boards and panels</t>
        </is>
      </c>
      <c r="B341" s="3" t="inlineStr">
        <is>
          <t>Wood</t>
        </is>
      </c>
      <c r="C341" s="3" t="inlineStr">
        <is>
          <t>WOOD</t>
        </is>
      </c>
      <c r="D341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41" s="3" t="inlineStr">
        <is>
          <t>m3</t>
        </is>
      </c>
      <c r="F341" s="3" t="n">
        <v>420</v>
      </c>
      <c r="G341" s="3" t="inlineStr">
        <is>
          <t>2022-01</t>
        </is>
      </c>
      <c r="H341" s="3" t="n">
        <v/>
      </c>
    </row>
    <row r="342" ht="20" customHeight="1">
      <c r="A342" s="3" t="inlineStr">
        <is>
          <t>Timber, boards and panels</t>
        </is>
      </c>
      <c r="B342" s="3" t="inlineStr">
        <is>
          <t>Wood</t>
        </is>
      </c>
      <c r="C342" s="3" t="inlineStr">
        <is>
          <t>WOOD</t>
        </is>
      </c>
      <c r="D342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42" s="3" t="inlineStr">
        <is>
          <t>m3</t>
        </is>
      </c>
      <c r="F342" s="3" t="n">
        <v>420</v>
      </c>
      <c r="G342" s="3" t="inlineStr">
        <is>
          <t>2022-02</t>
        </is>
      </c>
      <c r="H342" s="3" t="n">
        <v/>
      </c>
    </row>
    <row r="343" ht="20" customHeight="1">
      <c r="A343" s="3" t="inlineStr">
        <is>
          <t>Timber, boards and panels</t>
        </is>
      </c>
      <c r="B343" s="3" t="inlineStr">
        <is>
          <t>Wood</t>
        </is>
      </c>
      <c r="C343" s="3" t="inlineStr">
        <is>
          <t>WOOD</t>
        </is>
      </c>
      <c r="D343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43" s="3" t="inlineStr">
        <is>
          <t>m3</t>
        </is>
      </c>
      <c r="F343" s="3" t="n">
        <v>420</v>
      </c>
      <c r="G343" s="3" t="inlineStr">
        <is>
          <t>2022-03</t>
        </is>
      </c>
      <c r="H343" s="3" t="n">
        <v/>
      </c>
    </row>
    <row r="344" ht="20" customHeight="1">
      <c r="A344" s="3" t="inlineStr">
        <is>
          <t>Timber, boards and panels</t>
        </is>
      </c>
      <c r="B344" s="3" t="inlineStr">
        <is>
          <t>Wood</t>
        </is>
      </c>
      <c r="C344" s="3" t="inlineStr">
        <is>
          <t>WOOD</t>
        </is>
      </c>
      <c r="D344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44" s="3" t="inlineStr">
        <is>
          <t>m3</t>
        </is>
      </c>
      <c r="F344" s="3" t="n">
        <v>420</v>
      </c>
      <c r="G344" s="3" t="inlineStr">
        <is>
          <t>2022-04</t>
        </is>
      </c>
      <c r="H344" s="3" t="n">
        <v/>
      </c>
    </row>
    <row r="345" ht="20" customHeight="1">
      <c r="A345" s="3" t="inlineStr">
        <is>
          <t>Timber, boards and panels</t>
        </is>
      </c>
      <c r="B345" s="3" t="inlineStr">
        <is>
          <t>Wood</t>
        </is>
      </c>
      <c r="C345" s="3" t="inlineStr">
        <is>
          <t>WOOD</t>
        </is>
      </c>
      <c r="D345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45" s="3" t="inlineStr">
        <is>
          <t>m3</t>
        </is>
      </c>
      <c r="F345" s="3" t="n">
        <v>420</v>
      </c>
      <c r="G345" s="3" t="inlineStr">
        <is>
          <t>2022-05</t>
        </is>
      </c>
      <c r="H345" s="3" t="n">
        <v/>
      </c>
    </row>
    <row r="346" ht="20" customHeight="1">
      <c r="A346" s="3" t="inlineStr">
        <is>
          <t>Timber, boards and panels</t>
        </is>
      </c>
      <c r="B346" s="3" t="inlineStr">
        <is>
          <t>Wood</t>
        </is>
      </c>
      <c r="C346" s="3" t="inlineStr">
        <is>
          <t>WOOD</t>
        </is>
      </c>
      <c r="D346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46" s="3" t="inlineStr">
        <is>
          <t>m3</t>
        </is>
      </c>
      <c r="F346" s="3" t="n">
        <v>420</v>
      </c>
      <c r="G346" s="3" t="inlineStr">
        <is>
          <t>2022-06</t>
        </is>
      </c>
      <c r="H346" s="3" t="n">
        <v/>
      </c>
    </row>
    <row r="347" ht="20" customHeight="1">
      <c r="A347" s="3" t="inlineStr">
        <is>
          <t>Timber, boards and panels</t>
        </is>
      </c>
      <c r="B347" s="3" t="inlineStr">
        <is>
          <t>Wood</t>
        </is>
      </c>
      <c r="C347" s="3" t="inlineStr">
        <is>
          <t>WOOD</t>
        </is>
      </c>
      <c r="D347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47" s="3" t="inlineStr">
        <is>
          <t>m3</t>
        </is>
      </c>
      <c r="F347" s="3" t="n">
        <v>420</v>
      </c>
      <c r="G347" s="3" t="inlineStr">
        <is>
          <t>2022-07</t>
        </is>
      </c>
      <c r="H347" s="3" t="n">
        <v/>
      </c>
    </row>
    <row r="348" ht="20" customHeight="1">
      <c r="A348" s="3" t="inlineStr">
        <is>
          <t>Timber, boards and panels</t>
        </is>
      </c>
      <c r="B348" s="3" t="inlineStr">
        <is>
          <t>Wood</t>
        </is>
      </c>
      <c r="C348" s="3" t="inlineStr">
        <is>
          <t>WOOD</t>
        </is>
      </c>
      <c r="D348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48" s="3" t="inlineStr">
        <is>
          <t>m3</t>
        </is>
      </c>
      <c r="F348" s="3" t="n">
        <v>420</v>
      </c>
      <c r="G348" s="3" t="inlineStr">
        <is>
          <t>2022-08</t>
        </is>
      </c>
      <c r="H348" s="3" t="n">
        <v/>
      </c>
    </row>
    <row r="349" ht="20" customHeight="1">
      <c r="A349" s="3" t="inlineStr">
        <is>
          <t>Timber, boards and panels</t>
        </is>
      </c>
      <c r="B349" s="3" t="inlineStr">
        <is>
          <t>Wood</t>
        </is>
      </c>
      <c r="C349" s="3" t="inlineStr">
        <is>
          <t>WOOD</t>
        </is>
      </c>
      <c r="D349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49" s="3" t="inlineStr">
        <is>
          <t>m3</t>
        </is>
      </c>
      <c r="F349" s="3" t="n">
        <v>420</v>
      </c>
      <c r="G349" s="3" t="inlineStr">
        <is>
          <t>2022-09</t>
        </is>
      </c>
      <c r="H349" s="3" t="n">
        <v/>
      </c>
    </row>
    <row r="350" ht="20" customHeight="1">
      <c r="A350" s="3" t="inlineStr">
        <is>
          <t>Timber, boards and panels</t>
        </is>
      </c>
      <c r="B350" s="3" t="inlineStr">
        <is>
          <t>Wood</t>
        </is>
      </c>
      <c r="C350" s="3" t="inlineStr">
        <is>
          <t>WOOD</t>
        </is>
      </c>
      <c r="D350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50" s="3" t="inlineStr">
        <is>
          <t>m3</t>
        </is>
      </c>
      <c r="F350" s="3" t="n">
        <v>420</v>
      </c>
      <c r="G350" s="3" t="inlineStr">
        <is>
          <t>2022-10</t>
        </is>
      </c>
      <c r="H350" s="3" t="n">
        <v/>
      </c>
    </row>
    <row r="351" ht="20" customHeight="1">
      <c r="A351" s="3" t="inlineStr">
        <is>
          <t>Timber, boards and panels</t>
        </is>
      </c>
      <c r="B351" s="3" t="inlineStr">
        <is>
          <t>Wood</t>
        </is>
      </c>
      <c r="C351" s="3" t="inlineStr">
        <is>
          <t>WOOD</t>
        </is>
      </c>
      <c r="D351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51" s="3" t="inlineStr">
        <is>
          <t>m3</t>
        </is>
      </c>
      <c r="F351" s="3" t="n">
        <v>420</v>
      </c>
      <c r="G351" s="3" t="inlineStr">
        <is>
          <t>2022-11</t>
        </is>
      </c>
      <c r="H351" s="3" t="n">
        <v/>
      </c>
    </row>
    <row r="352" ht="20" customHeight="1">
      <c r="A352" s="3" t="inlineStr">
        <is>
          <t>Timber, boards and panels</t>
        </is>
      </c>
      <c r="B352" s="3" t="inlineStr">
        <is>
          <t>Wood</t>
        </is>
      </c>
      <c r="C352" s="3" t="inlineStr">
        <is>
          <t>WOOD</t>
        </is>
      </c>
      <c r="D352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52" s="3" t="inlineStr">
        <is>
          <t>m3</t>
        </is>
      </c>
      <c r="F352" s="3" t="n">
        <v>420</v>
      </c>
      <c r="G352" s="3" t="inlineStr">
        <is>
          <t>2022-12</t>
        </is>
      </c>
      <c r="H352" s="3" t="n">
        <v/>
      </c>
    </row>
    <row r="353" ht="20" customHeight="1">
      <c r="A353" s="3" t="inlineStr">
        <is>
          <t>Timber, boards and panels</t>
        </is>
      </c>
      <c r="B353" s="3" t="inlineStr">
        <is>
          <t>Wood</t>
        </is>
      </c>
      <c r="C353" s="3" t="inlineStr">
        <is>
          <t>WOOD</t>
        </is>
      </c>
      <c r="D353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53" s="3" t="inlineStr">
        <is>
          <t>m3</t>
        </is>
      </c>
      <c r="F353" s="3" t="n">
        <v>420</v>
      </c>
      <c r="G353" s="3" t="inlineStr">
        <is>
          <t>2023-01</t>
        </is>
      </c>
      <c r="H353" s="3" t="n">
        <v/>
      </c>
    </row>
    <row r="354" ht="20" customHeight="1">
      <c r="A354" s="3" t="inlineStr">
        <is>
          <t>Timber, boards and panels</t>
        </is>
      </c>
      <c r="B354" s="3" t="inlineStr">
        <is>
          <t>Wood</t>
        </is>
      </c>
      <c r="C354" s="3" t="inlineStr">
        <is>
          <t>WOOD</t>
        </is>
      </c>
      <c r="D354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54" s="3" t="inlineStr">
        <is>
          <t>m3</t>
        </is>
      </c>
      <c r="F354" s="3" t="n">
        <v>420</v>
      </c>
      <c r="G354" s="3" t="inlineStr">
        <is>
          <t>2023-02</t>
        </is>
      </c>
      <c r="H354" s="3" t="n">
        <v/>
      </c>
    </row>
    <row r="355" ht="20" customHeight="1">
      <c r="A355" s="3" t="inlineStr">
        <is>
          <t>Timber, boards and panels</t>
        </is>
      </c>
      <c r="B355" s="3" t="inlineStr">
        <is>
          <t>Wood</t>
        </is>
      </c>
      <c r="C355" s="3" t="inlineStr">
        <is>
          <t>WOOD</t>
        </is>
      </c>
      <c r="D355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55" s="3" t="inlineStr">
        <is>
          <t>m3</t>
        </is>
      </c>
      <c r="F355" s="3" t="n">
        <v>420</v>
      </c>
      <c r="G355" s="3" t="inlineStr">
        <is>
          <t>2023-03</t>
        </is>
      </c>
      <c r="H355" s="3" t="n">
        <v/>
      </c>
    </row>
    <row r="356" ht="20" customHeight="1">
      <c r="A356" s="3" t="inlineStr">
        <is>
          <t>Timber, boards and panels</t>
        </is>
      </c>
      <c r="B356" s="3" t="inlineStr">
        <is>
          <t>Wood</t>
        </is>
      </c>
      <c r="C356" s="3" t="inlineStr">
        <is>
          <t>WOOD</t>
        </is>
      </c>
      <c r="D356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56" s="3" t="inlineStr">
        <is>
          <t>m3</t>
        </is>
      </c>
      <c r="F356" s="3" t="n">
        <v>420</v>
      </c>
      <c r="G356" s="3" t="inlineStr">
        <is>
          <t>2023-04</t>
        </is>
      </c>
      <c r="H356" s="3" t="n">
        <v/>
      </c>
    </row>
    <row r="357" ht="20" customHeight="1">
      <c r="A357" s="3" t="inlineStr">
        <is>
          <t>Timber, boards and panels</t>
        </is>
      </c>
      <c r="B357" s="3" t="inlineStr">
        <is>
          <t>Wood</t>
        </is>
      </c>
      <c r="C357" s="3" t="inlineStr">
        <is>
          <t>WOOD</t>
        </is>
      </c>
      <c r="D357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57" s="3" t="inlineStr">
        <is>
          <t>m3</t>
        </is>
      </c>
      <c r="F357" s="3" t="n">
        <v>420</v>
      </c>
      <c r="G357" s="3" t="inlineStr">
        <is>
          <t>2023-05</t>
        </is>
      </c>
      <c r="H357" s="3" t="n">
        <v/>
      </c>
    </row>
    <row r="358" ht="20" customHeight="1">
      <c r="A358" s="3" t="inlineStr">
        <is>
          <t>Timber, boards and panels</t>
        </is>
      </c>
      <c r="B358" s="3" t="inlineStr">
        <is>
          <t>Wood</t>
        </is>
      </c>
      <c r="C358" s="3" t="inlineStr">
        <is>
          <t>WOOD</t>
        </is>
      </c>
      <c r="D358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58" s="3" t="inlineStr">
        <is>
          <t>m3</t>
        </is>
      </c>
      <c r="F358" s="3" t="n">
        <v>420</v>
      </c>
      <c r="G358" s="3" t="inlineStr">
        <is>
          <t>2023-06</t>
        </is>
      </c>
      <c r="H358" s="3" t="n">
        <v/>
      </c>
    </row>
    <row r="359" ht="20" customHeight="1">
      <c r="A359" s="3" t="inlineStr">
        <is>
          <t>Timber, boards and panels</t>
        </is>
      </c>
      <c r="B359" s="3" t="inlineStr">
        <is>
          <t>Wood</t>
        </is>
      </c>
      <c r="C359" s="3" t="inlineStr">
        <is>
          <t>WOOD</t>
        </is>
      </c>
      <c r="D359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59" s="3" t="inlineStr">
        <is>
          <t>m3</t>
        </is>
      </c>
      <c r="F359" s="3" t="n">
        <v>420</v>
      </c>
      <c r="G359" s="3" t="inlineStr">
        <is>
          <t>2023-07</t>
        </is>
      </c>
      <c r="H359" s="3" t="n">
        <v/>
      </c>
    </row>
    <row r="360" ht="20" customHeight="1">
      <c r="A360" s="3" t="inlineStr">
        <is>
          <t>Timber, boards and panels</t>
        </is>
      </c>
      <c r="B360" s="3" t="inlineStr">
        <is>
          <t>Wood</t>
        </is>
      </c>
      <c r="C360" s="3" t="inlineStr">
        <is>
          <t>WOOD</t>
        </is>
      </c>
      <c r="D360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60" s="3" t="inlineStr">
        <is>
          <t>m3</t>
        </is>
      </c>
      <c r="F360" s="3" t="n">
        <v>420</v>
      </c>
      <c r="G360" s="3" t="inlineStr">
        <is>
          <t>2023-08</t>
        </is>
      </c>
      <c r="H360" s="3" t="n">
        <v/>
      </c>
    </row>
    <row r="361" ht="20" customHeight="1">
      <c r="A361" s="3" t="inlineStr">
        <is>
          <t>Timber, boards and panels</t>
        </is>
      </c>
      <c r="B361" s="3" t="inlineStr">
        <is>
          <t>Wood</t>
        </is>
      </c>
      <c r="C361" s="3" t="inlineStr">
        <is>
          <t>WOOD</t>
        </is>
      </c>
      <c r="D361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61" s="3" t="inlineStr">
        <is>
          <t>m3</t>
        </is>
      </c>
      <c r="F361" s="3" t="n">
        <v>420</v>
      </c>
      <c r="G361" s="3" t="inlineStr">
        <is>
          <t>2023-09</t>
        </is>
      </c>
      <c r="H361" s="3" t="n">
        <v/>
      </c>
    </row>
    <row r="362" ht="20" customHeight="1">
      <c r="A362" s="3" t="inlineStr">
        <is>
          <t>Timber, boards and panels</t>
        </is>
      </c>
      <c r="B362" s="3" t="inlineStr">
        <is>
          <t>Wood</t>
        </is>
      </c>
      <c r="C362" s="3" t="inlineStr">
        <is>
          <t>WOOD</t>
        </is>
      </c>
      <c r="D362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62" s="3" t="inlineStr">
        <is>
          <t>m3</t>
        </is>
      </c>
      <c r="F362" s="3" t="n">
        <v>420</v>
      </c>
      <c r="G362" s="3" t="inlineStr">
        <is>
          <t>2023-10</t>
        </is>
      </c>
      <c r="H362" s="3" t="n">
        <v/>
      </c>
    </row>
    <row r="363" ht="20" customHeight="1">
      <c r="A363" s="3" t="inlineStr">
        <is>
          <t>Timber, boards and panels</t>
        </is>
      </c>
      <c r="B363" s="3" t="inlineStr">
        <is>
          <t>Wood</t>
        </is>
      </c>
      <c r="C363" s="3" t="inlineStr">
        <is>
          <t>WOOD</t>
        </is>
      </c>
      <c r="D363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63" s="3" t="inlineStr">
        <is>
          <t>m3</t>
        </is>
      </c>
      <c r="F363" s="3" t="n">
        <v>420</v>
      </c>
      <c r="G363" s="3" t="inlineStr">
        <is>
          <t>2023-11</t>
        </is>
      </c>
      <c r="H363" s="3" t="n">
        <v/>
      </c>
    </row>
    <row r="364" ht="20" customHeight="1">
      <c r="A364" s="3" t="inlineStr">
        <is>
          <t>Timber, boards and panels</t>
        </is>
      </c>
      <c r="B364" s="3" t="inlineStr">
        <is>
          <t>Wood</t>
        </is>
      </c>
      <c r="C364" s="3" t="inlineStr">
        <is>
          <t>WOOD</t>
        </is>
      </c>
      <c r="D364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364" s="3" t="inlineStr">
        <is>
          <t>m3</t>
        </is>
      </c>
      <c r="F364" s="3" t="n">
        <v>420</v>
      </c>
      <c r="G364" s="3" t="inlineStr">
        <is>
          <t>2023-12</t>
        </is>
      </c>
      <c r="H364" s="3" t="n">
        <v/>
      </c>
    </row>
    <row r="365" ht="20" customHeight="1">
      <c r="A365" s="3" t="inlineStr">
        <is>
          <t>Zinc-plated hinges, fasteners and handles</t>
        </is>
      </c>
      <c r="B365" s="3" t="inlineStr">
        <is>
          <t>Zinc</t>
        </is>
      </c>
      <c r="C365" s="3" t="inlineStr">
        <is>
          <t>ZINC</t>
        </is>
      </c>
      <c r="D365" s="3" t="inlineStr">
        <is>
          <t>INSEE BDM 010002072: Cours des matières premières importées - Zinc, Pureté 99,995% - prix d’acquisition au comptant, LME (London Metal Exchange) - Prix en dollars US par tonne</t>
        </is>
      </c>
      <c r="E365" s="3" t="inlineStr">
        <is>
          <t>kg</t>
        </is>
      </c>
      <c r="F365" s="3" t="n">
        <v>2.8</v>
      </c>
      <c r="G365" s="3" t="inlineStr">
        <is>
          <t>2021-01</t>
        </is>
      </c>
      <c r="H365" s="3" t="n">
        <v>2.8</v>
      </c>
    </row>
    <row r="366" ht="20" customHeight="1">
      <c r="A366" s="3" t="inlineStr">
        <is>
          <t>Zinc-plated hinges, fasteners and handles</t>
        </is>
      </c>
      <c r="B366" s="3" t="inlineStr">
        <is>
          <t>Zinc</t>
        </is>
      </c>
      <c r="C366" s="3" t="inlineStr">
        <is>
          <t>ZINC</t>
        </is>
      </c>
      <c r="D366" s="3" t="inlineStr">
        <is>
          <t>INSEE BDM 010002072: Cours des matières premières importées - Zinc, Pureté 99,995% - prix d’acquisition au comptant, LME (London Metal Exchange) - Prix en dollars US par tonne</t>
        </is>
      </c>
      <c r="E366" s="3" t="inlineStr">
        <is>
          <t>kg</t>
        </is>
      </c>
      <c r="F366" s="3" t="n">
        <v>2.8</v>
      </c>
      <c r="G366" s="3" t="inlineStr">
        <is>
          <t>2021-02</t>
        </is>
      </c>
      <c r="H366" s="3" t="n">
        <v>2.8367</v>
      </c>
    </row>
    <row r="367" ht="20" customHeight="1">
      <c r="A367" s="3" t="inlineStr">
        <is>
          <t>Zinc-plated hinges, fasteners and handles</t>
        </is>
      </c>
      <c r="B367" s="3" t="inlineStr">
        <is>
          <t>Zinc</t>
        </is>
      </c>
      <c r="C367" s="3" t="inlineStr">
        <is>
          <t>ZINC</t>
        </is>
      </c>
      <c r="D367" s="3" t="inlineStr">
        <is>
          <t>INSEE BDM 010002072: Cours des matières premières importées - Zinc, Pureté 99,995% - prix d’acquisition au comptant, LME (London Metal Exchange) - Prix en dollars US par tonne</t>
        </is>
      </c>
      <c r="E367" s="3" t="inlineStr">
        <is>
          <t>kg</t>
        </is>
      </c>
      <c r="F367" s="3" t="n">
        <v>2.8</v>
      </c>
      <c r="G367" s="3" t="inlineStr">
        <is>
          <t>2021-03</t>
        </is>
      </c>
      <c r="H367" s="3" t="n">
        <v>2.8869</v>
      </c>
    </row>
    <row r="368" ht="20" customHeight="1">
      <c r="A368" s="3" t="inlineStr">
        <is>
          <t>Zinc-plated hinges, fasteners and handles</t>
        </is>
      </c>
      <c r="B368" s="3" t="inlineStr">
        <is>
          <t>Zinc</t>
        </is>
      </c>
      <c r="C368" s="3" t="inlineStr">
        <is>
          <t>ZINC</t>
        </is>
      </c>
      <c r="D368" s="3" t="inlineStr">
        <is>
          <t>INSEE BDM 010002072: Cours des matières premières importées - Zinc, Pureté 99,995% - prix d’acquisition au comptant, LME (London Metal Exchange) - Prix en dollars US par tonne</t>
        </is>
      </c>
      <c r="E368" s="3" t="inlineStr">
        <is>
          <t>kg</t>
        </is>
      </c>
      <c r="F368" s="3" t="n">
        <v>2.8</v>
      </c>
      <c r="G368" s="3" t="inlineStr">
        <is>
          <t>2021-04</t>
        </is>
      </c>
      <c r="H368" s="3" t="n">
        <v>2.9237</v>
      </c>
    </row>
    <row r="369" ht="20" customHeight="1">
      <c r="A369" s="3" t="inlineStr">
        <is>
          <t>Zinc-plated hinges, fasteners and handles</t>
        </is>
      </c>
      <c r="B369" s="3" t="inlineStr">
        <is>
          <t>Zinc</t>
        </is>
      </c>
      <c r="C369" s="3" t="inlineStr">
        <is>
          <t>ZINC</t>
        </is>
      </c>
      <c r="D369" s="3" t="inlineStr">
        <is>
          <t>INSEE BDM 010002072: Cours des matières premières importées - Zinc, Pureté 99,995% - prix d’acquisition au comptant, LME (London Metal Exchange) - Prix en dollars US par tonne</t>
        </is>
      </c>
      <c r="E369" s="3" t="inlineStr">
        <is>
          <t>kg</t>
        </is>
      </c>
      <c r="F369" s="3" t="n">
        <v>2.8</v>
      </c>
      <c r="G369" s="3" t="inlineStr">
        <is>
          <t>2021-05</t>
        </is>
      </c>
      <c r="H369" s="3" t="n">
        <v>3.0716</v>
      </c>
    </row>
    <row r="370" ht="20" customHeight="1">
      <c r="A370" s="3" t="inlineStr">
        <is>
          <t>Zinc-plated hinges, fasteners and handles</t>
        </is>
      </c>
      <c r="B370" s="3" t="inlineStr">
        <is>
          <t>Zinc</t>
        </is>
      </c>
      <c r="C370" s="3" t="inlineStr">
        <is>
          <t>ZINC</t>
        </is>
      </c>
      <c r="D370" s="3" t="inlineStr">
        <is>
          <t>INSEE BDM 010002072: Cours des matières premières importées - Zinc, Pureté 99,995% - prix d’acquisition au comptant, LME (London Metal Exchange) - Prix en dollars US par tonne</t>
        </is>
      </c>
      <c r="E370" s="3" t="inlineStr">
        <is>
          <t>kg</t>
        </is>
      </c>
      <c r="F370" s="3" t="n">
        <v>2.8</v>
      </c>
      <c r="G370" s="3" t="inlineStr">
        <is>
          <t>2021-06</t>
        </is>
      </c>
      <c r="H370" s="3" t="n">
        <v>3.0507</v>
      </c>
    </row>
    <row r="371" ht="20" customHeight="1">
      <c r="A371" s="3" t="inlineStr">
        <is>
          <t>Zinc-plated hinges, fasteners and handles</t>
        </is>
      </c>
      <c r="B371" s="3" t="inlineStr">
        <is>
          <t>Zinc</t>
        </is>
      </c>
      <c r="C371" s="3" t="inlineStr">
        <is>
          <t>ZINC</t>
        </is>
      </c>
      <c r="D371" s="3" t="inlineStr">
        <is>
          <t>INSEE BDM 010002072: Cours des matières premières importées - Zinc, Pureté 99,995% - prix d’acquisition au comptant, LME (London Metal Exchange) - Prix en dollars US par tonne</t>
        </is>
      </c>
      <c r="E371" s="3" t="inlineStr">
        <is>
          <t>kg</t>
        </is>
      </c>
      <c r="F371" s="3" t="n">
        <v>2.8</v>
      </c>
      <c r="G371" s="3" t="inlineStr">
        <is>
          <t>2021-07</t>
        </is>
      </c>
      <c r="H371" s="3" t="n">
        <v>3.0433</v>
      </c>
    </row>
    <row r="372" ht="20" customHeight="1">
      <c r="A372" s="3" t="inlineStr">
        <is>
          <t>Zinc-plated hinges, fasteners and handles</t>
        </is>
      </c>
      <c r="B372" s="3" t="inlineStr">
        <is>
          <t>Zinc</t>
        </is>
      </c>
      <c r="C372" s="3" t="inlineStr">
        <is>
          <t>ZINC</t>
        </is>
      </c>
      <c r="D372" s="3" t="inlineStr">
        <is>
          <t>INSEE BDM 010002072: Cours des matières premières importées - Zinc, Pureté 99,995% - prix d’acquisition au comptant, LME (London Metal Exchange) - Prix en dollars US par tonne</t>
        </is>
      </c>
      <c r="E372" s="3" t="inlineStr">
        <is>
          <t>kg</t>
        </is>
      </c>
      <c r="F372" s="3" t="n">
        <v>2.8</v>
      </c>
      <c r="G372" s="3" t="inlineStr">
        <is>
          <t>2021-08</t>
        </is>
      </c>
      <c r="H372" s="3" t="n">
        <v>3.0908</v>
      </c>
    </row>
    <row r="373" ht="20" customHeight="1">
      <c r="A373" s="3" t="inlineStr">
        <is>
          <t>Zinc-plated hinges, fasteners and handles</t>
        </is>
      </c>
      <c r="B373" s="3" t="inlineStr">
        <is>
          <t>Zinc</t>
        </is>
      </c>
      <c r="C373" s="3" t="inlineStr">
        <is>
          <t>ZINC</t>
        </is>
      </c>
      <c r="D373" s="3" t="inlineStr">
        <is>
          <t>INSEE BDM 010002072: Cours des matières premières importées - Zinc, Pureté 99,995% - prix d’acquisition au comptant, LME (London Metal Exchange) - Prix en dollars US par tonne</t>
        </is>
      </c>
      <c r="E373" s="3" t="inlineStr">
        <is>
          <t>kg</t>
        </is>
      </c>
      <c r="F373" s="3" t="n">
        <v>2.8</v>
      </c>
      <c r="G373" s="3" t="inlineStr">
        <is>
          <t>2021-09</t>
        </is>
      </c>
      <c r="H373" s="3" t="n">
        <v>3.1447</v>
      </c>
    </row>
    <row r="374" ht="20" customHeight="1">
      <c r="A374" s="3" t="inlineStr">
        <is>
          <t>Zinc-plated hinges, fasteners and handles</t>
        </is>
      </c>
      <c r="B374" s="3" t="inlineStr">
        <is>
          <t>Zinc</t>
        </is>
      </c>
      <c r="C374" s="3" t="inlineStr">
        <is>
          <t>ZINC</t>
        </is>
      </c>
      <c r="D374" s="3" t="inlineStr">
        <is>
          <t>INSEE BDM 010002072: Cours des matières premières importées - Zinc, Pureté 99,995% - prix d’acquisition au comptant, LME (London Metal Exchange) - Prix en dollars US par tonne</t>
        </is>
      </c>
      <c r="E374" s="3" t="inlineStr">
        <is>
          <t>kg</t>
        </is>
      </c>
      <c r="F374" s="3" t="n">
        <v>2.8</v>
      </c>
      <c r="G374" s="3" t="inlineStr">
        <is>
          <t>2021-10</t>
        </is>
      </c>
      <c r="H374" s="3" t="n">
        <v>3.4836</v>
      </c>
    </row>
    <row r="375" ht="20" customHeight="1">
      <c r="A375" s="3" t="inlineStr">
        <is>
          <t>Zinc-plated hinges, fasteners and handles</t>
        </is>
      </c>
      <c r="B375" s="3" t="inlineStr">
        <is>
          <t>Zinc</t>
        </is>
      </c>
      <c r="C375" s="3" t="inlineStr">
        <is>
          <t>ZINC</t>
        </is>
      </c>
      <c r="D375" s="3" t="inlineStr">
        <is>
          <t>INSEE BDM 010002072: Cours des matières premières importées - Zinc, Pureté 99,995% - prix d’acquisition au comptant, LME (London Metal Exchange) - Prix en dollars US par tonne</t>
        </is>
      </c>
      <c r="E375" s="3" t="inlineStr">
        <is>
          <t>kg</t>
        </is>
      </c>
      <c r="F375" s="3" t="n">
        <v>2.8</v>
      </c>
      <c r="G375" s="3" t="inlineStr">
        <is>
          <t>2021-11</t>
        </is>
      </c>
      <c r="H375" s="3" t="n">
        <v>3.429</v>
      </c>
    </row>
    <row r="376" ht="20" customHeight="1">
      <c r="A376" s="3" t="inlineStr">
        <is>
          <t>Zinc-plated hinges, fasteners and handles</t>
        </is>
      </c>
      <c r="B376" s="3" t="inlineStr">
        <is>
          <t>Zinc</t>
        </is>
      </c>
      <c r="C376" s="3" t="inlineStr">
        <is>
          <t>ZINC</t>
        </is>
      </c>
      <c r="D376" s="3" t="inlineStr">
        <is>
          <t>INSEE BDM 010002072: Cours des matières premières importées - Zinc, Pureté 99,995% - prix d’acquisition au comptant, LME (London Metal Exchange) - Prix en dollars US par tonne</t>
        </is>
      </c>
      <c r="E376" s="3" t="inlineStr">
        <is>
          <t>kg</t>
        </is>
      </c>
      <c r="F376" s="3" t="n">
        <v>2.8</v>
      </c>
      <c r="G376" s="3" t="inlineStr">
        <is>
          <t>2021-12</t>
        </is>
      </c>
      <c r="H376" s="3" t="n">
        <v>3.5229</v>
      </c>
    </row>
    <row r="377" ht="20" customHeight="1">
      <c r="A377" s="3" t="inlineStr">
        <is>
          <t>Zinc-plated hinges, fasteners and handles</t>
        </is>
      </c>
      <c r="B377" s="3" t="inlineStr">
        <is>
          <t>Zinc</t>
        </is>
      </c>
      <c r="C377" s="3" t="inlineStr">
        <is>
          <t>ZINC</t>
        </is>
      </c>
      <c r="D377" s="3" t="inlineStr">
        <is>
          <t>INSEE BDM 010002072: Cours des matières premières importées - Zinc, Pureté 99,995% - prix d’acquisition au comptant, LME (London Metal Exchange) - Prix en dollars US par tonne</t>
        </is>
      </c>
      <c r="E377" s="3" t="inlineStr">
        <is>
          <t>kg</t>
        </is>
      </c>
      <c r="F377" s="3" t="n">
        <v>2.8</v>
      </c>
      <c r="G377" s="3" t="inlineStr">
        <is>
          <t>2022-01</t>
        </is>
      </c>
      <c r="H377" s="3" t="n">
        <v>3.7316</v>
      </c>
    </row>
    <row r="378" ht="20" customHeight="1">
      <c r="A378" s="3" t="inlineStr">
        <is>
          <t>Zinc-plated hinges, fasteners and handles</t>
        </is>
      </c>
      <c r="B378" s="3" t="inlineStr">
        <is>
          <t>Zinc</t>
        </is>
      </c>
      <c r="C378" s="3" t="inlineStr">
        <is>
          <t>ZINC</t>
        </is>
      </c>
      <c r="D378" s="3" t="inlineStr">
        <is>
          <t>INSEE BDM 010002072: Cours des matières premières importées - Zinc, Pureté 99,995% - prix d’acquisition au comptant, LME (London Metal Exchange) - Prix en dollars US par tonne</t>
        </is>
      </c>
      <c r="E378" s="3" t="inlineStr">
        <is>
          <t>kg</t>
        </is>
      </c>
      <c r="F378" s="3" t="n">
        <v>2.8</v>
      </c>
      <c r="G378" s="3" t="inlineStr">
        <is>
          <t>2022-02</t>
        </is>
      </c>
      <c r="H378" s="3" t="n">
        <v>3.7673</v>
      </c>
    </row>
    <row r="379" ht="20" customHeight="1">
      <c r="A379" s="3" t="inlineStr">
        <is>
          <t>Zinc-plated hinges, fasteners and handles</t>
        </is>
      </c>
      <c r="B379" s="3" t="inlineStr">
        <is>
          <t>Zinc</t>
        </is>
      </c>
      <c r="C379" s="3" t="inlineStr">
        <is>
          <t>ZINC</t>
        </is>
      </c>
      <c r="D379" s="3" t="inlineStr">
        <is>
          <t>INSEE BDM 010002072: Cours des matières premières importées - Zinc, Pureté 99,995% - prix d’acquisition au comptant, LME (London Metal Exchange) - Prix en dollars US par tonne</t>
        </is>
      </c>
      <c r="E379" s="3" t="inlineStr">
        <is>
          <t>kg</t>
        </is>
      </c>
      <c r="F379" s="3" t="n">
        <v>2.8</v>
      </c>
      <c r="G379" s="3" t="inlineStr">
        <is>
          <t>2022-03</t>
        </is>
      </c>
      <c r="H379" s="3" t="n">
        <v>4.1083</v>
      </c>
    </row>
    <row r="380" ht="20" customHeight="1">
      <c r="A380" s="3" t="inlineStr">
        <is>
          <t>Zinc-plated hinges, fasteners and handles</t>
        </is>
      </c>
      <c r="B380" s="3" t="inlineStr">
        <is>
          <t>Zinc</t>
        </is>
      </c>
      <c r="C380" s="3" t="inlineStr">
        <is>
          <t>ZINC</t>
        </is>
      </c>
      <c r="D380" s="3" t="inlineStr">
        <is>
          <t>INSEE BDM 010002072: Cours des matières premières importées - Zinc, Pureté 99,995% - prix d’acquisition au comptant, LME (London Metal Exchange) - Prix en dollars US par tonne</t>
        </is>
      </c>
      <c r="E380" s="3" t="inlineStr">
        <is>
          <t>kg</t>
        </is>
      </c>
      <c r="F380" s="3" t="n">
        <v>2.8</v>
      </c>
      <c r="G380" s="3" t="inlineStr">
        <is>
          <t>2022-04</t>
        </is>
      </c>
      <c r="H380" s="3" t="n">
        <v>4.5188</v>
      </c>
    </row>
    <row r="381" ht="20" customHeight="1">
      <c r="A381" s="3" t="inlineStr">
        <is>
          <t>Zinc-plated hinges, fasteners and handles</t>
        </is>
      </c>
      <c r="B381" s="3" t="inlineStr">
        <is>
          <t>Zinc</t>
        </is>
      </c>
      <c r="C381" s="3" t="inlineStr">
        <is>
          <t>ZINC</t>
        </is>
      </c>
      <c r="D381" s="3" t="inlineStr">
        <is>
          <t>INSEE BDM 010002072: Cours des matières premières importées - Zinc, Pureté 99,995% - prix d’acquisition au comptant, LME (London Metal Exchange) - Prix en dollars US par tonne</t>
        </is>
      </c>
      <c r="E381" s="3" t="inlineStr">
        <is>
          <t>kg</t>
        </is>
      </c>
      <c r="F381" s="3" t="n">
        <v>2.8</v>
      </c>
      <c r="G381" s="3" t="inlineStr">
        <is>
          <t>2022-05</t>
        </is>
      </c>
      <c r="H381" s="3" t="n">
        <v>3.8862</v>
      </c>
    </row>
    <row r="382" ht="20" customHeight="1">
      <c r="A382" s="3" t="inlineStr">
        <is>
          <t>Zinc-plated hinges, fasteners and handles</t>
        </is>
      </c>
      <c r="B382" s="3" t="inlineStr">
        <is>
          <t>Zinc</t>
        </is>
      </c>
      <c r="C382" s="3" t="inlineStr">
        <is>
          <t>ZINC</t>
        </is>
      </c>
      <c r="D382" s="3" t="inlineStr">
        <is>
          <t>INSEE BDM 010002072: Cours des matières premières importées - Zinc, Pureté 99,995% - prix d’acquisition au comptant, LME (London Metal Exchange) - Prix en dollars US par tonne</t>
        </is>
      </c>
      <c r="E382" s="3" t="inlineStr">
        <is>
          <t>kg</t>
        </is>
      </c>
      <c r="F382" s="3" t="n">
        <v>2.8</v>
      </c>
      <c r="G382" s="3" t="inlineStr">
        <is>
          <t>2022-06</t>
        </is>
      </c>
      <c r="H382" s="3" t="n">
        <v>3.7668</v>
      </c>
    </row>
    <row r="383" ht="20" customHeight="1">
      <c r="A383" s="3" t="inlineStr">
        <is>
          <t>Zinc-plated hinges, fasteners and handles</t>
        </is>
      </c>
      <c r="B383" s="3" t="inlineStr">
        <is>
          <t>Zinc</t>
        </is>
      </c>
      <c r="C383" s="3" t="inlineStr">
        <is>
          <t>ZINC</t>
        </is>
      </c>
      <c r="D383" s="3" t="inlineStr">
        <is>
          <t>INSEE BDM 010002072: Cours des matières premières importées - Zinc, Pureté 99,995% - prix d’acquisition au comptant, LME (London Metal Exchange) - Prix en dollars US par tonne</t>
        </is>
      </c>
      <c r="E383" s="3" t="inlineStr">
        <is>
          <t>kg</t>
        </is>
      </c>
      <c r="F383" s="3" t="n">
        <v>2.8</v>
      </c>
      <c r="G383" s="3" t="inlineStr">
        <is>
          <t>2022-07</t>
        </is>
      </c>
      <c r="H383" s="3" t="n">
        <v>3.2015</v>
      </c>
    </row>
    <row r="384" ht="20" customHeight="1">
      <c r="A384" s="3" t="inlineStr">
        <is>
          <t>Zinc-plated hinges, fasteners and handles</t>
        </is>
      </c>
      <c r="B384" s="3" t="inlineStr">
        <is>
          <t>Zinc</t>
        </is>
      </c>
      <c r="C384" s="3" t="inlineStr">
        <is>
          <t>ZINC</t>
        </is>
      </c>
      <c r="D384" s="3" t="inlineStr">
        <is>
          <t>INSEE BDM 010002072: Cours des matières premières importées - Zinc, Pureté 99,995% - prix d’acquisition au comptant, LME (London Metal Exchange) - Prix en dollars US par tonne</t>
        </is>
      </c>
      <c r="E384" s="3" t="inlineStr">
        <is>
          <t>kg</t>
        </is>
      </c>
      <c r="F384" s="3" t="n">
        <v>2.8</v>
      </c>
      <c r="G384" s="3" t="inlineStr">
        <is>
          <t>2022-08</t>
        </is>
      </c>
      <c r="H384" s="3" t="n">
        <v>3.693</v>
      </c>
    </row>
    <row r="385" ht="20" customHeight="1">
      <c r="A385" s="3" t="inlineStr">
        <is>
          <t>Zinc-plated hinges, fasteners and handles</t>
        </is>
      </c>
      <c r="B385" s="3" t="inlineStr">
        <is>
          <t>Zinc</t>
        </is>
      </c>
      <c r="C385" s="3" t="inlineStr">
        <is>
          <t>ZINC</t>
        </is>
      </c>
      <c r="D385" s="3" t="inlineStr">
        <is>
          <t>INSEE BDM 010002072: Cours des matières premières importées - Zinc, Pureté 99,995% - prix d’acquisition au comptant, LME (London Metal Exchange) - Prix en dollars US par tonne</t>
        </is>
      </c>
      <c r="E385" s="3" t="inlineStr">
        <is>
          <t>kg</t>
        </is>
      </c>
      <c r="F385" s="3" t="n">
        <v>2.8</v>
      </c>
      <c r="G385" s="3" t="inlineStr">
        <is>
          <t>2022-09</t>
        </is>
      </c>
      <c r="H385" s="3" t="n">
        <v>3.2419</v>
      </c>
    </row>
    <row r="386" ht="20" customHeight="1">
      <c r="A386" s="3" t="inlineStr">
        <is>
          <t>Zinc-plated hinges, fasteners and handles</t>
        </is>
      </c>
      <c r="B386" s="3" t="inlineStr">
        <is>
          <t>Zinc</t>
        </is>
      </c>
      <c r="C386" s="3" t="inlineStr">
        <is>
          <t>ZINC</t>
        </is>
      </c>
      <c r="D386" s="3" t="inlineStr">
        <is>
          <t>INSEE BDM 010002072: Cours des matières premières importées - Zinc, Pureté 99,995% - prix d’acquisition au comptant, LME (London Metal Exchange) - Prix en dollars US par tonne</t>
        </is>
      </c>
      <c r="E386" s="3" t="inlineStr">
        <is>
          <t>kg</t>
        </is>
      </c>
      <c r="F386" s="3" t="n">
        <v>2.8</v>
      </c>
      <c r="G386" s="3" t="inlineStr">
        <is>
          <t>2022-10</t>
        </is>
      </c>
      <c r="H386" s="3" t="n">
        <v>3.0591</v>
      </c>
    </row>
    <row r="387" ht="20" customHeight="1">
      <c r="A387" s="3" t="inlineStr">
        <is>
          <t>Zinc-plated hinges, fasteners and handles</t>
        </is>
      </c>
      <c r="B387" s="3" t="inlineStr">
        <is>
          <t>Zinc</t>
        </is>
      </c>
      <c r="C387" s="3" t="inlineStr">
        <is>
          <t>ZINC</t>
        </is>
      </c>
      <c r="D387" s="3" t="inlineStr">
        <is>
          <t>INSEE BDM 010002072: Cours des matières premières importées - Zinc, Pureté 99,995% - prix d’acquisition au comptant, LME (London Metal Exchange) - Prix en dollars US par tonne</t>
        </is>
      </c>
      <c r="E387" s="3" t="inlineStr">
        <is>
          <t>kg</t>
        </is>
      </c>
      <c r="F387" s="3" t="n">
        <v>2.8</v>
      </c>
      <c r="G387" s="3" t="inlineStr">
        <is>
          <t>2022-11</t>
        </is>
      </c>
      <c r="H387" s="3" t="n">
        <v>3.0218</v>
      </c>
    </row>
    <row r="388" ht="20" customHeight="1">
      <c r="A388" s="3" t="inlineStr">
        <is>
          <t>Zinc-plated hinges, fasteners and handles</t>
        </is>
      </c>
      <c r="B388" s="3" t="inlineStr">
        <is>
          <t>Zinc</t>
        </is>
      </c>
      <c r="C388" s="3" t="inlineStr">
        <is>
          <t>ZINC</t>
        </is>
      </c>
      <c r="D388" s="3" t="inlineStr">
        <is>
          <t>INSEE BDM 010002072: Cours des matières premières importées - Zinc, Pureté 99,995% - prix d’acquisition au comptant, LME (London Metal Exchange) - Prix en dollars US par tonne</t>
        </is>
      </c>
      <c r="E388" s="3" t="inlineStr">
        <is>
          <t>kg</t>
        </is>
      </c>
      <c r="F388" s="3" t="n">
        <v>2.8</v>
      </c>
      <c r="G388" s="3" t="inlineStr">
        <is>
          <t>2022-12</t>
        </is>
      </c>
      <c r="H388" s="3" t="n">
        <v>3.2334</v>
      </c>
    </row>
    <row r="389" ht="20" customHeight="1">
      <c r="A389" s="3" t="inlineStr">
        <is>
          <t>Zinc-plated hinges, fasteners and handles</t>
        </is>
      </c>
      <c r="B389" s="3" t="inlineStr">
        <is>
          <t>Zinc</t>
        </is>
      </c>
      <c r="C389" s="3" t="inlineStr">
        <is>
          <t>ZINC</t>
        </is>
      </c>
      <c r="D389" s="3" t="inlineStr">
        <is>
          <t>INSEE BDM 010002072: Cours des matières premières importées - Zinc, Pureté 99,995% - prix d’acquisition au comptant, LME (London Metal Exchange) - Prix en dollars US par tonne</t>
        </is>
      </c>
      <c r="E389" s="3" t="inlineStr">
        <is>
          <t>kg</t>
        </is>
      </c>
      <c r="F389" s="3" t="n">
        <v>2.8</v>
      </c>
      <c r="G389" s="3" t="inlineStr">
        <is>
          <t>2023-01</t>
        </is>
      </c>
      <c r="H389" s="3" t="n">
        <v>3.3998</v>
      </c>
    </row>
    <row r="390" ht="20" customHeight="1">
      <c r="A390" s="3" t="inlineStr">
        <is>
          <t>Zinc-plated hinges, fasteners and handles</t>
        </is>
      </c>
      <c r="B390" s="3" t="inlineStr">
        <is>
          <t>Zinc</t>
        </is>
      </c>
      <c r="C390" s="3" t="inlineStr">
        <is>
          <t>ZINC</t>
        </is>
      </c>
      <c r="D390" s="3" t="inlineStr">
        <is>
          <t>INSEE BDM 010002072: Cours des matières premières importées - Zinc, Pureté 99,995% - prix d’acquisition au comptant, LME (London Metal Exchange) - Prix en dollars US par tonne</t>
        </is>
      </c>
      <c r="E390" s="3" t="inlineStr">
        <is>
          <t>kg</t>
        </is>
      </c>
      <c r="F390" s="3" t="n">
        <v>2.8</v>
      </c>
      <c r="G390" s="3" t="inlineStr">
        <is>
          <t>2023-02</t>
        </is>
      </c>
      <c r="H390" s="3" t="n">
        <v>3.2494</v>
      </c>
    </row>
    <row r="391" ht="20" customHeight="1">
      <c r="A391" s="3" t="inlineStr">
        <is>
          <t>Zinc-plated hinges, fasteners and handles</t>
        </is>
      </c>
      <c r="B391" s="3" t="inlineStr">
        <is>
          <t>Zinc</t>
        </is>
      </c>
      <c r="C391" s="3" t="inlineStr">
        <is>
          <t>ZINC</t>
        </is>
      </c>
      <c r="D391" s="3" t="inlineStr">
        <is>
          <t>INSEE BDM 010002072: Cours des matières premières importées - Zinc, Pureté 99,995% - prix d’acquisition au comptant, LME (London Metal Exchange) - Prix en dollars US par tonne</t>
        </is>
      </c>
      <c r="E391" s="3" t="inlineStr">
        <is>
          <t>kg</t>
        </is>
      </c>
      <c r="F391" s="3" t="n">
        <v>2.8</v>
      </c>
      <c r="G391" s="3" t="inlineStr">
        <is>
          <t>2023-03</t>
        </is>
      </c>
      <c r="H391" s="3" t="n">
        <v>3.0556</v>
      </c>
    </row>
    <row r="392" ht="20" customHeight="1">
      <c r="A392" s="3" t="inlineStr">
        <is>
          <t>Zinc-plated hinges, fasteners and handles</t>
        </is>
      </c>
      <c r="B392" s="3" t="inlineStr">
        <is>
          <t>Zinc</t>
        </is>
      </c>
      <c r="C392" s="3" t="inlineStr">
        <is>
          <t>ZINC</t>
        </is>
      </c>
      <c r="D392" s="3" t="inlineStr">
        <is>
          <t>INSEE BDM 010002072: Cours des matières premières importées - Zinc, Pureté 99,995% - prix d’acquisition au comptant, LME (London Metal Exchange) - Prix en dollars US par tonne</t>
        </is>
      </c>
      <c r="E392" s="3" t="inlineStr">
        <is>
          <t>kg</t>
        </is>
      </c>
      <c r="F392" s="3" t="n">
        <v>2.8</v>
      </c>
      <c r="G392" s="3" t="inlineStr">
        <is>
          <t>2023-04</t>
        </is>
      </c>
      <c r="H392" s="3" t="n">
        <v>2.8658</v>
      </c>
    </row>
    <row r="393" ht="20" customHeight="1">
      <c r="A393" s="3" t="inlineStr">
        <is>
          <t>Zinc-plated hinges, fasteners and handles</t>
        </is>
      </c>
      <c r="B393" s="3" t="inlineStr">
        <is>
          <t>Zinc</t>
        </is>
      </c>
      <c r="C393" s="3" t="inlineStr">
        <is>
          <t>ZINC</t>
        </is>
      </c>
      <c r="D393" s="3" t="inlineStr">
        <is>
          <t>INSEE BDM 010002072: Cours des matières premières importées - Zinc, Pureté 99,995% - prix d’acquisition au comptant, LME (London Metal Exchange) - Prix en dollars US par tonne</t>
        </is>
      </c>
      <c r="E393" s="3" t="inlineStr">
        <is>
          <t>kg</t>
        </is>
      </c>
      <c r="F393" s="3" t="n">
        <v>2.8</v>
      </c>
      <c r="G393" s="3" t="inlineStr">
        <is>
          <t>2023-05</t>
        </is>
      </c>
      <c r="H393" s="3" t="n">
        <v>2.5609</v>
      </c>
    </row>
    <row r="394" ht="20" customHeight="1">
      <c r="A394" s="3" t="inlineStr">
        <is>
          <t>Zinc-plated hinges, fasteners and handles</t>
        </is>
      </c>
      <c r="B394" s="3" t="inlineStr">
        <is>
          <t>Zinc</t>
        </is>
      </c>
      <c r="C394" s="3" t="inlineStr">
        <is>
          <t>ZINC</t>
        </is>
      </c>
      <c r="D394" s="3" t="inlineStr">
        <is>
          <t>INSEE BDM 010002072: Cours des matières premières importées - Zinc, Pureté 99,995% - prix d’acquisition au comptant, LME (London Metal Exchange) - Prix en dollars US par tonne</t>
        </is>
      </c>
      <c r="E394" s="3" t="inlineStr">
        <is>
          <t>kg</t>
        </is>
      </c>
      <c r="F394" s="3" t="n">
        <v>2.8</v>
      </c>
      <c r="G394" s="3" t="inlineStr">
        <is>
          <t>2023-06</t>
        </is>
      </c>
      <c r="H394" s="3" t="n">
        <v>2.4479</v>
      </c>
    </row>
    <row r="395" ht="20" customHeight="1">
      <c r="A395" s="3" t="inlineStr">
        <is>
          <t>Zinc-plated hinges, fasteners and handles</t>
        </is>
      </c>
      <c r="B395" s="3" t="inlineStr">
        <is>
          <t>Zinc</t>
        </is>
      </c>
      <c r="C395" s="3" t="inlineStr">
        <is>
          <t>ZINC</t>
        </is>
      </c>
      <c r="D395" s="3" t="inlineStr">
        <is>
          <t>INSEE BDM 010002072: Cours des matières premières importées - Zinc, Pureté 99,995% - prix d’acquisition au comptant, LME (London Metal Exchange) - Prix en dollars US par tonne</t>
        </is>
      </c>
      <c r="E395" s="3" t="inlineStr">
        <is>
          <t>kg</t>
        </is>
      </c>
      <c r="F395" s="3" t="n">
        <v>2.8</v>
      </c>
      <c r="G395" s="3" t="inlineStr">
        <is>
          <t>2023-07</t>
        </is>
      </c>
      <c r="H395" s="3" t="n">
        <v>2.4771</v>
      </c>
    </row>
    <row r="396" ht="20" customHeight="1">
      <c r="A396" s="3" t="inlineStr">
        <is>
          <t>Zinc-plated hinges, fasteners and handles</t>
        </is>
      </c>
      <c r="B396" s="3" t="inlineStr">
        <is>
          <t>Zinc</t>
        </is>
      </c>
      <c r="C396" s="3" t="inlineStr">
        <is>
          <t>ZINC</t>
        </is>
      </c>
      <c r="D396" s="3" t="inlineStr">
        <is>
          <t>INSEE BDM 010002072: Cours des matières premières importées - Zinc, Pureté 99,995% - prix d’acquisition au comptant, LME (London Metal Exchange) - Prix en dollars US par tonne</t>
        </is>
      </c>
      <c r="E396" s="3" t="inlineStr">
        <is>
          <t>kg</t>
        </is>
      </c>
      <c r="F396" s="3" t="n">
        <v>2.8</v>
      </c>
      <c r="G396" s="3" t="inlineStr">
        <is>
          <t>2023-08</t>
        </is>
      </c>
      <c r="H396" s="3" t="n">
        <v>2.4817</v>
      </c>
    </row>
    <row r="397" ht="20" customHeight="1">
      <c r="A397" s="3" t="inlineStr">
        <is>
          <t>Zinc-plated hinges, fasteners and handles</t>
        </is>
      </c>
      <c r="B397" s="3" t="inlineStr">
        <is>
          <t>Zinc</t>
        </is>
      </c>
      <c r="C397" s="3" t="inlineStr">
        <is>
          <t>ZINC</t>
        </is>
      </c>
      <c r="D397" s="3" t="inlineStr">
        <is>
          <t>INSEE BDM 010002072: Cours des matières premières importées - Zinc, Pureté 99,995% - prix d’acquisition au comptant, LME (London Metal Exchange) - Prix en dollars US par tonne</t>
        </is>
      </c>
      <c r="E397" s="3" t="inlineStr">
        <is>
          <t>kg</t>
        </is>
      </c>
      <c r="F397" s="3" t="n">
        <v>2.8</v>
      </c>
      <c r="G397" s="3" t="inlineStr">
        <is>
          <t>2023-09</t>
        </is>
      </c>
      <c r="H397" s="3" t="n">
        <v>2.5722</v>
      </c>
    </row>
    <row r="398" ht="20" customHeight="1">
      <c r="A398" s="3" t="inlineStr">
        <is>
          <t>Zinc-plated hinges, fasteners and handles</t>
        </is>
      </c>
      <c r="B398" s="3" t="inlineStr">
        <is>
          <t>Zinc</t>
        </is>
      </c>
      <c r="C398" s="3" t="inlineStr">
        <is>
          <t>ZINC</t>
        </is>
      </c>
      <c r="D398" s="3" t="inlineStr">
        <is>
          <t>INSEE BDM 010002072: Cours des matières premières importées - Zinc, Pureté 99,995% - prix d’acquisition au comptant, LME (London Metal Exchange) - Prix en dollars US par tonne</t>
        </is>
      </c>
      <c r="E398" s="3" t="inlineStr">
        <is>
          <t>kg</t>
        </is>
      </c>
      <c r="F398" s="3" t="n">
        <v>2.8</v>
      </c>
      <c r="G398" s="3" t="inlineStr">
        <is>
          <t>2023-10</t>
        </is>
      </c>
      <c r="H398" s="3" t="n">
        <v>2.5318</v>
      </c>
    </row>
    <row r="399" ht="20" customHeight="1">
      <c r="A399" s="3" t="inlineStr">
        <is>
          <t>Zinc-plated hinges, fasteners and handles</t>
        </is>
      </c>
      <c r="B399" s="3" t="inlineStr">
        <is>
          <t>Zinc</t>
        </is>
      </c>
      <c r="C399" s="3" t="inlineStr">
        <is>
          <t>ZINC</t>
        </is>
      </c>
      <c r="D399" s="3" t="inlineStr">
        <is>
          <t>INSEE BDM 010002072: Cours des matières premières importées - Zinc, Pureté 99,995% - prix d’acquisition au comptant, LME (London Metal Exchange) - Prix en dollars US par tonne</t>
        </is>
      </c>
      <c r="E399" s="3" t="inlineStr">
        <is>
          <t>kg</t>
        </is>
      </c>
      <c r="F399" s="3" t="n">
        <v>2.8</v>
      </c>
      <c r="G399" s="3" t="inlineStr">
        <is>
          <t>2023-11</t>
        </is>
      </c>
      <c r="H399" s="3" t="n">
        <v>2.6294</v>
      </c>
    </row>
    <row r="400" ht="20" customHeight="1">
      <c r="A400" s="3" t="inlineStr">
        <is>
          <t>Zinc-plated hinges, fasteners and handles</t>
        </is>
      </c>
      <c r="B400" s="3" t="inlineStr">
        <is>
          <t>Zinc</t>
        </is>
      </c>
      <c r="C400" s="3" t="inlineStr">
        <is>
          <t>ZINC</t>
        </is>
      </c>
      <c r="D400" s="3" t="inlineStr">
        <is>
          <t>INSEE BDM 010002072: Cours des matières premières importées - Zinc, Pureté 99,995% - prix d’acquisition au comptant, LME (London Metal Exchange) - Prix en dollars US par tonne</t>
        </is>
      </c>
      <c r="E400" s="3" t="inlineStr">
        <is>
          <t>kg</t>
        </is>
      </c>
      <c r="F400" s="3" t="n">
        <v>2.8</v>
      </c>
      <c r="G400" s="3" t="inlineStr">
        <is>
          <t>2023-12</t>
        </is>
      </c>
      <c r="H400" s="3" t="n">
        <v>2.5862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</cols>
  <sheetData>
    <row r="1" ht="20" customHeight="1">
      <c r="A1" s="1" t="inlineStr">
        <is>
          <t>Menuiserie Bois - Benchmarks &amp; sources</t>
        </is>
      </c>
    </row>
    <row r="2" ht="20" customHeight="1">
      <c r="A2" s="2" t="inlineStr">
        <is>
          <t>Ratios and API sources used to construct the synthetic cash-plan model.</t>
        </is>
      </c>
    </row>
    <row r="3" ht="20" customHeight="1">
      <c r="A3" s="3" t="n"/>
      <c r="B3" s="3" t="n"/>
      <c r="C3" s="3" t="n"/>
      <c r="D3" s="3" t="n"/>
    </row>
    <row r="4" ht="20" customHeight="1">
      <c r="A4" s="6" t="inlineStr">
        <is>
          <t>Item</t>
        </is>
      </c>
      <c r="B4" s="6" t="inlineStr">
        <is>
          <t>Value retained</t>
        </is>
      </c>
      <c r="C4" s="6" t="inlineStr">
        <is>
          <t>Source</t>
        </is>
      </c>
      <c r="D4" s="6" t="inlineStr">
        <is>
          <t>Comment</t>
        </is>
      </c>
    </row>
    <row r="5" ht="20" customHeight="1">
      <c r="A5" s="3" t="inlineStr">
        <is>
          <t>Annual revenue A1</t>
        </is>
      </c>
      <c r="B5" s="3" t="n">
        <v>1500000</v>
      </c>
      <c r="C5" s="3" t="inlineStr">
        <is>
          <t>Generated profile</t>
        </is>
      </c>
      <c r="D5" s="3" t="inlineStr">
        <is>
          <t>Editable in Hypotheses</t>
        </is>
      </c>
    </row>
    <row r="6" ht="20" customHeight="1">
      <c r="A6" s="3" t="inlineStr">
        <is>
          <t>Archetype</t>
        </is>
      </c>
      <c r="B6" s="3" t="inlineStr">
        <is>
          <t>woodworking</t>
        </is>
      </c>
      <c r="C6" s="3" t="inlineStr">
        <is>
          <t>Local inference</t>
        </is>
      </c>
      <c r="D6" s="3" t="inlineStr">
        <is>
          <t>Selected from business description keywords</t>
        </is>
      </c>
    </row>
    <row r="7" ht="20" customHeight="1">
      <c r="A7" s="3" t="inlineStr">
        <is>
          <t>Commodity API mode</t>
        </is>
      </c>
      <c r="B7" s="3" t="inlineStr">
        <is>
          <t>online</t>
        </is>
      </c>
      <c r="C7" s="3" t="inlineStr">
        <is>
          <t>Generator flag</t>
        </is>
      </c>
      <c r="D7" s="3" t="inlineStr">
        <is>
          <t>Offline mode uses deterministic synthetic series</t>
        </is>
      </c>
    </row>
    <row r="8" ht="20" customHeight="1">
      <c r="A8" s="3" t="inlineStr">
        <is>
          <t>Commodity monthly history</t>
        </is>
      </c>
      <c r="B8" s="3" t="inlineStr">
        <is>
          <t>INSEE BDM, ENTSO-E, World Bank Pink Sheet or Alpha Vantage when enabled</t>
        </is>
      </c>
      <c r="C8" s="11" t="inlineStr">
        <is>
          <t>https://bdm.insee.fr/series/sdmx/dataflow</t>
        </is>
      </c>
      <c r="D8" s="3" t="inlineStr">
        <is>
          <t>Online mode uses curated INSEE IDBANK series first, then venue/API-specific market data and synthetic fallback only when unavailable.</t>
        </is>
      </c>
    </row>
    <row r="9" ht="20" customHeight="1">
      <c r="A9" s="3" t="inlineStr">
        <is>
          <t>French statistical series</t>
        </is>
      </c>
      <c r="B9" s="3" t="inlineStr">
        <is>
          <t>INSEE BDM API</t>
        </is>
      </c>
      <c r="C9" s="11" t="inlineStr">
        <is>
          <t>https://www.insee.fr/fr/information/2862759</t>
        </is>
      </c>
      <c r="D9" s="3" t="inlineStr">
        <is>
          <t>Official INSEE SDMX web service for time-series data. Exact series IDs can be configured later.</t>
        </is>
      </c>
    </row>
    <row r="10" ht="20" customHeight="1">
      <c r="A10" s="3" t="inlineStr">
        <is>
          <t>Business ratios</t>
        </is>
      </c>
      <c r="B10" s="3" t="inlineStr">
        <is>
          <t>Generated benchmark assumptions</t>
        </is>
      </c>
      <c r="C10" s="3" t="inlineStr">
        <is>
          <t>local archetype generator</t>
        </is>
      </c>
      <c r="D10" s="3" t="inlineStr">
        <is>
          <t>Ratios are v1 synthetic assumptions, designed to be replaced by INSEE/sector benchmark series.</t>
        </is>
      </c>
    </row>
    <row r="11" ht="20" customHeight="1">
      <c r="A11" s="3" t="inlineStr">
        <is>
          <t>Industrial cost preset</t>
        </is>
      </c>
      <c r="B11" s="3" t="inlineStr">
        <is>
          <t>Woodworking / furniture workshop</t>
        </is>
      </c>
      <c r="C11" s="3" t="inlineStr">
        <is>
          <t>cashplan/industrial_costs.py</t>
        </is>
      </c>
      <c r="D11" s="3" t="inlineStr">
        <is>
          <t>Industrial SME making wood products, furniture, packaging or carpentry.</t>
        </is>
      </c>
    </row>
    <row r="12" ht="20" customHeight="1">
      <c r="A12" s="3" t="inlineStr">
        <is>
          <t>Industrial ratio method</t>
        </is>
      </c>
      <c r="B12" s="3" t="inlineStr">
        <is>
          <t>Revenue-share driver model</t>
        </is>
      </c>
      <c r="C12" s="3" t="inlineStr">
        <is>
          <t>local generator</t>
        </is>
      </c>
      <c r="D12" s="3" t="inlineStr">
        <is>
          <t>Each cost line starts from an annual revenue share, unit price and realistic monthly quantity.</t>
        </is>
      </c>
    </row>
    <row r="13" ht="20" customHeight="1">
      <c r="A13" s="3" t="inlineStr">
        <is>
          <t>Industrial metals coverage</t>
        </is>
      </c>
      <c r="B13" s="3" t="inlineStr">
        <is>
          <t>Aluminium, copper, iron ore, lead, nickel, tin, zinc</t>
        </is>
      </c>
      <c r="C13" s="11" t="inlineStr">
        <is>
          <t>https://www.worldbank.org/en/research/commodity-markets</t>
        </is>
      </c>
      <c r="D13" s="3" t="inlineStr">
        <is>
          <t>World Bank Pink Sheet is the primary no-key monthly source for detailed base metals.</t>
        </is>
      </c>
    </row>
    <row r="14" ht="20" customHeight="1">
      <c r="A14" s="3" t="inlineStr">
        <is>
          <t>Base metal index components</t>
        </is>
      </c>
      <c r="B14" s="3" t="inlineStr">
        <is>
          <t>Aluminium, copper, lead, nickel, tin, zinc</t>
        </is>
      </c>
      <c r="C14" s="3" t="inlineStr">
        <is>
          <t>World Bank Commodity Markets Chapter 4</t>
        </is>
      </c>
      <c r="D14" s="3" t="inlineStr">
        <is>
          <t>World Bank documentation describes the base metal index as covering these metals.</t>
        </is>
      </c>
    </row>
  </sheetData>
  <mergeCells count="2">
    <mergeCell ref="A1:D1"/>
    <mergeCell ref="A2:D2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3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2026-06-27T18:51:48Z</dcterms:created>
  <dcterms:modified xsi:type="dcterms:W3CDTF">2026-06-27T18:51:52Z</dcterms:modified>
</cp:coreProperties>
</file>