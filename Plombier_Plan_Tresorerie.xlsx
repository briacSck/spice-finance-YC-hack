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" sheetId="1" state="visible" r:id="rId1"/>
    <sheet name="Revenus" sheetId="2" state="visible" r:id="rId2"/>
    <sheet name="Dépenses détaillées" sheetId="3" state="visible" r:id="rId3"/>
    <sheet name="Plan de trésorerie" sheetId="4" state="visible" r:id="rId4"/>
    <sheet name="Benchmark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%"/>
    <numFmt numFmtId="166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595959"/>
      <sz val="10"/>
    </font>
    <font>
      <name val="Arial"/>
      <color rgb="00000000"/>
      <sz val="10"/>
    </font>
    <font>
      <name val="Arial"/>
      <color rgb="001F4E78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color rgb="002E7D32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B6"/>
        <bgColor rgb="00FCE4B6"/>
      </patternFill>
    </fill>
    <fill>
      <patternFill patternType="solid">
        <fgColor rgb="002E5395"/>
        <bgColor rgb="002E5395"/>
      </patternFill>
    </fill>
    <fill>
      <patternFill patternType="solid">
        <fgColor rgb="003E6FB0"/>
        <bgColor rgb="003E6FB0"/>
      </patternFill>
    </fill>
    <fill>
      <patternFill patternType="solid">
        <fgColor rgb="005B8BC4"/>
        <bgColor rgb="005B8BC4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165" fontId="3" fillId="0" borderId="0" pivotButton="0" quotePrefix="0" xfId="0"/>
    <xf numFmtId="0" fontId="6" fillId="2" borderId="1" applyAlignment="1" pivotButton="0" quotePrefix="0" xfId="0">
      <alignment horizontal="center"/>
    </xf>
    <xf numFmtId="4" fontId="4" fillId="0" borderId="1" pivotButton="0" quotePrefix="0" xfId="0"/>
    <xf numFmtId="165" fontId="3" fillId="0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0" fillId="3" borderId="0" pivotButton="0" quotePrefix="0" xfId="0"/>
    <xf numFmtId="0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164" fontId="8" fillId="0" borderId="1" pivotButton="0" quotePrefix="0" xfId="0"/>
    <xf numFmtId="164" fontId="3" fillId="0" borderId="1" pivotButton="0" quotePrefix="0" xfId="0"/>
    <xf numFmtId="0" fontId="10" fillId="7" borderId="0" pivotButton="0" quotePrefix="0" xfId="0"/>
    <xf numFmtId="164" fontId="10" fillId="7" borderId="1" pivotButton="0" quotePrefix="0" xfId="0"/>
    <xf numFmtId="165" fontId="5" fillId="0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4" fontId="3" fillId="0" borderId="1" pivotButton="0" quotePrefix="0" xfId="0"/>
    <xf numFmtId="0" fontId="5" fillId="0" borderId="1" applyAlignment="1" pivotButton="0" quotePrefix="0" xfId="0">
      <alignment wrapText="1"/>
    </xf>
    <xf numFmtId="4" fontId="4" fillId="3" borderId="1" pivotButton="0" quotePrefix="0" xfId="0"/>
    <xf numFmtId="3" fontId="4" fillId="0" borderId="1" pivotButton="0" quotePrefix="0" xfId="0"/>
    <xf numFmtId="166" fontId="4" fillId="0" borderId="1" pivotButton="0" quotePrefix="0" xfId="0"/>
    <xf numFmtId="0" fontId="0" fillId="7" borderId="0" pivotButton="0" quotePrefix="0" xfId="0"/>
    <xf numFmtId="0" fontId="6" fillId="2" borderId="0" pivotButton="0" quotePrefix="0" xfId="0"/>
    <xf numFmtId="0" fontId="0" fillId="2" borderId="0" pivotButton="0" quotePrefix="0" xfId="0"/>
    <xf numFmtId="164" fontId="6" fillId="2" borderId="1" pivotButton="0" quotePrefix="0" xfId="0"/>
    <xf numFmtId="165" fontId="8" fillId="0" borderId="0" pivotButton="0" quotePrefix="0" xfId="0"/>
    <xf numFmtId="0" fontId="10" fillId="0" borderId="0" pivotButton="0" quotePrefix="0" xfId="0"/>
    <xf numFmtId="0" fontId="11" fillId="8" borderId="0" pivotButton="0" quotePrefix="0" xfId="0"/>
    <xf numFmtId="164" fontId="10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2" customHeight="1">
      <c r="A1" s="1" t="inlineStr">
        <is>
          <t>Plombier artisan / TPE — Hypothèses</t>
        </is>
      </c>
    </row>
    <row r="2" ht="16" customHeight="1">
      <c r="A2" s="2" t="inlineStr">
        <is>
          <t>Métier : plombier indépendant ou TPE | CA cible ≈ 200 k€ en Année 1, sur 3 ans | Cellules bleues = modifiables</t>
        </is>
      </c>
    </row>
    <row r="4">
      <c r="A4" s="3" t="inlineStr">
        <is>
          <t>Chiffre d'affaires annuel HT — Année 1 (€)</t>
        </is>
      </c>
      <c r="C4" s="4" t="n">
        <v>200000</v>
      </c>
    </row>
    <row r="5">
      <c r="A5" s="3" t="inlineStr">
        <is>
          <t>Taux de TVA moyen sur les ventes (%)</t>
        </is>
      </c>
      <c r="C5" s="5" t="n">
        <v>0.12</v>
      </c>
    </row>
    <row r="6">
      <c r="A6" s="3" t="inlineStr">
        <is>
          <t>Taux de TVA moyen sur les achats (%)</t>
        </is>
      </c>
      <c r="C6" s="5" t="n">
        <v>0.2</v>
      </c>
    </row>
    <row r="7">
      <c r="A7" s="3" t="inlineStr">
        <is>
          <t>Trésorerie disponible au 1er janvier Année 1 (€)</t>
        </is>
      </c>
      <c r="C7" s="4" t="n">
        <v>8000</v>
      </c>
    </row>
    <row r="8">
      <c r="A8" s="3" t="inlineStr">
        <is>
          <t>Cotisations sociales du dirigeant (TNS) — par trimestre, Année 1 (€)</t>
        </is>
      </c>
      <c r="C8" s="4" t="n">
        <v>2000</v>
      </c>
    </row>
    <row r="9">
      <c r="A9" s="3" t="inlineStr">
        <is>
          <t>Remboursement emprunt véhicule/outillage — mensualité fixe (€)</t>
        </is>
      </c>
      <c r="C9" s="4" t="n">
        <v>280</v>
      </c>
    </row>
    <row r="10">
      <c r="A10" s="3" t="inlineStr">
        <is>
          <t>Part du CA encaissée le mois même (cash/CB/chèque à la prestation) (%)</t>
        </is>
      </c>
      <c r="C10" s="5" t="n">
        <v>1</v>
      </c>
    </row>
    <row r="11">
      <c r="A11" s="3" t="inlineStr">
        <is>
          <t>Part du CA encaissée à M-1 (%)</t>
        </is>
      </c>
      <c r="C11" s="5" t="n">
        <v>0</v>
      </c>
    </row>
    <row r="12">
      <c r="A12" s="3" t="inlineStr">
        <is>
          <t>Part du CA encaissée à M-2 (%)</t>
        </is>
      </c>
      <c r="C12" s="5" t="n">
        <v>0</v>
      </c>
      <c r="D12" s="6" t="inlineStr">
        <is>
          <t>Contrôle (doit = 100%)</t>
        </is>
      </c>
      <c r="E12" s="7">
        <f>C10+C11+C12</f>
        <v/>
      </c>
    </row>
    <row r="13">
      <c r="A13" s="3" t="inlineStr">
        <is>
          <t>Taux de croissance du CA — par an (%)</t>
        </is>
      </c>
      <c r="C13" s="5" t="n">
        <v>0.025</v>
      </c>
    </row>
    <row r="14">
      <c r="A14" s="3" t="inlineStr">
        <is>
          <t>Taux d'inflation des prix d'achat — par an (%)</t>
        </is>
      </c>
      <c r="C14" s="5" t="n">
        <v>0.03</v>
      </c>
    </row>
    <row r="16">
      <c r="A16" s="3" t="inlineStr">
        <is>
          <t>Mois (motif répété chaque année)</t>
        </is>
      </c>
      <c r="C16" s="8" t="inlineStr">
        <is>
          <t>Jan</t>
        </is>
      </c>
      <c r="D16" s="8" t="inlineStr">
        <is>
          <t>Fév</t>
        </is>
      </c>
      <c r="E16" s="8" t="inlineStr">
        <is>
          <t>Mar</t>
        </is>
      </c>
      <c r="F16" s="8" t="inlineStr">
        <is>
          <t>Avr</t>
        </is>
      </c>
      <c r="G16" s="8" t="inlineStr">
        <is>
          <t>Mai</t>
        </is>
      </c>
      <c r="H16" s="8" t="inlineStr">
        <is>
          <t>Jui</t>
        </is>
      </c>
      <c r="I16" s="8" t="inlineStr">
        <is>
          <t>Jui</t>
        </is>
      </c>
      <c r="J16" s="8" t="inlineStr">
        <is>
          <t>Aoû</t>
        </is>
      </c>
      <c r="K16" s="8" t="inlineStr">
        <is>
          <t>Sep</t>
        </is>
      </c>
      <c r="L16" s="8" t="inlineStr">
        <is>
          <t>Oct</t>
        </is>
      </c>
      <c r="M16" s="8" t="inlineStr">
        <is>
          <t>Nov</t>
        </is>
      </c>
      <c r="N16" s="8" t="inlineStr">
        <is>
          <t>Déc</t>
        </is>
      </c>
    </row>
    <row r="17">
      <c r="A17" s="3" t="inlineStr">
        <is>
          <t>Indice de saisonnalité (1 = mois moyen)</t>
        </is>
      </c>
      <c r="C17" s="9" t="n">
        <v>1.15</v>
      </c>
      <c r="D17" s="9" t="n">
        <v>1.05</v>
      </c>
      <c r="E17" s="9" t="n">
        <v>1</v>
      </c>
      <c r="F17" s="9" t="n">
        <v>0.95</v>
      </c>
      <c r="G17" s="9" t="n">
        <v>0.9</v>
      </c>
      <c r="H17" s="9" t="n">
        <v>0.9</v>
      </c>
      <c r="I17" s="9" t="n">
        <v>0.85</v>
      </c>
      <c r="J17" s="9" t="n">
        <v>0.7</v>
      </c>
      <c r="K17" s="9" t="n">
        <v>1</v>
      </c>
      <c r="L17" s="9" t="n">
        <v>1.1</v>
      </c>
      <c r="M17" s="9" t="n">
        <v>1.15</v>
      </c>
      <c r="N17" s="9" t="n">
        <v>1.05</v>
      </c>
    </row>
    <row r="18">
      <c r="A18" s="3" t="inlineStr">
        <is>
          <t>Poids du mois dans l'année (%, normalisé)</t>
        </is>
      </c>
      <c r="C18" s="10">
        <f>C17/SUM($C$17:$N$17)</f>
        <v/>
      </c>
      <c r="D18" s="10">
        <f>D17/SUM($C$17:$N$17)</f>
        <v/>
      </c>
      <c r="E18" s="10">
        <f>E17/SUM($C$17:$N$17)</f>
        <v/>
      </c>
      <c r="F18" s="10">
        <f>F17/SUM($C$17:$N$17)</f>
        <v/>
      </c>
      <c r="G18" s="10">
        <f>G17/SUM($C$17:$N$17)</f>
        <v/>
      </c>
      <c r="H18" s="10">
        <f>H17/SUM($C$17:$N$17)</f>
        <v/>
      </c>
      <c r="I18" s="10">
        <f>I17/SUM($C$17:$N$17)</f>
        <v/>
      </c>
      <c r="J18" s="10">
        <f>J17/SUM($C$17:$N$17)</f>
        <v/>
      </c>
      <c r="K18" s="10">
        <f>K17/SUM($C$17:$N$17)</f>
        <v/>
      </c>
      <c r="L18" s="10">
        <f>L17/SUM($C$17:$N$17)</f>
        <v/>
      </c>
      <c r="M18" s="10">
        <f>M17/SUM($C$17:$N$17)</f>
        <v/>
      </c>
      <c r="N18" s="10">
        <f>N17/SUM($C$17:$N$17)</f>
        <v/>
      </c>
    </row>
    <row r="20" ht="28" customHeight="1">
      <c r="A20" s="6" t="inlineStr">
        <is>
          <t>Note saisonnalité : pics en hiver (pannes chauffage, gel des canalisations en janvier/novembre/décembre) et à la rentrée (mise en route chauffage en octobre) ; creux en été (-30% en août). Motif répété chaque année.</t>
        </is>
      </c>
    </row>
    <row r="21" ht="28" customHeight="1">
      <c r="A21" s="6" t="inlineStr">
        <is>
          <t>Note évolution 3 ans : le CA croît de 2,5%/an, les prix d'achat de 3%/an. Les lignes cuivre, carburant et électricité utilisent une simulation de fluctuation mensuelle réaliste (pas une inflation lissée).</t>
        </is>
      </c>
    </row>
    <row r="23">
      <c r="A23" s="11" t="inlineStr">
        <is>
          <t>Légende</t>
        </is>
      </c>
    </row>
    <row r="24">
      <c r="A24" s="12" t="inlineStr">
        <is>
          <t>■</t>
        </is>
      </c>
      <c r="B24" s="6" t="inlineStr">
        <is>
          <t>Saisie modifiable (hypothèse)</t>
        </is>
      </c>
    </row>
    <row r="25">
      <c r="A25" s="3" t="inlineStr">
        <is>
          <t>■</t>
        </is>
      </c>
      <c r="B25" s="6" t="inlineStr">
        <is>
          <t>Formule calculée automatiquement</t>
        </is>
      </c>
    </row>
    <row r="26">
      <c r="A26" s="13" t="inlineStr">
        <is>
          <t>■</t>
        </is>
      </c>
      <c r="B26" s="6" t="inlineStr">
        <is>
          <t>Lien vers un autre onglet</t>
        </is>
      </c>
    </row>
    <row r="27">
      <c r="A27" s="14" t="inlineStr">
        <is>
          <t>■</t>
        </is>
      </c>
      <c r="B27" s="6" t="inlineStr">
        <is>
          <t>Prix indicatif en attente de connexion à une API de prix de marché (voir onglet Benchmarks &amp; sources)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2" customHeight="1">
      <c r="A1" s="1" t="inlineStr">
        <is>
          <t>Plombier — Revenus mensuels (3 ans)</t>
        </is>
      </c>
    </row>
    <row r="2" ht="16" customHeight="1">
      <c r="A2" s="2" t="inlineStr">
        <is>
          <t>Répartition du CA par type d'intervention × saisonnalité × croissance annuelle</t>
        </is>
      </c>
    </row>
    <row r="3" ht="14" customHeight="1">
      <c r="C3" s="15" t="inlineStr">
        <is>
          <t>ANNÉE 1</t>
        </is>
      </c>
      <c r="O3" s="16" t="inlineStr">
        <is>
          <t>ANNÉE 2</t>
        </is>
      </c>
      <c r="AA3" s="17" t="inlineStr">
        <is>
          <t>ANNÉE 3</t>
        </is>
      </c>
    </row>
    <row r="4" ht="16" customHeight="1">
      <c r="A4" s="18" t="inlineStr">
        <is>
          <t>Source de revenus</t>
        </is>
      </c>
      <c r="B4" s="19" t="inlineStr">
        <is>
          <t>% du CA annuel</t>
        </is>
      </c>
      <c r="C4" s="20" t="inlineStr">
        <is>
          <t>Jan A1</t>
        </is>
      </c>
      <c r="D4" s="20" t="inlineStr">
        <is>
          <t>Fév A1</t>
        </is>
      </c>
      <c r="E4" s="20" t="inlineStr">
        <is>
          <t>Mar A1</t>
        </is>
      </c>
      <c r="F4" s="20" t="inlineStr">
        <is>
          <t>Avr A1</t>
        </is>
      </c>
      <c r="G4" s="20" t="inlineStr">
        <is>
          <t>Mai A1</t>
        </is>
      </c>
      <c r="H4" s="20" t="inlineStr">
        <is>
          <t>Jui A1</t>
        </is>
      </c>
      <c r="I4" s="20" t="inlineStr">
        <is>
          <t>Jui A1</t>
        </is>
      </c>
      <c r="J4" s="20" t="inlineStr">
        <is>
          <t>Aoû A1</t>
        </is>
      </c>
      <c r="K4" s="20" t="inlineStr">
        <is>
          <t>Sep A1</t>
        </is>
      </c>
      <c r="L4" s="20" t="inlineStr">
        <is>
          <t>Oct A1</t>
        </is>
      </c>
      <c r="M4" s="20" t="inlineStr">
        <is>
          <t>Nov A1</t>
        </is>
      </c>
      <c r="N4" s="20" t="inlineStr">
        <is>
          <t>Déc A1</t>
        </is>
      </c>
      <c r="O4" s="20" t="inlineStr">
        <is>
          <t>Jan A2</t>
        </is>
      </c>
      <c r="P4" s="20" t="inlineStr">
        <is>
          <t>Fév A2</t>
        </is>
      </c>
      <c r="Q4" s="20" t="inlineStr">
        <is>
          <t>Mar A2</t>
        </is>
      </c>
      <c r="R4" s="20" t="inlineStr">
        <is>
          <t>Avr A2</t>
        </is>
      </c>
      <c r="S4" s="20" t="inlineStr">
        <is>
          <t>Mai A2</t>
        </is>
      </c>
      <c r="T4" s="20" t="inlineStr">
        <is>
          <t>Jui A2</t>
        </is>
      </c>
      <c r="U4" s="20" t="inlineStr">
        <is>
          <t>Jui A2</t>
        </is>
      </c>
      <c r="V4" s="20" t="inlineStr">
        <is>
          <t>Aoû A2</t>
        </is>
      </c>
      <c r="W4" s="20" t="inlineStr">
        <is>
          <t>Sep A2</t>
        </is>
      </c>
      <c r="X4" s="20" t="inlineStr">
        <is>
          <t>Oct A2</t>
        </is>
      </c>
      <c r="Y4" s="20" t="inlineStr">
        <is>
          <t>Nov A2</t>
        </is>
      </c>
      <c r="Z4" s="20" t="inlineStr">
        <is>
          <t>Déc A2</t>
        </is>
      </c>
      <c r="AA4" s="20" t="inlineStr">
        <is>
          <t>Jan A3</t>
        </is>
      </c>
      <c r="AB4" s="20" t="inlineStr">
        <is>
          <t>Fév A3</t>
        </is>
      </c>
      <c r="AC4" s="20" t="inlineStr">
        <is>
          <t>Mar A3</t>
        </is>
      </c>
      <c r="AD4" s="20" t="inlineStr">
        <is>
          <t>Avr A3</t>
        </is>
      </c>
      <c r="AE4" s="20" t="inlineStr">
        <is>
          <t>Mai A3</t>
        </is>
      </c>
      <c r="AF4" s="20" t="inlineStr">
        <is>
          <t>Jui A3</t>
        </is>
      </c>
      <c r="AG4" s="20" t="inlineStr">
        <is>
          <t>Jui A3</t>
        </is>
      </c>
      <c r="AH4" s="20" t="inlineStr">
        <is>
          <t>Aoû A3</t>
        </is>
      </c>
      <c r="AI4" s="20" t="inlineStr">
        <is>
          <t>Sep A3</t>
        </is>
      </c>
      <c r="AJ4" s="20" t="inlineStr">
        <is>
          <t>Oct A3</t>
        </is>
      </c>
      <c r="AK4" s="20" t="inlineStr">
        <is>
          <t>Nov A3</t>
        </is>
      </c>
      <c r="AL4" s="20" t="inlineStr">
        <is>
          <t>Déc A3</t>
        </is>
      </c>
      <c r="AM4" s="21" t="inlineStr">
        <is>
          <t>Total A1</t>
        </is>
      </c>
      <c r="AN4" s="21" t="inlineStr">
        <is>
          <t>Total A2</t>
        </is>
      </c>
      <c r="AO4" s="21" t="inlineStr">
        <is>
          <t>Total A3</t>
        </is>
      </c>
      <c r="AP4" s="21" t="inlineStr">
        <is>
          <t>Total 3 ans</t>
        </is>
      </c>
    </row>
    <row r="5">
      <c r="A5" s="3" t="inlineStr">
        <is>
          <t>Dépannage urgence (fuites, pannes)</t>
        </is>
      </c>
      <c r="B5" s="5" t="n">
        <v>0.3</v>
      </c>
      <c r="C5" s="22">
        <f>Hypothèses!$C$4*$B5*Hypothèses!C$18*(1+Hypothèses!$C$13)^0</f>
        <v/>
      </c>
      <c r="D5" s="22">
        <f>Hypothèses!$C$4*$B5*Hypothèses!D$18*(1+Hypothèses!$C$13)^0</f>
        <v/>
      </c>
      <c r="E5" s="22">
        <f>Hypothèses!$C$4*$B5*Hypothèses!E$18*(1+Hypothèses!$C$13)^0</f>
        <v/>
      </c>
      <c r="F5" s="22">
        <f>Hypothèses!$C$4*$B5*Hypothèses!F$18*(1+Hypothèses!$C$13)^0</f>
        <v/>
      </c>
      <c r="G5" s="22">
        <f>Hypothèses!$C$4*$B5*Hypothèses!G$18*(1+Hypothèses!$C$13)^0</f>
        <v/>
      </c>
      <c r="H5" s="22">
        <f>Hypothèses!$C$4*$B5*Hypothèses!H$18*(1+Hypothèses!$C$13)^0</f>
        <v/>
      </c>
      <c r="I5" s="22">
        <f>Hypothèses!$C$4*$B5*Hypothèses!I$18*(1+Hypothèses!$C$13)^0</f>
        <v/>
      </c>
      <c r="J5" s="22">
        <f>Hypothèses!$C$4*$B5*Hypothèses!J$18*(1+Hypothèses!$C$13)^0</f>
        <v/>
      </c>
      <c r="K5" s="22">
        <f>Hypothèses!$C$4*$B5*Hypothèses!K$18*(1+Hypothèses!$C$13)^0</f>
        <v/>
      </c>
      <c r="L5" s="22">
        <f>Hypothèses!$C$4*$B5*Hypothèses!L$18*(1+Hypothèses!$C$13)^0</f>
        <v/>
      </c>
      <c r="M5" s="22">
        <f>Hypothèses!$C$4*$B5*Hypothèses!M$18*(1+Hypothèses!$C$13)^0</f>
        <v/>
      </c>
      <c r="N5" s="22">
        <f>Hypothèses!$C$4*$B5*Hypothèses!N$18*(1+Hypothèses!$C$13)^0</f>
        <v/>
      </c>
      <c r="O5" s="22">
        <f>Hypothèses!$C$4*$B5*Hypothèses!C$18*(1+Hypothèses!$C$13)^1</f>
        <v/>
      </c>
      <c r="P5" s="22">
        <f>Hypothèses!$C$4*$B5*Hypothèses!D$18*(1+Hypothèses!$C$13)^1</f>
        <v/>
      </c>
      <c r="Q5" s="22">
        <f>Hypothèses!$C$4*$B5*Hypothèses!E$18*(1+Hypothèses!$C$13)^1</f>
        <v/>
      </c>
      <c r="R5" s="22">
        <f>Hypothèses!$C$4*$B5*Hypothèses!F$18*(1+Hypothèses!$C$13)^1</f>
        <v/>
      </c>
      <c r="S5" s="22">
        <f>Hypothèses!$C$4*$B5*Hypothèses!G$18*(1+Hypothèses!$C$13)^1</f>
        <v/>
      </c>
      <c r="T5" s="22">
        <f>Hypothèses!$C$4*$B5*Hypothèses!H$18*(1+Hypothèses!$C$13)^1</f>
        <v/>
      </c>
      <c r="U5" s="22">
        <f>Hypothèses!$C$4*$B5*Hypothèses!I$18*(1+Hypothèses!$C$13)^1</f>
        <v/>
      </c>
      <c r="V5" s="22">
        <f>Hypothèses!$C$4*$B5*Hypothèses!J$18*(1+Hypothèses!$C$13)^1</f>
        <v/>
      </c>
      <c r="W5" s="22">
        <f>Hypothèses!$C$4*$B5*Hypothèses!K$18*(1+Hypothèses!$C$13)^1</f>
        <v/>
      </c>
      <c r="X5" s="22">
        <f>Hypothèses!$C$4*$B5*Hypothèses!L$18*(1+Hypothèses!$C$13)^1</f>
        <v/>
      </c>
      <c r="Y5" s="22">
        <f>Hypothèses!$C$4*$B5*Hypothèses!M$18*(1+Hypothèses!$C$13)^1</f>
        <v/>
      </c>
      <c r="Z5" s="22">
        <f>Hypothèses!$C$4*$B5*Hypothèses!N$18*(1+Hypothèses!$C$13)^1</f>
        <v/>
      </c>
      <c r="AA5" s="22">
        <f>Hypothèses!$C$4*$B5*Hypothèses!C$18*(1+Hypothèses!$C$13)^2</f>
        <v/>
      </c>
      <c r="AB5" s="22">
        <f>Hypothèses!$C$4*$B5*Hypothèses!D$18*(1+Hypothèses!$C$13)^2</f>
        <v/>
      </c>
      <c r="AC5" s="22">
        <f>Hypothèses!$C$4*$B5*Hypothèses!E$18*(1+Hypothèses!$C$13)^2</f>
        <v/>
      </c>
      <c r="AD5" s="22">
        <f>Hypothèses!$C$4*$B5*Hypothèses!F$18*(1+Hypothèses!$C$13)^2</f>
        <v/>
      </c>
      <c r="AE5" s="22">
        <f>Hypothèses!$C$4*$B5*Hypothèses!G$18*(1+Hypothèses!$C$13)^2</f>
        <v/>
      </c>
      <c r="AF5" s="22">
        <f>Hypothèses!$C$4*$B5*Hypothèses!H$18*(1+Hypothèses!$C$13)^2</f>
        <v/>
      </c>
      <c r="AG5" s="22">
        <f>Hypothèses!$C$4*$B5*Hypothèses!I$18*(1+Hypothèses!$C$13)^2</f>
        <v/>
      </c>
      <c r="AH5" s="22">
        <f>Hypothèses!$C$4*$B5*Hypothèses!J$18*(1+Hypothèses!$C$13)^2</f>
        <v/>
      </c>
      <c r="AI5" s="22">
        <f>Hypothèses!$C$4*$B5*Hypothèses!K$18*(1+Hypothèses!$C$13)^2</f>
        <v/>
      </c>
      <c r="AJ5" s="22">
        <f>Hypothèses!$C$4*$B5*Hypothèses!L$18*(1+Hypothèses!$C$13)^2</f>
        <v/>
      </c>
      <c r="AK5" s="22">
        <f>Hypothèses!$C$4*$B5*Hypothèses!M$18*(1+Hypothèses!$C$13)^2</f>
        <v/>
      </c>
      <c r="AL5" s="22">
        <f>Hypothèses!$C$4*$B5*Hypothèses!N$18*(1+Hypothèses!$C$13)^2</f>
        <v/>
      </c>
      <c r="AM5" s="23">
        <f>SUM(C5:N5)</f>
        <v/>
      </c>
      <c r="AN5" s="23">
        <f>SUM(O5:Z5)</f>
        <v/>
      </c>
      <c r="AO5" s="23">
        <f>SUM(AA5:AL5)</f>
        <v/>
      </c>
      <c r="AP5" s="23">
        <f>SUM(AM5:AO5)</f>
        <v/>
      </c>
    </row>
    <row r="6">
      <c r="A6" s="3" t="inlineStr">
        <is>
          <t>Installation neuve (sanitaire, chauffage)</t>
        </is>
      </c>
      <c r="B6" s="5" t="n">
        <v>0.25</v>
      </c>
      <c r="C6" s="22">
        <f>Hypothèses!$C$4*$B6*Hypothèses!C$18*(1+Hypothèses!$C$13)^0</f>
        <v/>
      </c>
      <c r="D6" s="22">
        <f>Hypothèses!$C$4*$B6*Hypothèses!D$18*(1+Hypothèses!$C$13)^0</f>
        <v/>
      </c>
      <c r="E6" s="22">
        <f>Hypothèses!$C$4*$B6*Hypothèses!E$18*(1+Hypothèses!$C$13)^0</f>
        <v/>
      </c>
      <c r="F6" s="22">
        <f>Hypothèses!$C$4*$B6*Hypothèses!F$18*(1+Hypothèses!$C$13)^0</f>
        <v/>
      </c>
      <c r="G6" s="22">
        <f>Hypothèses!$C$4*$B6*Hypothèses!G$18*(1+Hypothèses!$C$13)^0</f>
        <v/>
      </c>
      <c r="H6" s="22">
        <f>Hypothèses!$C$4*$B6*Hypothèses!H$18*(1+Hypothèses!$C$13)^0</f>
        <v/>
      </c>
      <c r="I6" s="22">
        <f>Hypothèses!$C$4*$B6*Hypothèses!I$18*(1+Hypothèses!$C$13)^0</f>
        <v/>
      </c>
      <c r="J6" s="22">
        <f>Hypothèses!$C$4*$B6*Hypothèses!J$18*(1+Hypothèses!$C$13)^0</f>
        <v/>
      </c>
      <c r="K6" s="22">
        <f>Hypothèses!$C$4*$B6*Hypothèses!K$18*(1+Hypothèses!$C$13)^0</f>
        <v/>
      </c>
      <c r="L6" s="22">
        <f>Hypothèses!$C$4*$B6*Hypothèses!L$18*(1+Hypothèses!$C$13)^0</f>
        <v/>
      </c>
      <c r="M6" s="22">
        <f>Hypothèses!$C$4*$B6*Hypothèses!M$18*(1+Hypothèses!$C$13)^0</f>
        <v/>
      </c>
      <c r="N6" s="22">
        <f>Hypothèses!$C$4*$B6*Hypothèses!N$18*(1+Hypothèses!$C$13)^0</f>
        <v/>
      </c>
      <c r="O6" s="22">
        <f>Hypothèses!$C$4*$B6*Hypothèses!C$18*(1+Hypothèses!$C$13)^1</f>
        <v/>
      </c>
      <c r="P6" s="22">
        <f>Hypothèses!$C$4*$B6*Hypothèses!D$18*(1+Hypothèses!$C$13)^1</f>
        <v/>
      </c>
      <c r="Q6" s="22">
        <f>Hypothèses!$C$4*$B6*Hypothèses!E$18*(1+Hypothèses!$C$13)^1</f>
        <v/>
      </c>
      <c r="R6" s="22">
        <f>Hypothèses!$C$4*$B6*Hypothèses!F$18*(1+Hypothèses!$C$13)^1</f>
        <v/>
      </c>
      <c r="S6" s="22">
        <f>Hypothèses!$C$4*$B6*Hypothèses!G$18*(1+Hypothèses!$C$13)^1</f>
        <v/>
      </c>
      <c r="T6" s="22">
        <f>Hypothèses!$C$4*$B6*Hypothèses!H$18*(1+Hypothèses!$C$13)^1</f>
        <v/>
      </c>
      <c r="U6" s="22">
        <f>Hypothèses!$C$4*$B6*Hypothèses!I$18*(1+Hypothèses!$C$13)^1</f>
        <v/>
      </c>
      <c r="V6" s="22">
        <f>Hypothèses!$C$4*$B6*Hypothèses!J$18*(1+Hypothèses!$C$13)^1</f>
        <v/>
      </c>
      <c r="W6" s="22">
        <f>Hypothèses!$C$4*$B6*Hypothèses!K$18*(1+Hypothèses!$C$13)^1</f>
        <v/>
      </c>
      <c r="X6" s="22">
        <f>Hypothèses!$C$4*$B6*Hypothèses!L$18*(1+Hypothèses!$C$13)^1</f>
        <v/>
      </c>
      <c r="Y6" s="22">
        <f>Hypothèses!$C$4*$B6*Hypothèses!M$18*(1+Hypothèses!$C$13)^1</f>
        <v/>
      </c>
      <c r="Z6" s="22">
        <f>Hypothèses!$C$4*$B6*Hypothèses!N$18*(1+Hypothèses!$C$13)^1</f>
        <v/>
      </c>
      <c r="AA6" s="22">
        <f>Hypothèses!$C$4*$B6*Hypothèses!C$18*(1+Hypothèses!$C$13)^2</f>
        <v/>
      </c>
      <c r="AB6" s="22">
        <f>Hypothèses!$C$4*$B6*Hypothèses!D$18*(1+Hypothèses!$C$13)^2</f>
        <v/>
      </c>
      <c r="AC6" s="22">
        <f>Hypothèses!$C$4*$B6*Hypothèses!E$18*(1+Hypothèses!$C$13)^2</f>
        <v/>
      </c>
      <c r="AD6" s="22">
        <f>Hypothèses!$C$4*$B6*Hypothèses!F$18*(1+Hypothèses!$C$13)^2</f>
        <v/>
      </c>
      <c r="AE6" s="22">
        <f>Hypothèses!$C$4*$B6*Hypothèses!G$18*(1+Hypothèses!$C$13)^2</f>
        <v/>
      </c>
      <c r="AF6" s="22">
        <f>Hypothèses!$C$4*$B6*Hypothèses!H$18*(1+Hypothèses!$C$13)^2</f>
        <v/>
      </c>
      <c r="AG6" s="22">
        <f>Hypothèses!$C$4*$B6*Hypothèses!I$18*(1+Hypothèses!$C$13)^2</f>
        <v/>
      </c>
      <c r="AH6" s="22">
        <f>Hypothèses!$C$4*$B6*Hypothèses!J$18*(1+Hypothèses!$C$13)^2</f>
        <v/>
      </c>
      <c r="AI6" s="22">
        <f>Hypothèses!$C$4*$B6*Hypothèses!K$18*(1+Hypothèses!$C$13)^2</f>
        <v/>
      </c>
      <c r="AJ6" s="22">
        <f>Hypothèses!$C$4*$B6*Hypothèses!L$18*(1+Hypothèses!$C$13)^2</f>
        <v/>
      </c>
      <c r="AK6" s="22">
        <f>Hypothèses!$C$4*$B6*Hypothèses!M$18*(1+Hypothèses!$C$13)^2</f>
        <v/>
      </c>
      <c r="AL6" s="22">
        <f>Hypothèses!$C$4*$B6*Hypothèses!N$18*(1+Hypothèses!$C$13)^2</f>
        <v/>
      </c>
      <c r="AM6" s="23">
        <f>SUM(C6:N6)</f>
        <v/>
      </c>
      <c r="AN6" s="23">
        <f>SUM(O6:Z6)</f>
        <v/>
      </c>
      <c r="AO6" s="23">
        <f>SUM(AA6:AL6)</f>
        <v/>
      </c>
      <c r="AP6" s="23">
        <f>SUM(AM6:AO6)</f>
        <v/>
      </c>
    </row>
    <row r="7">
      <c r="A7" s="3" t="inlineStr">
        <is>
          <t>Entretien chaudière / chauffe-eau (contrats)</t>
        </is>
      </c>
      <c r="B7" s="5" t="n">
        <v>0.2</v>
      </c>
      <c r="C7" s="22">
        <f>Hypothèses!$C$4*$B7*Hypothèses!C$18*(1+Hypothèses!$C$13)^0</f>
        <v/>
      </c>
      <c r="D7" s="22">
        <f>Hypothèses!$C$4*$B7*Hypothèses!D$18*(1+Hypothèses!$C$13)^0</f>
        <v/>
      </c>
      <c r="E7" s="22">
        <f>Hypothèses!$C$4*$B7*Hypothèses!E$18*(1+Hypothèses!$C$13)^0</f>
        <v/>
      </c>
      <c r="F7" s="22">
        <f>Hypothèses!$C$4*$B7*Hypothèses!F$18*(1+Hypothèses!$C$13)^0</f>
        <v/>
      </c>
      <c r="G7" s="22">
        <f>Hypothèses!$C$4*$B7*Hypothèses!G$18*(1+Hypothèses!$C$13)^0</f>
        <v/>
      </c>
      <c r="H7" s="22">
        <f>Hypothèses!$C$4*$B7*Hypothèses!H$18*(1+Hypothèses!$C$13)^0</f>
        <v/>
      </c>
      <c r="I7" s="22">
        <f>Hypothèses!$C$4*$B7*Hypothèses!I$18*(1+Hypothèses!$C$13)^0</f>
        <v/>
      </c>
      <c r="J7" s="22">
        <f>Hypothèses!$C$4*$B7*Hypothèses!J$18*(1+Hypothèses!$C$13)^0</f>
        <v/>
      </c>
      <c r="K7" s="22">
        <f>Hypothèses!$C$4*$B7*Hypothèses!K$18*(1+Hypothèses!$C$13)^0</f>
        <v/>
      </c>
      <c r="L7" s="22">
        <f>Hypothèses!$C$4*$B7*Hypothèses!L$18*(1+Hypothèses!$C$13)^0</f>
        <v/>
      </c>
      <c r="M7" s="22">
        <f>Hypothèses!$C$4*$B7*Hypothèses!M$18*(1+Hypothèses!$C$13)^0</f>
        <v/>
      </c>
      <c r="N7" s="22">
        <f>Hypothèses!$C$4*$B7*Hypothèses!N$18*(1+Hypothèses!$C$13)^0</f>
        <v/>
      </c>
      <c r="O7" s="22">
        <f>Hypothèses!$C$4*$B7*Hypothèses!C$18*(1+Hypothèses!$C$13)^1</f>
        <v/>
      </c>
      <c r="P7" s="22">
        <f>Hypothèses!$C$4*$B7*Hypothèses!D$18*(1+Hypothèses!$C$13)^1</f>
        <v/>
      </c>
      <c r="Q7" s="22">
        <f>Hypothèses!$C$4*$B7*Hypothèses!E$18*(1+Hypothèses!$C$13)^1</f>
        <v/>
      </c>
      <c r="R7" s="22">
        <f>Hypothèses!$C$4*$B7*Hypothèses!F$18*(1+Hypothèses!$C$13)^1</f>
        <v/>
      </c>
      <c r="S7" s="22">
        <f>Hypothèses!$C$4*$B7*Hypothèses!G$18*(1+Hypothèses!$C$13)^1</f>
        <v/>
      </c>
      <c r="T7" s="22">
        <f>Hypothèses!$C$4*$B7*Hypothèses!H$18*(1+Hypothèses!$C$13)^1</f>
        <v/>
      </c>
      <c r="U7" s="22">
        <f>Hypothèses!$C$4*$B7*Hypothèses!I$18*(1+Hypothèses!$C$13)^1</f>
        <v/>
      </c>
      <c r="V7" s="22">
        <f>Hypothèses!$C$4*$B7*Hypothèses!J$18*(1+Hypothèses!$C$13)^1</f>
        <v/>
      </c>
      <c r="W7" s="22">
        <f>Hypothèses!$C$4*$B7*Hypothèses!K$18*(1+Hypothèses!$C$13)^1</f>
        <v/>
      </c>
      <c r="X7" s="22">
        <f>Hypothèses!$C$4*$B7*Hypothèses!L$18*(1+Hypothèses!$C$13)^1</f>
        <v/>
      </c>
      <c r="Y7" s="22">
        <f>Hypothèses!$C$4*$B7*Hypothèses!M$18*(1+Hypothèses!$C$13)^1</f>
        <v/>
      </c>
      <c r="Z7" s="22">
        <f>Hypothèses!$C$4*$B7*Hypothèses!N$18*(1+Hypothèses!$C$13)^1</f>
        <v/>
      </c>
      <c r="AA7" s="22">
        <f>Hypothèses!$C$4*$B7*Hypothèses!C$18*(1+Hypothèses!$C$13)^2</f>
        <v/>
      </c>
      <c r="AB7" s="22">
        <f>Hypothèses!$C$4*$B7*Hypothèses!D$18*(1+Hypothèses!$C$13)^2</f>
        <v/>
      </c>
      <c r="AC7" s="22">
        <f>Hypothèses!$C$4*$B7*Hypothèses!E$18*(1+Hypothèses!$C$13)^2</f>
        <v/>
      </c>
      <c r="AD7" s="22">
        <f>Hypothèses!$C$4*$B7*Hypothèses!F$18*(1+Hypothèses!$C$13)^2</f>
        <v/>
      </c>
      <c r="AE7" s="22">
        <f>Hypothèses!$C$4*$B7*Hypothèses!G$18*(1+Hypothèses!$C$13)^2</f>
        <v/>
      </c>
      <c r="AF7" s="22">
        <f>Hypothèses!$C$4*$B7*Hypothèses!H$18*(1+Hypothèses!$C$13)^2</f>
        <v/>
      </c>
      <c r="AG7" s="22">
        <f>Hypothèses!$C$4*$B7*Hypothèses!I$18*(1+Hypothèses!$C$13)^2</f>
        <v/>
      </c>
      <c r="AH7" s="22">
        <f>Hypothèses!$C$4*$B7*Hypothèses!J$18*(1+Hypothèses!$C$13)^2</f>
        <v/>
      </c>
      <c r="AI7" s="22">
        <f>Hypothèses!$C$4*$B7*Hypothèses!K$18*(1+Hypothèses!$C$13)^2</f>
        <v/>
      </c>
      <c r="AJ7" s="22">
        <f>Hypothèses!$C$4*$B7*Hypothèses!L$18*(1+Hypothèses!$C$13)^2</f>
        <v/>
      </c>
      <c r="AK7" s="22">
        <f>Hypothèses!$C$4*$B7*Hypothèses!M$18*(1+Hypothèses!$C$13)^2</f>
        <v/>
      </c>
      <c r="AL7" s="22">
        <f>Hypothèses!$C$4*$B7*Hypothèses!N$18*(1+Hypothèses!$C$13)^2</f>
        <v/>
      </c>
      <c r="AM7" s="23">
        <f>SUM(C7:N7)</f>
        <v/>
      </c>
      <c r="AN7" s="23">
        <f>SUM(O7:Z7)</f>
        <v/>
      </c>
      <c r="AO7" s="23">
        <f>SUM(AA7:AL7)</f>
        <v/>
      </c>
      <c r="AP7" s="23">
        <f>SUM(AM7:AO7)</f>
        <v/>
      </c>
    </row>
    <row r="8">
      <c r="A8" s="3" t="inlineStr">
        <is>
          <t>Rénovation salle de bain / cuisine</t>
        </is>
      </c>
      <c r="B8" s="5" t="n">
        <v>0.25</v>
      </c>
      <c r="C8" s="22">
        <f>Hypothèses!$C$4*$B8*Hypothèses!C$18*(1+Hypothèses!$C$13)^0</f>
        <v/>
      </c>
      <c r="D8" s="22">
        <f>Hypothèses!$C$4*$B8*Hypothèses!D$18*(1+Hypothèses!$C$13)^0</f>
        <v/>
      </c>
      <c r="E8" s="22">
        <f>Hypothèses!$C$4*$B8*Hypothèses!E$18*(1+Hypothèses!$C$13)^0</f>
        <v/>
      </c>
      <c r="F8" s="22">
        <f>Hypothèses!$C$4*$B8*Hypothèses!F$18*(1+Hypothèses!$C$13)^0</f>
        <v/>
      </c>
      <c r="G8" s="22">
        <f>Hypothèses!$C$4*$B8*Hypothèses!G$18*(1+Hypothèses!$C$13)^0</f>
        <v/>
      </c>
      <c r="H8" s="22">
        <f>Hypothèses!$C$4*$B8*Hypothèses!H$18*(1+Hypothèses!$C$13)^0</f>
        <v/>
      </c>
      <c r="I8" s="22">
        <f>Hypothèses!$C$4*$B8*Hypothèses!I$18*(1+Hypothèses!$C$13)^0</f>
        <v/>
      </c>
      <c r="J8" s="22">
        <f>Hypothèses!$C$4*$B8*Hypothèses!J$18*(1+Hypothèses!$C$13)^0</f>
        <v/>
      </c>
      <c r="K8" s="22">
        <f>Hypothèses!$C$4*$B8*Hypothèses!K$18*(1+Hypothèses!$C$13)^0</f>
        <v/>
      </c>
      <c r="L8" s="22">
        <f>Hypothèses!$C$4*$B8*Hypothèses!L$18*(1+Hypothèses!$C$13)^0</f>
        <v/>
      </c>
      <c r="M8" s="22">
        <f>Hypothèses!$C$4*$B8*Hypothèses!M$18*(1+Hypothèses!$C$13)^0</f>
        <v/>
      </c>
      <c r="N8" s="22">
        <f>Hypothèses!$C$4*$B8*Hypothèses!N$18*(1+Hypothèses!$C$13)^0</f>
        <v/>
      </c>
      <c r="O8" s="22">
        <f>Hypothèses!$C$4*$B8*Hypothèses!C$18*(1+Hypothèses!$C$13)^1</f>
        <v/>
      </c>
      <c r="P8" s="22">
        <f>Hypothèses!$C$4*$B8*Hypothèses!D$18*(1+Hypothèses!$C$13)^1</f>
        <v/>
      </c>
      <c r="Q8" s="22">
        <f>Hypothèses!$C$4*$B8*Hypothèses!E$18*(1+Hypothèses!$C$13)^1</f>
        <v/>
      </c>
      <c r="R8" s="22">
        <f>Hypothèses!$C$4*$B8*Hypothèses!F$18*(1+Hypothèses!$C$13)^1</f>
        <v/>
      </c>
      <c r="S8" s="22">
        <f>Hypothèses!$C$4*$B8*Hypothèses!G$18*(1+Hypothèses!$C$13)^1</f>
        <v/>
      </c>
      <c r="T8" s="22">
        <f>Hypothèses!$C$4*$B8*Hypothèses!H$18*(1+Hypothèses!$C$13)^1</f>
        <v/>
      </c>
      <c r="U8" s="22">
        <f>Hypothèses!$C$4*$B8*Hypothèses!I$18*(1+Hypothèses!$C$13)^1</f>
        <v/>
      </c>
      <c r="V8" s="22">
        <f>Hypothèses!$C$4*$B8*Hypothèses!J$18*(1+Hypothèses!$C$13)^1</f>
        <v/>
      </c>
      <c r="W8" s="22">
        <f>Hypothèses!$C$4*$B8*Hypothèses!K$18*(1+Hypothèses!$C$13)^1</f>
        <v/>
      </c>
      <c r="X8" s="22">
        <f>Hypothèses!$C$4*$B8*Hypothèses!L$18*(1+Hypothèses!$C$13)^1</f>
        <v/>
      </c>
      <c r="Y8" s="22">
        <f>Hypothèses!$C$4*$B8*Hypothèses!M$18*(1+Hypothèses!$C$13)^1</f>
        <v/>
      </c>
      <c r="Z8" s="22">
        <f>Hypothèses!$C$4*$B8*Hypothèses!N$18*(1+Hypothèses!$C$13)^1</f>
        <v/>
      </c>
      <c r="AA8" s="22">
        <f>Hypothèses!$C$4*$B8*Hypothèses!C$18*(1+Hypothèses!$C$13)^2</f>
        <v/>
      </c>
      <c r="AB8" s="22">
        <f>Hypothèses!$C$4*$B8*Hypothèses!D$18*(1+Hypothèses!$C$13)^2</f>
        <v/>
      </c>
      <c r="AC8" s="22">
        <f>Hypothèses!$C$4*$B8*Hypothèses!E$18*(1+Hypothèses!$C$13)^2</f>
        <v/>
      </c>
      <c r="AD8" s="22">
        <f>Hypothèses!$C$4*$B8*Hypothèses!F$18*(1+Hypothèses!$C$13)^2</f>
        <v/>
      </c>
      <c r="AE8" s="22">
        <f>Hypothèses!$C$4*$B8*Hypothèses!G$18*(1+Hypothèses!$C$13)^2</f>
        <v/>
      </c>
      <c r="AF8" s="22">
        <f>Hypothèses!$C$4*$B8*Hypothèses!H$18*(1+Hypothèses!$C$13)^2</f>
        <v/>
      </c>
      <c r="AG8" s="22">
        <f>Hypothèses!$C$4*$B8*Hypothèses!I$18*(1+Hypothèses!$C$13)^2</f>
        <v/>
      </c>
      <c r="AH8" s="22">
        <f>Hypothèses!$C$4*$B8*Hypothèses!J$18*(1+Hypothèses!$C$13)^2</f>
        <v/>
      </c>
      <c r="AI8" s="22">
        <f>Hypothèses!$C$4*$B8*Hypothèses!K$18*(1+Hypothèses!$C$13)^2</f>
        <v/>
      </c>
      <c r="AJ8" s="22">
        <f>Hypothèses!$C$4*$B8*Hypothèses!L$18*(1+Hypothèses!$C$13)^2</f>
        <v/>
      </c>
      <c r="AK8" s="22">
        <f>Hypothèses!$C$4*$B8*Hypothèses!M$18*(1+Hypothèses!$C$13)^2</f>
        <v/>
      </c>
      <c r="AL8" s="22">
        <f>Hypothèses!$C$4*$B8*Hypothèses!N$18*(1+Hypothèses!$C$13)^2</f>
        <v/>
      </c>
      <c r="AM8" s="23">
        <f>SUM(C8:N8)</f>
        <v/>
      </c>
      <c r="AN8" s="23">
        <f>SUM(O8:Z8)</f>
        <v/>
      </c>
      <c r="AO8" s="23">
        <f>SUM(AA8:AL8)</f>
        <v/>
      </c>
      <c r="AP8" s="23">
        <f>SUM(AM8:AO8)</f>
        <v/>
      </c>
    </row>
    <row r="9">
      <c r="A9" s="24" t="inlineStr">
        <is>
          <t>TOTAL CA HT</t>
        </is>
      </c>
      <c r="C9" s="25">
        <f>SUM(C5:C8)</f>
        <v/>
      </c>
      <c r="D9" s="25">
        <f>SUM(D5:D8)</f>
        <v/>
      </c>
      <c r="E9" s="25">
        <f>SUM(E5:E8)</f>
        <v/>
      </c>
      <c r="F9" s="25">
        <f>SUM(F5:F8)</f>
        <v/>
      </c>
      <c r="G9" s="25">
        <f>SUM(G5:G8)</f>
        <v/>
      </c>
      <c r="H9" s="25">
        <f>SUM(H5:H8)</f>
        <v/>
      </c>
      <c r="I9" s="25">
        <f>SUM(I5:I8)</f>
        <v/>
      </c>
      <c r="J9" s="25">
        <f>SUM(J5:J8)</f>
        <v/>
      </c>
      <c r="K9" s="25">
        <f>SUM(K5:K8)</f>
        <v/>
      </c>
      <c r="L9" s="25">
        <f>SUM(L5:L8)</f>
        <v/>
      </c>
      <c r="M9" s="25">
        <f>SUM(M5:M8)</f>
        <v/>
      </c>
      <c r="N9" s="25">
        <f>SUM(N5:N8)</f>
        <v/>
      </c>
      <c r="O9" s="25">
        <f>SUM(O5:O8)</f>
        <v/>
      </c>
      <c r="P9" s="25">
        <f>SUM(P5:P8)</f>
        <v/>
      </c>
      <c r="Q9" s="25">
        <f>SUM(Q5:Q8)</f>
        <v/>
      </c>
      <c r="R9" s="25">
        <f>SUM(R5:R8)</f>
        <v/>
      </c>
      <c r="S9" s="25">
        <f>SUM(S5:S8)</f>
        <v/>
      </c>
      <c r="T9" s="25">
        <f>SUM(T5:T8)</f>
        <v/>
      </c>
      <c r="U9" s="25">
        <f>SUM(U5:U8)</f>
        <v/>
      </c>
      <c r="V9" s="25">
        <f>SUM(V5:V8)</f>
        <v/>
      </c>
      <c r="W9" s="25">
        <f>SUM(W5:W8)</f>
        <v/>
      </c>
      <c r="X9" s="25">
        <f>SUM(X5:X8)</f>
        <v/>
      </c>
      <c r="Y9" s="25">
        <f>SUM(Y5:Y8)</f>
        <v/>
      </c>
      <c r="Z9" s="25">
        <f>SUM(Z5:Z8)</f>
        <v/>
      </c>
      <c r="AA9" s="25">
        <f>SUM(AA5:AA8)</f>
        <v/>
      </c>
      <c r="AB9" s="25">
        <f>SUM(AB5:AB8)</f>
        <v/>
      </c>
      <c r="AC9" s="25">
        <f>SUM(AC5:AC8)</f>
        <v/>
      </c>
      <c r="AD9" s="25">
        <f>SUM(AD5:AD8)</f>
        <v/>
      </c>
      <c r="AE9" s="25">
        <f>SUM(AE5:AE8)</f>
        <v/>
      </c>
      <c r="AF9" s="25">
        <f>SUM(AF5:AF8)</f>
        <v/>
      </c>
      <c r="AG9" s="25">
        <f>SUM(AG5:AG8)</f>
        <v/>
      </c>
      <c r="AH9" s="25">
        <f>SUM(AH5:AH8)</f>
        <v/>
      </c>
      <c r="AI9" s="25">
        <f>SUM(AI5:AI8)</f>
        <v/>
      </c>
      <c r="AJ9" s="25">
        <f>SUM(AJ5:AJ8)</f>
        <v/>
      </c>
      <c r="AK9" s="25">
        <f>SUM(AK5:AK8)</f>
        <v/>
      </c>
      <c r="AL9" s="25">
        <f>SUM(AL5:AL8)</f>
        <v/>
      </c>
      <c r="AM9" s="25">
        <f>SUM(C9:N9)</f>
        <v/>
      </c>
      <c r="AN9" s="25">
        <f>SUM(O9:Z9)</f>
        <v/>
      </c>
      <c r="AO9" s="25">
        <f>SUM(AA9:AL9)</f>
        <v/>
      </c>
      <c r="AP9" s="25">
        <f>SUM(AM9:AO9)</f>
        <v/>
      </c>
    </row>
    <row r="10">
      <c r="A10" s="6" t="inlineStr">
        <is>
          <t>Contrôle Σ % répartition (doit = 100%)</t>
        </is>
      </c>
      <c r="B10" s="26">
        <f>SUM(B5:B8)</f>
        <v/>
      </c>
    </row>
    <row r="11">
      <c r="A11" s="3" t="inlineStr">
        <is>
          <t>TVA collectée sur les ventes</t>
        </is>
      </c>
      <c r="C11" s="22">
        <f>C9*Hypothèses!$C$5</f>
        <v/>
      </c>
      <c r="D11" s="22">
        <f>D9*Hypothèses!$C$5</f>
        <v/>
      </c>
      <c r="E11" s="22">
        <f>E9*Hypothèses!$C$5</f>
        <v/>
      </c>
      <c r="F11" s="22">
        <f>F9*Hypothèses!$C$5</f>
        <v/>
      </c>
      <c r="G11" s="22">
        <f>G9*Hypothèses!$C$5</f>
        <v/>
      </c>
      <c r="H11" s="22">
        <f>H9*Hypothèses!$C$5</f>
        <v/>
      </c>
      <c r="I11" s="22">
        <f>I9*Hypothèses!$C$5</f>
        <v/>
      </c>
      <c r="J11" s="22">
        <f>J9*Hypothèses!$C$5</f>
        <v/>
      </c>
      <c r="K11" s="22">
        <f>K9*Hypothèses!$C$5</f>
        <v/>
      </c>
      <c r="L11" s="22">
        <f>L9*Hypothèses!$C$5</f>
        <v/>
      </c>
      <c r="M11" s="22">
        <f>M9*Hypothèses!$C$5</f>
        <v/>
      </c>
      <c r="N11" s="22">
        <f>N9*Hypothèses!$C$5</f>
        <v/>
      </c>
      <c r="O11" s="22">
        <f>O9*Hypothèses!$C$5</f>
        <v/>
      </c>
      <c r="P11" s="22">
        <f>P9*Hypothèses!$C$5</f>
        <v/>
      </c>
      <c r="Q11" s="22">
        <f>Q9*Hypothèses!$C$5</f>
        <v/>
      </c>
      <c r="R11" s="22">
        <f>R9*Hypothèses!$C$5</f>
        <v/>
      </c>
      <c r="S11" s="22">
        <f>S9*Hypothèses!$C$5</f>
        <v/>
      </c>
      <c r="T11" s="22">
        <f>T9*Hypothèses!$C$5</f>
        <v/>
      </c>
      <c r="U11" s="22">
        <f>U9*Hypothèses!$C$5</f>
        <v/>
      </c>
      <c r="V11" s="22">
        <f>V9*Hypothèses!$C$5</f>
        <v/>
      </c>
      <c r="W11" s="22">
        <f>W9*Hypothèses!$C$5</f>
        <v/>
      </c>
      <c r="X11" s="22">
        <f>X9*Hypothèses!$C$5</f>
        <v/>
      </c>
      <c r="Y11" s="22">
        <f>Y9*Hypothèses!$C$5</f>
        <v/>
      </c>
      <c r="Z11" s="22">
        <f>Z9*Hypothèses!$C$5</f>
        <v/>
      </c>
      <c r="AA11" s="22">
        <f>AA9*Hypothèses!$C$5</f>
        <v/>
      </c>
      <c r="AB11" s="22">
        <f>AB9*Hypothèses!$C$5</f>
        <v/>
      </c>
      <c r="AC11" s="22">
        <f>AC9*Hypothèses!$C$5</f>
        <v/>
      </c>
      <c r="AD11" s="22">
        <f>AD9*Hypothèses!$C$5</f>
        <v/>
      </c>
      <c r="AE11" s="22">
        <f>AE9*Hypothèses!$C$5</f>
        <v/>
      </c>
      <c r="AF11" s="22">
        <f>AF9*Hypothèses!$C$5</f>
        <v/>
      </c>
      <c r="AG11" s="22">
        <f>AG9*Hypothèses!$C$5</f>
        <v/>
      </c>
      <c r="AH11" s="22">
        <f>AH9*Hypothèses!$C$5</f>
        <v/>
      </c>
      <c r="AI11" s="22">
        <f>AI9*Hypothèses!$C$5</f>
        <v/>
      </c>
      <c r="AJ11" s="22">
        <f>AJ9*Hypothèses!$C$5</f>
        <v/>
      </c>
      <c r="AK11" s="22">
        <f>AK9*Hypothèses!$C$5</f>
        <v/>
      </c>
      <c r="AL11" s="22">
        <f>AL9*Hypothèses!$C$5</f>
        <v/>
      </c>
      <c r="AM11" s="23">
        <f>SUM(C11:N11)</f>
        <v/>
      </c>
      <c r="AN11" s="23">
        <f>SUM(O11:Z11)</f>
        <v/>
      </c>
      <c r="AO11" s="23">
        <f>SUM(AA11:AL11)</f>
        <v/>
      </c>
      <c r="AP11" s="23">
        <f>SUM(AM11:AO11)</f>
        <v/>
      </c>
    </row>
    <row r="12">
      <c r="A12" s="24" t="inlineStr">
        <is>
          <t>CA TTC (encaissable)</t>
        </is>
      </c>
      <c r="C12" s="25">
        <f>C9+C11</f>
        <v/>
      </c>
      <c r="D12" s="25">
        <f>D9+D11</f>
        <v/>
      </c>
      <c r="E12" s="25">
        <f>E9+E11</f>
        <v/>
      </c>
      <c r="F12" s="25">
        <f>F9+F11</f>
        <v/>
      </c>
      <c r="G12" s="25">
        <f>G9+G11</f>
        <v/>
      </c>
      <c r="H12" s="25">
        <f>H9+H11</f>
        <v/>
      </c>
      <c r="I12" s="25">
        <f>I9+I11</f>
        <v/>
      </c>
      <c r="J12" s="25">
        <f>J9+J11</f>
        <v/>
      </c>
      <c r="K12" s="25">
        <f>K9+K11</f>
        <v/>
      </c>
      <c r="L12" s="25">
        <f>L9+L11</f>
        <v/>
      </c>
      <c r="M12" s="25">
        <f>M9+M11</f>
        <v/>
      </c>
      <c r="N12" s="25">
        <f>N9+N11</f>
        <v/>
      </c>
      <c r="O12" s="25">
        <f>O9+O11</f>
        <v/>
      </c>
      <c r="P12" s="25">
        <f>P9+P11</f>
        <v/>
      </c>
      <c r="Q12" s="25">
        <f>Q9+Q11</f>
        <v/>
      </c>
      <c r="R12" s="25">
        <f>R9+R11</f>
        <v/>
      </c>
      <c r="S12" s="25">
        <f>S9+S11</f>
        <v/>
      </c>
      <c r="T12" s="25">
        <f>T9+T11</f>
        <v/>
      </c>
      <c r="U12" s="25">
        <f>U9+U11</f>
        <v/>
      </c>
      <c r="V12" s="25">
        <f>V9+V11</f>
        <v/>
      </c>
      <c r="W12" s="25">
        <f>W9+W11</f>
        <v/>
      </c>
      <c r="X12" s="25">
        <f>X9+X11</f>
        <v/>
      </c>
      <c r="Y12" s="25">
        <f>Y9+Y11</f>
        <v/>
      </c>
      <c r="Z12" s="25">
        <f>Z9+Z11</f>
        <v/>
      </c>
      <c r="AA12" s="25">
        <f>AA9+AA11</f>
        <v/>
      </c>
      <c r="AB12" s="25">
        <f>AB9+AB11</f>
        <v/>
      </c>
      <c r="AC12" s="25">
        <f>AC9+AC11</f>
        <v/>
      </c>
      <c r="AD12" s="25">
        <f>AD9+AD11</f>
        <v/>
      </c>
      <c r="AE12" s="25">
        <f>AE9+AE11</f>
        <v/>
      </c>
      <c r="AF12" s="25">
        <f>AF9+AF11</f>
        <v/>
      </c>
      <c r="AG12" s="25">
        <f>AG9+AG11</f>
        <v/>
      </c>
      <c r="AH12" s="25">
        <f>AH9+AH11</f>
        <v/>
      </c>
      <c r="AI12" s="25">
        <f>AI9+AI11</f>
        <v/>
      </c>
      <c r="AJ12" s="25">
        <f>AJ9+AJ11</f>
        <v/>
      </c>
      <c r="AK12" s="25">
        <f>AK9+AK11</f>
        <v/>
      </c>
      <c r="AL12" s="25">
        <f>AL9+AL11</f>
        <v/>
      </c>
      <c r="AM12" s="25">
        <f>SUM(C12:N12)</f>
        <v/>
      </c>
      <c r="AN12" s="25">
        <f>SUM(O12:Z12)</f>
        <v/>
      </c>
      <c r="AO12" s="25">
        <f>SUM(AA12:AL12)</f>
        <v/>
      </c>
      <c r="AP12" s="25">
        <f>SUM(AM12:AO12)</f>
        <v/>
      </c>
    </row>
  </sheetData>
  <mergeCells count="5">
    <mergeCell ref="AA3:AL3"/>
    <mergeCell ref="O3:Z3"/>
    <mergeCell ref="A2:O2"/>
    <mergeCell ref="A1:O1"/>
    <mergeCell ref="C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13" customWidth="1" min="3" max="3"/>
    <col width="12" customWidth="1" min="4" max="4"/>
    <col width="14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</cols>
  <sheetData>
    <row r="1" ht="22" customHeight="1">
      <c r="A1" s="1" t="inlineStr">
        <is>
          <t>Plombier — Dépenses détaillées (3 ans, mois par mois)</t>
        </is>
      </c>
    </row>
    <row r="2" ht="16" customHeight="1">
      <c r="A2" s="2" t="inlineStr">
        <is>
          <t>Quantité de base × indice de saisonnalité × Prix (de base inflaté, ou simulé mois par mois pour les commodités) = Coût du mois.</t>
        </is>
      </c>
    </row>
    <row r="3" ht="14" customHeight="1">
      <c r="G3" s="15" t="inlineStr">
        <is>
          <t>ANNÉE 1</t>
        </is>
      </c>
      <c r="S3" s="16" t="inlineStr">
        <is>
          <t>ANNÉE 2</t>
        </is>
      </c>
      <c r="AE3" s="17" t="inlineStr">
        <is>
          <t>ANNÉE 3</t>
        </is>
      </c>
    </row>
    <row r="4" ht="30" customHeight="1">
      <c r="A4" s="21" t="inlineStr">
        <is>
          <t>Catégorie</t>
        </is>
      </c>
      <c r="B4" s="21" t="inlineStr">
        <is>
          <t>Poste</t>
        </is>
      </c>
      <c r="C4" s="21" t="inlineStr">
        <is>
          <t>Qté base/mois (A1)</t>
        </is>
      </c>
      <c r="D4" s="21" t="inlineStr">
        <is>
          <t>Unité</t>
        </is>
      </c>
      <c r="E4" s="21" t="inlineStr">
        <is>
          <t>Prix unitaire base (A1, €)</t>
        </is>
      </c>
      <c r="F4" s="21" t="inlineStr">
        <is>
          <t>Source prix</t>
        </is>
      </c>
      <c r="G4" s="20" t="inlineStr">
        <is>
          <t>Jan A1</t>
        </is>
      </c>
      <c r="H4" s="20" t="inlineStr">
        <is>
          <t>Fév A1</t>
        </is>
      </c>
      <c r="I4" s="20" t="inlineStr">
        <is>
          <t>Mar A1</t>
        </is>
      </c>
      <c r="J4" s="20" t="inlineStr">
        <is>
          <t>Avr A1</t>
        </is>
      </c>
      <c r="K4" s="20" t="inlineStr">
        <is>
          <t>Mai A1</t>
        </is>
      </c>
      <c r="L4" s="20" t="inlineStr">
        <is>
          <t>Jui A1</t>
        </is>
      </c>
      <c r="M4" s="20" t="inlineStr">
        <is>
          <t>Jui A1</t>
        </is>
      </c>
      <c r="N4" s="20" t="inlineStr">
        <is>
          <t>Aoû A1</t>
        </is>
      </c>
      <c r="O4" s="20" t="inlineStr">
        <is>
          <t>Sep A1</t>
        </is>
      </c>
      <c r="P4" s="20" t="inlineStr">
        <is>
          <t>Oct A1</t>
        </is>
      </c>
      <c r="Q4" s="20" t="inlineStr">
        <is>
          <t>Nov A1</t>
        </is>
      </c>
      <c r="R4" s="20" t="inlineStr">
        <is>
          <t>Déc A1</t>
        </is>
      </c>
      <c r="S4" s="20" t="inlineStr">
        <is>
          <t>Jan A2</t>
        </is>
      </c>
      <c r="T4" s="20" t="inlineStr">
        <is>
          <t>Fév A2</t>
        </is>
      </c>
      <c r="U4" s="20" t="inlineStr">
        <is>
          <t>Mar A2</t>
        </is>
      </c>
      <c r="V4" s="20" t="inlineStr">
        <is>
          <t>Avr A2</t>
        </is>
      </c>
      <c r="W4" s="20" t="inlineStr">
        <is>
          <t>Mai A2</t>
        </is>
      </c>
      <c r="X4" s="20" t="inlineStr">
        <is>
          <t>Jui A2</t>
        </is>
      </c>
      <c r="Y4" s="20" t="inlineStr">
        <is>
          <t>Jui A2</t>
        </is>
      </c>
      <c r="Z4" s="20" t="inlineStr">
        <is>
          <t>Aoû A2</t>
        </is>
      </c>
      <c r="AA4" s="20" t="inlineStr">
        <is>
          <t>Sep A2</t>
        </is>
      </c>
      <c r="AB4" s="20" t="inlineStr">
        <is>
          <t>Oct A2</t>
        </is>
      </c>
      <c r="AC4" s="20" t="inlineStr">
        <is>
          <t>Nov A2</t>
        </is>
      </c>
      <c r="AD4" s="20" t="inlineStr">
        <is>
          <t>Déc A2</t>
        </is>
      </c>
      <c r="AE4" s="20" t="inlineStr">
        <is>
          <t>Jan A3</t>
        </is>
      </c>
      <c r="AF4" s="20" t="inlineStr">
        <is>
          <t>Fév A3</t>
        </is>
      </c>
      <c r="AG4" s="20" t="inlineStr">
        <is>
          <t>Mar A3</t>
        </is>
      </c>
      <c r="AH4" s="20" t="inlineStr">
        <is>
          <t>Avr A3</t>
        </is>
      </c>
      <c r="AI4" s="20" t="inlineStr">
        <is>
          <t>Mai A3</t>
        </is>
      </c>
      <c r="AJ4" s="20" t="inlineStr">
        <is>
          <t>Jui A3</t>
        </is>
      </c>
      <c r="AK4" s="20" t="inlineStr">
        <is>
          <t>Jui A3</t>
        </is>
      </c>
      <c r="AL4" s="20" t="inlineStr">
        <is>
          <t>Aoû A3</t>
        </is>
      </c>
      <c r="AM4" s="20" t="inlineStr">
        <is>
          <t>Sep A3</t>
        </is>
      </c>
      <c r="AN4" s="20" t="inlineStr">
        <is>
          <t>Oct A3</t>
        </is>
      </c>
      <c r="AO4" s="20" t="inlineStr">
        <is>
          <t>Nov A3</t>
        </is>
      </c>
      <c r="AP4" s="20" t="inlineStr">
        <is>
          <t>Déc A3</t>
        </is>
      </c>
      <c r="AQ4" s="21" t="inlineStr">
        <is>
          <t>Total A1</t>
        </is>
      </c>
      <c r="AR4" s="21" t="inlineStr">
        <is>
          <t>Total A2</t>
        </is>
      </c>
      <c r="AS4" s="21" t="inlineStr">
        <is>
          <t>Total A3</t>
        </is>
      </c>
      <c r="AT4" s="21" t="inlineStr">
        <is>
          <t>Total 3 ans</t>
        </is>
      </c>
    </row>
    <row r="5">
      <c r="A5" s="27" t="inlineStr">
        <is>
          <t>Matériaux &amp; fournitures</t>
        </is>
      </c>
      <c r="B5" s="28" t="inlineStr">
        <is>
          <t>Cuivre (tubes) — prix de marché simulé (€/unité)</t>
        </is>
      </c>
      <c r="C5" s="29" t="n"/>
      <c r="D5" s="28" t="inlineStr">
        <is>
          <t>kg</t>
        </is>
      </c>
      <c r="E5" s="30">
        <f>AVERAGE(G5:AP5)</f>
        <v/>
      </c>
      <c r="F5" s="31" t="inlineStr">
        <is>
          <t>API marché (COPPER, Alpha Vantage) — simulation calibrée, à remplacer par un fetch live</t>
        </is>
      </c>
      <c r="G5" s="32" t="n">
        <v>8.565</v>
      </c>
      <c r="H5" s="32" t="n">
        <v>9.225</v>
      </c>
      <c r="I5" s="32" t="n">
        <v>8.5328</v>
      </c>
      <c r="J5" s="32" t="n">
        <v>8.581799999999999</v>
      </c>
      <c r="K5" s="32" t="n">
        <v>8.6815</v>
      </c>
      <c r="L5" s="32" t="n">
        <v>9.602600000000001</v>
      </c>
      <c r="M5" s="32" t="n">
        <v>9.5718</v>
      </c>
      <c r="N5" s="32" t="n">
        <v>11.3789</v>
      </c>
      <c r="O5" s="32" t="n">
        <v>11.494</v>
      </c>
      <c r="P5" s="32" t="n">
        <v>13.5768</v>
      </c>
      <c r="Q5" s="32" t="n">
        <v>14.4639</v>
      </c>
      <c r="R5" s="32" t="n">
        <v>15.1211</v>
      </c>
      <c r="S5" s="32" t="n">
        <v>12.7036</v>
      </c>
      <c r="T5" s="32" t="n">
        <v>12.0246</v>
      </c>
      <c r="U5" s="32" t="n">
        <v>12.4596</v>
      </c>
      <c r="V5" s="32" t="n">
        <v>11.8673</v>
      </c>
      <c r="W5" s="32" t="n">
        <v>10.7991</v>
      </c>
      <c r="X5" s="32" t="n">
        <v>9.7164</v>
      </c>
      <c r="Y5" s="32" t="n">
        <v>10.3107</v>
      </c>
      <c r="Z5" s="32" t="n">
        <v>11.5228</v>
      </c>
      <c r="AA5" s="32" t="n">
        <v>12.3463</v>
      </c>
      <c r="AB5" s="32" t="n">
        <v>10.3148</v>
      </c>
      <c r="AC5" s="32" t="n">
        <v>10.5649</v>
      </c>
      <c r="AD5" s="32" t="n">
        <v>11.7796</v>
      </c>
      <c r="AE5" s="32" t="n">
        <v>9.8238</v>
      </c>
      <c r="AF5" s="32" t="n">
        <v>10.3005</v>
      </c>
      <c r="AG5" s="32" t="n">
        <v>10.3434</v>
      </c>
      <c r="AH5" s="32" t="n">
        <v>10.2344</v>
      </c>
      <c r="AI5" s="32" t="n">
        <v>11.5086</v>
      </c>
      <c r="AJ5" s="32" t="n">
        <v>11.0067</v>
      </c>
      <c r="AK5" s="32" t="n">
        <v>10.6141</v>
      </c>
      <c r="AL5" s="32" t="n">
        <v>12.5182</v>
      </c>
      <c r="AM5" s="32" t="n">
        <v>13.632</v>
      </c>
      <c r="AN5" s="32" t="n">
        <v>15.602</v>
      </c>
      <c r="AO5" s="32" t="n">
        <v>15.4438</v>
      </c>
      <c r="AP5" s="32" t="n">
        <v>15.3478</v>
      </c>
    </row>
    <row r="6">
      <c r="A6" s="27" t="inlineStr">
        <is>
          <t>Matériaux &amp; fournitures</t>
        </is>
      </c>
      <c r="B6" s="27" t="inlineStr">
        <is>
          <t>↳ Coût (Cuivre (tubes))</t>
        </is>
      </c>
      <c r="C6" s="33" t="n">
        <v>15</v>
      </c>
      <c r="D6" s="27" t="inlineStr">
        <is>
          <t>kg</t>
        </is>
      </c>
      <c r="E6" s="29" t="n"/>
      <c r="F6" s="28" t="inlineStr">
        <is>
          <t>Coût = Qté de base × saisonnalité × prix simulé ci-dessus</t>
        </is>
      </c>
      <c r="G6" s="23">
        <f>$C6*Hypothèses!C$17*G5</f>
        <v/>
      </c>
      <c r="H6" s="23">
        <f>$C6*Hypothèses!D$17*H5</f>
        <v/>
      </c>
      <c r="I6" s="23">
        <f>$C6*Hypothèses!E$17*I5</f>
        <v/>
      </c>
      <c r="J6" s="23">
        <f>$C6*Hypothèses!F$17*J5</f>
        <v/>
      </c>
      <c r="K6" s="23">
        <f>$C6*Hypothèses!G$17*K5</f>
        <v/>
      </c>
      <c r="L6" s="23">
        <f>$C6*Hypothèses!H$17*L5</f>
        <v/>
      </c>
      <c r="M6" s="23">
        <f>$C6*Hypothèses!I$17*M5</f>
        <v/>
      </c>
      <c r="N6" s="23">
        <f>$C6*Hypothèses!J$17*N5</f>
        <v/>
      </c>
      <c r="O6" s="23">
        <f>$C6*Hypothèses!K$17*O5</f>
        <v/>
      </c>
      <c r="P6" s="23">
        <f>$C6*Hypothèses!L$17*P5</f>
        <v/>
      </c>
      <c r="Q6" s="23">
        <f>$C6*Hypothèses!M$17*Q5</f>
        <v/>
      </c>
      <c r="R6" s="23">
        <f>$C6*Hypothèses!N$17*R5</f>
        <v/>
      </c>
      <c r="S6" s="23">
        <f>$C6*Hypothèses!C$17*S5</f>
        <v/>
      </c>
      <c r="T6" s="23">
        <f>$C6*Hypothèses!D$17*T5</f>
        <v/>
      </c>
      <c r="U6" s="23">
        <f>$C6*Hypothèses!E$17*U5</f>
        <v/>
      </c>
      <c r="V6" s="23">
        <f>$C6*Hypothèses!F$17*V5</f>
        <v/>
      </c>
      <c r="W6" s="23">
        <f>$C6*Hypothèses!G$17*W5</f>
        <v/>
      </c>
      <c r="X6" s="23">
        <f>$C6*Hypothèses!H$17*X5</f>
        <v/>
      </c>
      <c r="Y6" s="23">
        <f>$C6*Hypothèses!I$17*Y5</f>
        <v/>
      </c>
      <c r="Z6" s="23">
        <f>$C6*Hypothèses!J$17*Z5</f>
        <v/>
      </c>
      <c r="AA6" s="23">
        <f>$C6*Hypothèses!K$17*AA5</f>
        <v/>
      </c>
      <c r="AB6" s="23">
        <f>$C6*Hypothèses!L$17*AB5</f>
        <v/>
      </c>
      <c r="AC6" s="23">
        <f>$C6*Hypothèses!M$17*AC5</f>
        <v/>
      </c>
      <c r="AD6" s="23">
        <f>$C6*Hypothèses!N$17*AD5</f>
        <v/>
      </c>
      <c r="AE6" s="23">
        <f>$C6*Hypothèses!C$17*AE5</f>
        <v/>
      </c>
      <c r="AF6" s="23">
        <f>$C6*Hypothèses!D$17*AF5</f>
        <v/>
      </c>
      <c r="AG6" s="23">
        <f>$C6*Hypothèses!E$17*AG5</f>
        <v/>
      </c>
      <c r="AH6" s="23">
        <f>$C6*Hypothèses!F$17*AH5</f>
        <v/>
      </c>
      <c r="AI6" s="23">
        <f>$C6*Hypothèses!G$17*AI5</f>
        <v/>
      </c>
      <c r="AJ6" s="23">
        <f>$C6*Hypothèses!H$17*AJ5</f>
        <v/>
      </c>
      <c r="AK6" s="23">
        <f>$C6*Hypothèses!I$17*AK5</f>
        <v/>
      </c>
      <c r="AL6" s="23">
        <f>$C6*Hypothèses!J$17*AL5</f>
        <v/>
      </c>
      <c r="AM6" s="23">
        <f>$C6*Hypothèses!K$17*AM5</f>
        <v/>
      </c>
      <c r="AN6" s="23">
        <f>$C6*Hypothèses!L$17*AN5</f>
        <v/>
      </c>
      <c r="AO6" s="23">
        <f>$C6*Hypothèses!M$17*AO5</f>
        <v/>
      </c>
      <c r="AP6" s="23">
        <f>$C6*Hypothèses!N$17*AP5</f>
        <v/>
      </c>
      <c r="AQ6" s="23">
        <f>SUM(G6:R6)</f>
        <v/>
      </c>
      <c r="AR6" s="23">
        <f>SUM(S6:AD6)</f>
        <v/>
      </c>
      <c r="AS6" s="23">
        <f>SUM(AE6:AP6)</f>
        <v/>
      </c>
      <c r="AT6" s="23">
        <f>SUM(AQ6:AS6)</f>
        <v/>
      </c>
    </row>
    <row r="7">
      <c r="A7" s="27" t="inlineStr">
        <is>
          <t>Matériaux &amp; fournitures</t>
        </is>
      </c>
      <c r="B7" s="27" t="inlineStr">
        <is>
          <t>Tube PER / multicouche</t>
        </is>
      </c>
      <c r="C7" s="33" t="n">
        <v>120</v>
      </c>
      <c r="D7" s="27" t="inlineStr">
        <is>
          <t>mètres</t>
        </is>
      </c>
      <c r="E7" s="9" t="n">
        <v>12</v>
      </c>
      <c r="F7" s="31" t="inlineStr">
        <is>
          <t>Sourcé — fourchette 9-40€/ml selon diamètre (Travaux.com)</t>
        </is>
      </c>
      <c r="G7" s="23">
        <f>$C7*Hypothèses!C$17*$E7*(1+Hypothèses!$C$14)^0</f>
        <v/>
      </c>
      <c r="H7" s="23">
        <f>$C7*Hypothèses!D$17*$E7*(1+Hypothèses!$C$14)^0</f>
        <v/>
      </c>
      <c r="I7" s="23">
        <f>$C7*Hypothèses!E$17*$E7*(1+Hypothèses!$C$14)^0</f>
        <v/>
      </c>
      <c r="J7" s="23">
        <f>$C7*Hypothèses!F$17*$E7*(1+Hypothèses!$C$14)^0</f>
        <v/>
      </c>
      <c r="K7" s="23">
        <f>$C7*Hypothèses!G$17*$E7*(1+Hypothèses!$C$14)^0</f>
        <v/>
      </c>
      <c r="L7" s="23">
        <f>$C7*Hypothèses!H$17*$E7*(1+Hypothèses!$C$14)^0</f>
        <v/>
      </c>
      <c r="M7" s="23">
        <f>$C7*Hypothèses!I$17*$E7*(1+Hypothèses!$C$14)^0</f>
        <v/>
      </c>
      <c r="N7" s="23">
        <f>$C7*Hypothèses!J$17*$E7*(1+Hypothèses!$C$14)^0</f>
        <v/>
      </c>
      <c r="O7" s="23">
        <f>$C7*Hypothèses!K$17*$E7*(1+Hypothèses!$C$14)^0</f>
        <v/>
      </c>
      <c r="P7" s="23">
        <f>$C7*Hypothèses!L$17*$E7*(1+Hypothèses!$C$14)^0</f>
        <v/>
      </c>
      <c r="Q7" s="23">
        <f>$C7*Hypothèses!M$17*$E7*(1+Hypothèses!$C$14)^0</f>
        <v/>
      </c>
      <c r="R7" s="23">
        <f>$C7*Hypothèses!N$17*$E7*(1+Hypothèses!$C$14)^0</f>
        <v/>
      </c>
      <c r="S7" s="23">
        <f>$C7*Hypothèses!C$17*$E7*(1+Hypothèses!$C$14)^1</f>
        <v/>
      </c>
      <c r="T7" s="23">
        <f>$C7*Hypothèses!D$17*$E7*(1+Hypothèses!$C$14)^1</f>
        <v/>
      </c>
      <c r="U7" s="23">
        <f>$C7*Hypothèses!E$17*$E7*(1+Hypothèses!$C$14)^1</f>
        <v/>
      </c>
      <c r="V7" s="23">
        <f>$C7*Hypothèses!F$17*$E7*(1+Hypothèses!$C$14)^1</f>
        <v/>
      </c>
      <c r="W7" s="23">
        <f>$C7*Hypothèses!G$17*$E7*(1+Hypothèses!$C$14)^1</f>
        <v/>
      </c>
      <c r="X7" s="23">
        <f>$C7*Hypothèses!H$17*$E7*(1+Hypothèses!$C$14)^1</f>
        <v/>
      </c>
      <c r="Y7" s="23">
        <f>$C7*Hypothèses!I$17*$E7*(1+Hypothèses!$C$14)^1</f>
        <v/>
      </c>
      <c r="Z7" s="23">
        <f>$C7*Hypothèses!J$17*$E7*(1+Hypothèses!$C$14)^1</f>
        <v/>
      </c>
      <c r="AA7" s="23">
        <f>$C7*Hypothèses!K$17*$E7*(1+Hypothèses!$C$14)^1</f>
        <v/>
      </c>
      <c r="AB7" s="23">
        <f>$C7*Hypothèses!L$17*$E7*(1+Hypothèses!$C$14)^1</f>
        <v/>
      </c>
      <c r="AC7" s="23">
        <f>$C7*Hypothèses!M$17*$E7*(1+Hypothèses!$C$14)^1</f>
        <v/>
      </c>
      <c r="AD7" s="23">
        <f>$C7*Hypothèses!N$17*$E7*(1+Hypothèses!$C$14)^1</f>
        <v/>
      </c>
      <c r="AE7" s="23">
        <f>$C7*Hypothèses!C$17*$E7*(1+Hypothèses!$C$14)^2</f>
        <v/>
      </c>
      <c r="AF7" s="23">
        <f>$C7*Hypothèses!D$17*$E7*(1+Hypothèses!$C$14)^2</f>
        <v/>
      </c>
      <c r="AG7" s="23">
        <f>$C7*Hypothèses!E$17*$E7*(1+Hypothèses!$C$14)^2</f>
        <v/>
      </c>
      <c r="AH7" s="23">
        <f>$C7*Hypothèses!F$17*$E7*(1+Hypothèses!$C$14)^2</f>
        <v/>
      </c>
      <c r="AI7" s="23">
        <f>$C7*Hypothèses!G$17*$E7*(1+Hypothèses!$C$14)^2</f>
        <v/>
      </c>
      <c r="AJ7" s="23">
        <f>$C7*Hypothèses!H$17*$E7*(1+Hypothèses!$C$14)^2</f>
        <v/>
      </c>
      <c r="AK7" s="23">
        <f>$C7*Hypothèses!I$17*$E7*(1+Hypothèses!$C$14)^2</f>
        <v/>
      </c>
      <c r="AL7" s="23">
        <f>$C7*Hypothèses!J$17*$E7*(1+Hypothèses!$C$14)^2</f>
        <v/>
      </c>
      <c r="AM7" s="23">
        <f>$C7*Hypothèses!K$17*$E7*(1+Hypothèses!$C$14)^2</f>
        <v/>
      </c>
      <c r="AN7" s="23">
        <f>$C7*Hypothèses!L$17*$E7*(1+Hypothèses!$C$14)^2</f>
        <v/>
      </c>
      <c r="AO7" s="23">
        <f>$C7*Hypothèses!M$17*$E7*(1+Hypothèses!$C$14)^2</f>
        <v/>
      </c>
      <c r="AP7" s="23">
        <f>$C7*Hypothèses!N$17*$E7*(1+Hypothèses!$C$14)^2</f>
        <v/>
      </c>
      <c r="AQ7" s="23">
        <f>SUM(G7:R7)</f>
        <v/>
      </c>
      <c r="AR7" s="23">
        <f>SUM(S7:AD7)</f>
        <v/>
      </c>
      <c r="AS7" s="23">
        <f>SUM(AE7:AP7)</f>
        <v/>
      </c>
      <c r="AT7" s="23">
        <f>SUM(AQ7:AS7)</f>
        <v/>
      </c>
    </row>
    <row r="8">
      <c r="A8" s="27" t="inlineStr">
        <is>
          <t>Matériaux &amp; fournitures</t>
        </is>
      </c>
      <c r="B8" s="27" t="inlineStr">
        <is>
          <t>PVC évacuation</t>
        </is>
      </c>
      <c r="C8" s="33" t="n">
        <v>80</v>
      </c>
      <c r="D8" s="27" t="inlineStr">
        <is>
          <t>mètres</t>
        </is>
      </c>
      <c r="E8" s="9" t="n">
        <v>6</v>
      </c>
      <c r="F8" s="31" t="inlineStr">
        <is>
          <t>Estimé — négoce plomberie</t>
        </is>
      </c>
      <c r="G8" s="23">
        <f>$C8*Hypothèses!C$17*$E8*(1+Hypothèses!$C$14)^0</f>
        <v/>
      </c>
      <c r="H8" s="23">
        <f>$C8*Hypothèses!D$17*$E8*(1+Hypothèses!$C$14)^0</f>
        <v/>
      </c>
      <c r="I8" s="23">
        <f>$C8*Hypothèses!E$17*$E8*(1+Hypothèses!$C$14)^0</f>
        <v/>
      </c>
      <c r="J8" s="23">
        <f>$C8*Hypothèses!F$17*$E8*(1+Hypothèses!$C$14)^0</f>
        <v/>
      </c>
      <c r="K8" s="23">
        <f>$C8*Hypothèses!G$17*$E8*(1+Hypothèses!$C$14)^0</f>
        <v/>
      </c>
      <c r="L8" s="23">
        <f>$C8*Hypothèses!H$17*$E8*(1+Hypothèses!$C$14)^0</f>
        <v/>
      </c>
      <c r="M8" s="23">
        <f>$C8*Hypothèses!I$17*$E8*(1+Hypothèses!$C$14)^0</f>
        <v/>
      </c>
      <c r="N8" s="23">
        <f>$C8*Hypothèses!J$17*$E8*(1+Hypothèses!$C$14)^0</f>
        <v/>
      </c>
      <c r="O8" s="23">
        <f>$C8*Hypothèses!K$17*$E8*(1+Hypothèses!$C$14)^0</f>
        <v/>
      </c>
      <c r="P8" s="23">
        <f>$C8*Hypothèses!L$17*$E8*(1+Hypothèses!$C$14)^0</f>
        <v/>
      </c>
      <c r="Q8" s="23">
        <f>$C8*Hypothèses!M$17*$E8*(1+Hypothèses!$C$14)^0</f>
        <v/>
      </c>
      <c r="R8" s="23">
        <f>$C8*Hypothèses!N$17*$E8*(1+Hypothèses!$C$14)^0</f>
        <v/>
      </c>
      <c r="S8" s="23">
        <f>$C8*Hypothèses!C$17*$E8*(1+Hypothèses!$C$14)^1</f>
        <v/>
      </c>
      <c r="T8" s="23">
        <f>$C8*Hypothèses!D$17*$E8*(1+Hypothèses!$C$14)^1</f>
        <v/>
      </c>
      <c r="U8" s="23">
        <f>$C8*Hypothèses!E$17*$E8*(1+Hypothèses!$C$14)^1</f>
        <v/>
      </c>
      <c r="V8" s="23">
        <f>$C8*Hypothèses!F$17*$E8*(1+Hypothèses!$C$14)^1</f>
        <v/>
      </c>
      <c r="W8" s="23">
        <f>$C8*Hypothèses!G$17*$E8*(1+Hypothèses!$C$14)^1</f>
        <v/>
      </c>
      <c r="X8" s="23">
        <f>$C8*Hypothèses!H$17*$E8*(1+Hypothèses!$C$14)^1</f>
        <v/>
      </c>
      <c r="Y8" s="23">
        <f>$C8*Hypothèses!I$17*$E8*(1+Hypothèses!$C$14)^1</f>
        <v/>
      </c>
      <c r="Z8" s="23">
        <f>$C8*Hypothèses!J$17*$E8*(1+Hypothèses!$C$14)^1</f>
        <v/>
      </c>
      <c r="AA8" s="23">
        <f>$C8*Hypothèses!K$17*$E8*(1+Hypothèses!$C$14)^1</f>
        <v/>
      </c>
      <c r="AB8" s="23">
        <f>$C8*Hypothèses!L$17*$E8*(1+Hypothèses!$C$14)^1</f>
        <v/>
      </c>
      <c r="AC8" s="23">
        <f>$C8*Hypothèses!M$17*$E8*(1+Hypothèses!$C$14)^1</f>
        <v/>
      </c>
      <c r="AD8" s="23">
        <f>$C8*Hypothèses!N$17*$E8*(1+Hypothèses!$C$14)^1</f>
        <v/>
      </c>
      <c r="AE8" s="23">
        <f>$C8*Hypothèses!C$17*$E8*(1+Hypothèses!$C$14)^2</f>
        <v/>
      </c>
      <c r="AF8" s="23">
        <f>$C8*Hypothèses!D$17*$E8*(1+Hypothèses!$C$14)^2</f>
        <v/>
      </c>
      <c r="AG8" s="23">
        <f>$C8*Hypothèses!E$17*$E8*(1+Hypothèses!$C$14)^2</f>
        <v/>
      </c>
      <c r="AH8" s="23">
        <f>$C8*Hypothèses!F$17*$E8*(1+Hypothèses!$C$14)^2</f>
        <v/>
      </c>
      <c r="AI8" s="23">
        <f>$C8*Hypothèses!G$17*$E8*(1+Hypothèses!$C$14)^2</f>
        <v/>
      </c>
      <c r="AJ8" s="23">
        <f>$C8*Hypothèses!H$17*$E8*(1+Hypothèses!$C$14)^2</f>
        <v/>
      </c>
      <c r="AK8" s="23">
        <f>$C8*Hypothèses!I$17*$E8*(1+Hypothèses!$C$14)^2</f>
        <v/>
      </c>
      <c r="AL8" s="23">
        <f>$C8*Hypothèses!J$17*$E8*(1+Hypothèses!$C$14)^2</f>
        <v/>
      </c>
      <c r="AM8" s="23">
        <f>$C8*Hypothèses!K$17*$E8*(1+Hypothèses!$C$14)^2</f>
        <v/>
      </c>
      <c r="AN8" s="23">
        <f>$C8*Hypothèses!L$17*$E8*(1+Hypothèses!$C$14)^2</f>
        <v/>
      </c>
      <c r="AO8" s="23">
        <f>$C8*Hypothèses!M$17*$E8*(1+Hypothèses!$C$14)^2</f>
        <v/>
      </c>
      <c r="AP8" s="23">
        <f>$C8*Hypothèses!N$17*$E8*(1+Hypothèses!$C$14)^2</f>
        <v/>
      </c>
      <c r="AQ8" s="23">
        <f>SUM(G8:R8)</f>
        <v/>
      </c>
      <c r="AR8" s="23">
        <f>SUM(S8:AD8)</f>
        <v/>
      </c>
      <c r="AS8" s="23">
        <f>SUM(AE8:AP8)</f>
        <v/>
      </c>
      <c r="AT8" s="23">
        <f>SUM(AQ8:AS8)</f>
        <v/>
      </c>
    </row>
    <row r="9">
      <c r="A9" s="27" t="inlineStr">
        <is>
          <t>Matériaux &amp; fournitures</t>
        </is>
      </c>
      <c r="B9" s="27" t="inlineStr">
        <is>
          <t>Raccords / fittings</t>
        </is>
      </c>
      <c r="C9" s="33" t="n">
        <v>300</v>
      </c>
      <c r="D9" s="27" t="inlineStr">
        <is>
          <t>unités</t>
        </is>
      </c>
      <c r="E9" s="9" t="n">
        <v>1.8</v>
      </c>
      <c r="F9" s="31" t="inlineStr">
        <is>
          <t>Estimé — négoce plomberie</t>
        </is>
      </c>
      <c r="G9" s="23">
        <f>$C9*Hypothèses!C$17*$E9*(1+Hypothèses!$C$14)^0</f>
        <v/>
      </c>
      <c r="H9" s="23">
        <f>$C9*Hypothèses!D$17*$E9*(1+Hypothèses!$C$14)^0</f>
        <v/>
      </c>
      <c r="I9" s="23">
        <f>$C9*Hypothèses!E$17*$E9*(1+Hypothèses!$C$14)^0</f>
        <v/>
      </c>
      <c r="J9" s="23">
        <f>$C9*Hypothèses!F$17*$E9*(1+Hypothèses!$C$14)^0</f>
        <v/>
      </c>
      <c r="K9" s="23">
        <f>$C9*Hypothèses!G$17*$E9*(1+Hypothèses!$C$14)^0</f>
        <v/>
      </c>
      <c r="L9" s="23">
        <f>$C9*Hypothèses!H$17*$E9*(1+Hypothèses!$C$14)^0</f>
        <v/>
      </c>
      <c r="M9" s="23">
        <f>$C9*Hypothèses!I$17*$E9*(1+Hypothèses!$C$14)^0</f>
        <v/>
      </c>
      <c r="N9" s="23">
        <f>$C9*Hypothèses!J$17*$E9*(1+Hypothèses!$C$14)^0</f>
        <v/>
      </c>
      <c r="O9" s="23">
        <f>$C9*Hypothèses!K$17*$E9*(1+Hypothèses!$C$14)^0</f>
        <v/>
      </c>
      <c r="P9" s="23">
        <f>$C9*Hypothèses!L$17*$E9*(1+Hypothèses!$C$14)^0</f>
        <v/>
      </c>
      <c r="Q9" s="23">
        <f>$C9*Hypothèses!M$17*$E9*(1+Hypothèses!$C$14)^0</f>
        <v/>
      </c>
      <c r="R9" s="23">
        <f>$C9*Hypothèses!N$17*$E9*(1+Hypothèses!$C$14)^0</f>
        <v/>
      </c>
      <c r="S9" s="23">
        <f>$C9*Hypothèses!C$17*$E9*(1+Hypothèses!$C$14)^1</f>
        <v/>
      </c>
      <c r="T9" s="23">
        <f>$C9*Hypothèses!D$17*$E9*(1+Hypothèses!$C$14)^1</f>
        <v/>
      </c>
      <c r="U9" s="23">
        <f>$C9*Hypothèses!E$17*$E9*(1+Hypothèses!$C$14)^1</f>
        <v/>
      </c>
      <c r="V9" s="23">
        <f>$C9*Hypothèses!F$17*$E9*(1+Hypothèses!$C$14)^1</f>
        <v/>
      </c>
      <c r="W9" s="23">
        <f>$C9*Hypothèses!G$17*$E9*(1+Hypothèses!$C$14)^1</f>
        <v/>
      </c>
      <c r="X9" s="23">
        <f>$C9*Hypothèses!H$17*$E9*(1+Hypothèses!$C$14)^1</f>
        <v/>
      </c>
      <c r="Y9" s="23">
        <f>$C9*Hypothèses!I$17*$E9*(1+Hypothèses!$C$14)^1</f>
        <v/>
      </c>
      <c r="Z9" s="23">
        <f>$C9*Hypothèses!J$17*$E9*(1+Hypothèses!$C$14)^1</f>
        <v/>
      </c>
      <c r="AA9" s="23">
        <f>$C9*Hypothèses!K$17*$E9*(1+Hypothèses!$C$14)^1</f>
        <v/>
      </c>
      <c r="AB9" s="23">
        <f>$C9*Hypothèses!L$17*$E9*(1+Hypothèses!$C$14)^1</f>
        <v/>
      </c>
      <c r="AC9" s="23">
        <f>$C9*Hypothèses!M$17*$E9*(1+Hypothèses!$C$14)^1</f>
        <v/>
      </c>
      <c r="AD9" s="23">
        <f>$C9*Hypothèses!N$17*$E9*(1+Hypothèses!$C$14)^1</f>
        <v/>
      </c>
      <c r="AE9" s="23">
        <f>$C9*Hypothèses!C$17*$E9*(1+Hypothèses!$C$14)^2</f>
        <v/>
      </c>
      <c r="AF9" s="23">
        <f>$C9*Hypothèses!D$17*$E9*(1+Hypothèses!$C$14)^2</f>
        <v/>
      </c>
      <c r="AG9" s="23">
        <f>$C9*Hypothèses!E$17*$E9*(1+Hypothèses!$C$14)^2</f>
        <v/>
      </c>
      <c r="AH9" s="23">
        <f>$C9*Hypothèses!F$17*$E9*(1+Hypothèses!$C$14)^2</f>
        <v/>
      </c>
      <c r="AI9" s="23">
        <f>$C9*Hypothèses!G$17*$E9*(1+Hypothèses!$C$14)^2</f>
        <v/>
      </c>
      <c r="AJ9" s="23">
        <f>$C9*Hypothèses!H$17*$E9*(1+Hypothèses!$C$14)^2</f>
        <v/>
      </c>
      <c r="AK9" s="23">
        <f>$C9*Hypothèses!I$17*$E9*(1+Hypothèses!$C$14)^2</f>
        <v/>
      </c>
      <c r="AL9" s="23">
        <f>$C9*Hypothèses!J$17*$E9*(1+Hypothèses!$C$14)^2</f>
        <v/>
      </c>
      <c r="AM9" s="23">
        <f>$C9*Hypothèses!K$17*$E9*(1+Hypothèses!$C$14)^2</f>
        <v/>
      </c>
      <c r="AN9" s="23">
        <f>$C9*Hypothèses!L$17*$E9*(1+Hypothèses!$C$14)^2</f>
        <v/>
      </c>
      <c r="AO9" s="23">
        <f>$C9*Hypothèses!M$17*$E9*(1+Hypothèses!$C$14)^2</f>
        <v/>
      </c>
      <c r="AP9" s="23">
        <f>$C9*Hypothèses!N$17*$E9*(1+Hypothèses!$C$14)^2</f>
        <v/>
      </c>
      <c r="AQ9" s="23">
        <f>SUM(G9:R9)</f>
        <v/>
      </c>
      <c r="AR9" s="23">
        <f>SUM(S9:AD9)</f>
        <v/>
      </c>
      <c r="AS9" s="23">
        <f>SUM(AE9:AP9)</f>
        <v/>
      </c>
      <c r="AT9" s="23">
        <f>SUM(AQ9:AS9)</f>
        <v/>
      </c>
    </row>
    <row r="10">
      <c r="A10" s="27" t="inlineStr">
        <is>
          <t>Matériaux &amp; fournitures</t>
        </is>
      </c>
      <c r="B10" s="27" t="inlineStr">
        <is>
          <t>Robinetterie (mitigeurs, robinets)</t>
        </is>
      </c>
      <c r="C10" s="33" t="n">
        <v>12</v>
      </c>
      <c r="D10" s="27" t="inlineStr">
        <is>
          <t>unités</t>
        </is>
      </c>
      <c r="E10" s="9" t="n">
        <v>45</v>
      </c>
      <c r="F10" s="31" t="inlineStr">
        <is>
          <t>Estimé — négoce sanitaire</t>
        </is>
      </c>
      <c r="G10" s="23">
        <f>$C10*Hypothèses!C$17*$E10*(1+Hypothèses!$C$14)^0</f>
        <v/>
      </c>
      <c r="H10" s="23">
        <f>$C10*Hypothèses!D$17*$E10*(1+Hypothèses!$C$14)^0</f>
        <v/>
      </c>
      <c r="I10" s="23">
        <f>$C10*Hypothèses!E$17*$E10*(1+Hypothèses!$C$14)^0</f>
        <v/>
      </c>
      <c r="J10" s="23">
        <f>$C10*Hypothèses!F$17*$E10*(1+Hypothèses!$C$14)^0</f>
        <v/>
      </c>
      <c r="K10" s="23">
        <f>$C10*Hypothèses!G$17*$E10*(1+Hypothèses!$C$14)^0</f>
        <v/>
      </c>
      <c r="L10" s="23">
        <f>$C10*Hypothèses!H$17*$E10*(1+Hypothèses!$C$14)^0</f>
        <v/>
      </c>
      <c r="M10" s="23">
        <f>$C10*Hypothèses!I$17*$E10*(1+Hypothèses!$C$14)^0</f>
        <v/>
      </c>
      <c r="N10" s="23">
        <f>$C10*Hypothèses!J$17*$E10*(1+Hypothèses!$C$14)^0</f>
        <v/>
      </c>
      <c r="O10" s="23">
        <f>$C10*Hypothèses!K$17*$E10*(1+Hypothèses!$C$14)^0</f>
        <v/>
      </c>
      <c r="P10" s="23">
        <f>$C10*Hypothèses!L$17*$E10*(1+Hypothèses!$C$14)^0</f>
        <v/>
      </c>
      <c r="Q10" s="23">
        <f>$C10*Hypothèses!M$17*$E10*(1+Hypothèses!$C$14)^0</f>
        <v/>
      </c>
      <c r="R10" s="23">
        <f>$C10*Hypothèses!N$17*$E10*(1+Hypothèses!$C$14)^0</f>
        <v/>
      </c>
      <c r="S10" s="23">
        <f>$C10*Hypothèses!C$17*$E10*(1+Hypothèses!$C$14)^1</f>
        <v/>
      </c>
      <c r="T10" s="23">
        <f>$C10*Hypothèses!D$17*$E10*(1+Hypothèses!$C$14)^1</f>
        <v/>
      </c>
      <c r="U10" s="23">
        <f>$C10*Hypothèses!E$17*$E10*(1+Hypothèses!$C$14)^1</f>
        <v/>
      </c>
      <c r="V10" s="23">
        <f>$C10*Hypothèses!F$17*$E10*(1+Hypothèses!$C$14)^1</f>
        <v/>
      </c>
      <c r="W10" s="23">
        <f>$C10*Hypothèses!G$17*$E10*(1+Hypothèses!$C$14)^1</f>
        <v/>
      </c>
      <c r="X10" s="23">
        <f>$C10*Hypothèses!H$17*$E10*(1+Hypothèses!$C$14)^1</f>
        <v/>
      </c>
      <c r="Y10" s="23">
        <f>$C10*Hypothèses!I$17*$E10*(1+Hypothèses!$C$14)^1</f>
        <v/>
      </c>
      <c r="Z10" s="23">
        <f>$C10*Hypothèses!J$17*$E10*(1+Hypothèses!$C$14)^1</f>
        <v/>
      </c>
      <c r="AA10" s="23">
        <f>$C10*Hypothèses!K$17*$E10*(1+Hypothèses!$C$14)^1</f>
        <v/>
      </c>
      <c r="AB10" s="23">
        <f>$C10*Hypothèses!L$17*$E10*(1+Hypothèses!$C$14)^1</f>
        <v/>
      </c>
      <c r="AC10" s="23">
        <f>$C10*Hypothèses!M$17*$E10*(1+Hypothèses!$C$14)^1</f>
        <v/>
      </c>
      <c r="AD10" s="23">
        <f>$C10*Hypothèses!N$17*$E10*(1+Hypothèses!$C$14)^1</f>
        <v/>
      </c>
      <c r="AE10" s="23">
        <f>$C10*Hypothèses!C$17*$E10*(1+Hypothèses!$C$14)^2</f>
        <v/>
      </c>
      <c r="AF10" s="23">
        <f>$C10*Hypothèses!D$17*$E10*(1+Hypothèses!$C$14)^2</f>
        <v/>
      </c>
      <c r="AG10" s="23">
        <f>$C10*Hypothèses!E$17*$E10*(1+Hypothèses!$C$14)^2</f>
        <v/>
      </c>
      <c r="AH10" s="23">
        <f>$C10*Hypothèses!F$17*$E10*(1+Hypothèses!$C$14)^2</f>
        <v/>
      </c>
      <c r="AI10" s="23">
        <f>$C10*Hypothèses!G$17*$E10*(1+Hypothèses!$C$14)^2</f>
        <v/>
      </c>
      <c r="AJ10" s="23">
        <f>$C10*Hypothèses!H$17*$E10*(1+Hypothèses!$C$14)^2</f>
        <v/>
      </c>
      <c r="AK10" s="23">
        <f>$C10*Hypothèses!I$17*$E10*(1+Hypothèses!$C$14)^2</f>
        <v/>
      </c>
      <c r="AL10" s="23">
        <f>$C10*Hypothèses!J$17*$E10*(1+Hypothèses!$C$14)^2</f>
        <v/>
      </c>
      <c r="AM10" s="23">
        <f>$C10*Hypothèses!K$17*$E10*(1+Hypothèses!$C$14)^2</f>
        <v/>
      </c>
      <c r="AN10" s="23">
        <f>$C10*Hypothèses!L$17*$E10*(1+Hypothèses!$C$14)^2</f>
        <v/>
      </c>
      <c r="AO10" s="23">
        <f>$C10*Hypothèses!M$17*$E10*(1+Hypothèses!$C$14)^2</f>
        <v/>
      </c>
      <c r="AP10" s="23">
        <f>$C10*Hypothèses!N$17*$E10*(1+Hypothèses!$C$14)^2</f>
        <v/>
      </c>
      <c r="AQ10" s="23">
        <f>SUM(G10:R10)</f>
        <v/>
      </c>
      <c r="AR10" s="23">
        <f>SUM(S10:AD10)</f>
        <v/>
      </c>
      <c r="AS10" s="23">
        <f>SUM(AE10:AP10)</f>
        <v/>
      </c>
      <c r="AT10" s="23">
        <f>SUM(AQ10:AS10)</f>
        <v/>
      </c>
    </row>
    <row r="11">
      <c r="A11" s="27" t="inlineStr">
        <is>
          <t>Matériaux &amp; fournitures</t>
        </is>
      </c>
      <c r="B11" s="27" t="inlineStr">
        <is>
          <t>Chauffe-eau / chaudières (équipements)</t>
        </is>
      </c>
      <c r="C11" s="34" t="n">
        <v>1.5</v>
      </c>
      <c r="D11" s="27" t="inlineStr">
        <is>
          <t>unités</t>
        </is>
      </c>
      <c r="E11" s="9" t="n">
        <v>550</v>
      </c>
      <c r="F11" s="31" t="inlineStr">
        <is>
          <t>Estimé — grossiste chauffage/sanitaire</t>
        </is>
      </c>
      <c r="G11" s="23">
        <f>$C11*Hypothèses!C$17*$E11*(1+Hypothèses!$C$14)^0</f>
        <v/>
      </c>
      <c r="H11" s="23">
        <f>$C11*Hypothèses!D$17*$E11*(1+Hypothèses!$C$14)^0</f>
        <v/>
      </c>
      <c r="I11" s="23">
        <f>$C11*Hypothèses!E$17*$E11*(1+Hypothèses!$C$14)^0</f>
        <v/>
      </c>
      <c r="J11" s="23">
        <f>$C11*Hypothèses!F$17*$E11*(1+Hypothèses!$C$14)^0</f>
        <v/>
      </c>
      <c r="K11" s="23">
        <f>$C11*Hypothèses!G$17*$E11*(1+Hypothèses!$C$14)^0</f>
        <v/>
      </c>
      <c r="L11" s="23">
        <f>$C11*Hypothèses!H$17*$E11*(1+Hypothèses!$C$14)^0</f>
        <v/>
      </c>
      <c r="M11" s="23">
        <f>$C11*Hypothèses!I$17*$E11*(1+Hypothèses!$C$14)^0</f>
        <v/>
      </c>
      <c r="N11" s="23">
        <f>$C11*Hypothèses!J$17*$E11*(1+Hypothèses!$C$14)^0</f>
        <v/>
      </c>
      <c r="O11" s="23">
        <f>$C11*Hypothèses!K$17*$E11*(1+Hypothèses!$C$14)^0</f>
        <v/>
      </c>
      <c r="P11" s="23">
        <f>$C11*Hypothèses!L$17*$E11*(1+Hypothèses!$C$14)^0</f>
        <v/>
      </c>
      <c r="Q11" s="23">
        <f>$C11*Hypothèses!M$17*$E11*(1+Hypothèses!$C$14)^0</f>
        <v/>
      </c>
      <c r="R11" s="23">
        <f>$C11*Hypothèses!N$17*$E11*(1+Hypothèses!$C$14)^0</f>
        <v/>
      </c>
      <c r="S11" s="23">
        <f>$C11*Hypothèses!C$17*$E11*(1+Hypothèses!$C$14)^1</f>
        <v/>
      </c>
      <c r="T11" s="23">
        <f>$C11*Hypothèses!D$17*$E11*(1+Hypothèses!$C$14)^1</f>
        <v/>
      </c>
      <c r="U11" s="23">
        <f>$C11*Hypothèses!E$17*$E11*(1+Hypothèses!$C$14)^1</f>
        <v/>
      </c>
      <c r="V11" s="23">
        <f>$C11*Hypothèses!F$17*$E11*(1+Hypothèses!$C$14)^1</f>
        <v/>
      </c>
      <c r="W11" s="23">
        <f>$C11*Hypothèses!G$17*$E11*(1+Hypothèses!$C$14)^1</f>
        <v/>
      </c>
      <c r="X11" s="23">
        <f>$C11*Hypothèses!H$17*$E11*(1+Hypothèses!$C$14)^1</f>
        <v/>
      </c>
      <c r="Y11" s="23">
        <f>$C11*Hypothèses!I$17*$E11*(1+Hypothèses!$C$14)^1</f>
        <v/>
      </c>
      <c r="Z11" s="23">
        <f>$C11*Hypothèses!J$17*$E11*(1+Hypothèses!$C$14)^1</f>
        <v/>
      </c>
      <c r="AA11" s="23">
        <f>$C11*Hypothèses!K$17*$E11*(1+Hypothèses!$C$14)^1</f>
        <v/>
      </c>
      <c r="AB11" s="23">
        <f>$C11*Hypothèses!L$17*$E11*(1+Hypothèses!$C$14)^1</f>
        <v/>
      </c>
      <c r="AC11" s="23">
        <f>$C11*Hypothèses!M$17*$E11*(1+Hypothèses!$C$14)^1</f>
        <v/>
      </c>
      <c r="AD11" s="23">
        <f>$C11*Hypothèses!N$17*$E11*(1+Hypothèses!$C$14)^1</f>
        <v/>
      </c>
      <c r="AE11" s="23">
        <f>$C11*Hypothèses!C$17*$E11*(1+Hypothèses!$C$14)^2</f>
        <v/>
      </c>
      <c r="AF11" s="23">
        <f>$C11*Hypothèses!D$17*$E11*(1+Hypothèses!$C$14)^2</f>
        <v/>
      </c>
      <c r="AG11" s="23">
        <f>$C11*Hypothèses!E$17*$E11*(1+Hypothèses!$C$14)^2</f>
        <v/>
      </c>
      <c r="AH11" s="23">
        <f>$C11*Hypothèses!F$17*$E11*(1+Hypothèses!$C$14)^2</f>
        <v/>
      </c>
      <c r="AI11" s="23">
        <f>$C11*Hypothèses!G$17*$E11*(1+Hypothèses!$C$14)^2</f>
        <v/>
      </c>
      <c r="AJ11" s="23">
        <f>$C11*Hypothèses!H$17*$E11*(1+Hypothèses!$C$14)^2</f>
        <v/>
      </c>
      <c r="AK11" s="23">
        <f>$C11*Hypothèses!I$17*$E11*(1+Hypothèses!$C$14)^2</f>
        <v/>
      </c>
      <c r="AL11" s="23">
        <f>$C11*Hypothèses!J$17*$E11*(1+Hypothèses!$C$14)^2</f>
        <v/>
      </c>
      <c r="AM11" s="23">
        <f>$C11*Hypothèses!K$17*$E11*(1+Hypothèses!$C$14)^2</f>
        <v/>
      </c>
      <c r="AN11" s="23">
        <f>$C11*Hypothèses!L$17*$E11*(1+Hypothèses!$C$14)^2</f>
        <v/>
      </c>
      <c r="AO11" s="23">
        <f>$C11*Hypothèses!M$17*$E11*(1+Hypothèses!$C$14)^2</f>
        <v/>
      </c>
      <c r="AP11" s="23">
        <f>$C11*Hypothèses!N$17*$E11*(1+Hypothèses!$C$14)^2</f>
        <v/>
      </c>
      <c r="AQ11" s="23">
        <f>SUM(G11:R11)</f>
        <v/>
      </c>
      <c r="AR11" s="23">
        <f>SUM(S11:AD11)</f>
        <v/>
      </c>
      <c r="AS11" s="23">
        <f>SUM(AE11:AP11)</f>
        <v/>
      </c>
      <c r="AT11" s="23">
        <f>SUM(AQ11:AS11)</f>
        <v/>
      </c>
    </row>
    <row r="12">
      <c r="A12" s="27" t="inlineStr">
        <is>
          <t>Matériaux &amp; fournitures</t>
        </is>
      </c>
      <c r="B12" s="27" t="inlineStr">
        <is>
          <t>Joints &amp; consommables (téflon, colle, joints)</t>
        </is>
      </c>
      <c r="C12" s="33" t="n">
        <v>1</v>
      </c>
      <c r="D12" s="27" t="inlineStr">
        <is>
          <t>forfait/mois</t>
        </is>
      </c>
      <c r="E12" s="9" t="n">
        <v>120</v>
      </c>
      <c r="F12" s="31" t="inlineStr">
        <is>
          <t>Estimé</t>
        </is>
      </c>
      <c r="G12" s="23">
        <f>$C12*Hypothèses!C$17*$E12*(1+Hypothèses!$C$14)^0</f>
        <v/>
      </c>
      <c r="H12" s="23">
        <f>$C12*Hypothèses!D$17*$E12*(1+Hypothèses!$C$14)^0</f>
        <v/>
      </c>
      <c r="I12" s="23">
        <f>$C12*Hypothèses!E$17*$E12*(1+Hypothèses!$C$14)^0</f>
        <v/>
      </c>
      <c r="J12" s="23">
        <f>$C12*Hypothèses!F$17*$E12*(1+Hypothèses!$C$14)^0</f>
        <v/>
      </c>
      <c r="K12" s="23">
        <f>$C12*Hypothèses!G$17*$E12*(1+Hypothèses!$C$14)^0</f>
        <v/>
      </c>
      <c r="L12" s="23">
        <f>$C12*Hypothèses!H$17*$E12*(1+Hypothèses!$C$14)^0</f>
        <v/>
      </c>
      <c r="M12" s="23">
        <f>$C12*Hypothèses!I$17*$E12*(1+Hypothèses!$C$14)^0</f>
        <v/>
      </c>
      <c r="N12" s="23">
        <f>$C12*Hypothèses!J$17*$E12*(1+Hypothèses!$C$14)^0</f>
        <v/>
      </c>
      <c r="O12" s="23">
        <f>$C12*Hypothèses!K$17*$E12*(1+Hypothèses!$C$14)^0</f>
        <v/>
      </c>
      <c r="P12" s="23">
        <f>$C12*Hypothèses!L$17*$E12*(1+Hypothèses!$C$14)^0</f>
        <v/>
      </c>
      <c r="Q12" s="23">
        <f>$C12*Hypothèses!M$17*$E12*(1+Hypothèses!$C$14)^0</f>
        <v/>
      </c>
      <c r="R12" s="23">
        <f>$C12*Hypothèses!N$17*$E12*(1+Hypothèses!$C$14)^0</f>
        <v/>
      </c>
      <c r="S12" s="23">
        <f>$C12*Hypothèses!C$17*$E12*(1+Hypothèses!$C$14)^1</f>
        <v/>
      </c>
      <c r="T12" s="23">
        <f>$C12*Hypothèses!D$17*$E12*(1+Hypothèses!$C$14)^1</f>
        <v/>
      </c>
      <c r="U12" s="23">
        <f>$C12*Hypothèses!E$17*$E12*(1+Hypothèses!$C$14)^1</f>
        <v/>
      </c>
      <c r="V12" s="23">
        <f>$C12*Hypothèses!F$17*$E12*(1+Hypothèses!$C$14)^1</f>
        <v/>
      </c>
      <c r="W12" s="23">
        <f>$C12*Hypothèses!G$17*$E12*(1+Hypothèses!$C$14)^1</f>
        <v/>
      </c>
      <c r="X12" s="23">
        <f>$C12*Hypothèses!H$17*$E12*(1+Hypothèses!$C$14)^1</f>
        <v/>
      </c>
      <c r="Y12" s="23">
        <f>$C12*Hypothèses!I$17*$E12*(1+Hypothèses!$C$14)^1</f>
        <v/>
      </c>
      <c r="Z12" s="23">
        <f>$C12*Hypothèses!J$17*$E12*(1+Hypothèses!$C$14)^1</f>
        <v/>
      </c>
      <c r="AA12" s="23">
        <f>$C12*Hypothèses!K$17*$E12*(1+Hypothèses!$C$14)^1</f>
        <v/>
      </c>
      <c r="AB12" s="23">
        <f>$C12*Hypothèses!L$17*$E12*(1+Hypothèses!$C$14)^1</f>
        <v/>
      </c>
      <c r="AC12" s="23">
        <f>$C12*Hypothèses!M$17*$E12*(1+Hypothèses!$C$14)^1</f>
        <v/>
      </c>
      <c r="AD12" s="23">
        <f>$C12*Hypothèses!N$17*$E12*(1+Hypothèses!$C$14)^1</f>
        <v/>
      </c>
      <c r="AE12" s="23">
        <f>$C12*Hypothèses!C$17*$E12*(1+Hypothèses!$C$14)^2</f>
        <v/>
      </c>
      <c r="AF12" s="23">
        <f>$C12*Hypothèses!D$17*$E12*(1+Hypothèses!$C$14)^2</f>
        <v/>
      </c>
      <c r="AG12" s="23">
        <f>$C12*Hypothèses!E$17*$E12*(1+Hypothèses!$C$14)^2</f>
        <v/>
      </c>
      <c r="AH12" s="23">
        <f>$C12*Hypothèses!F$17*$E12*(1+Hypothèses!$C$14)^2</f>
        <v/>
      </c>
      <c r="AI12" s="23">
        <f>$C12*Hypothèses!G$17*$E12*(1+Hypothèses!$C$14)^2</f>
        <v/>
      </c>
      <c r="AJ12" s="23">
        <f>$C12*Hypothèses!H$17*$E12*(1+Hypothèses!$C$14)^2</f>
        <v/>
      </c>
      <c r="AK12" s="23">
        <f>$C12*Hypothèses!I$17*$E12*(1+Hypothèses!$C$14)^2</f>
        <v/>
      </c>
      <c r="AL12" s="23">
        <f>$C12*Hypothèses!J$17*$E12*(1+Hypothèses!$C$14)^2</f>
        <v/>
      </c>
      <c r="AM12" s="23">
        <f>$C12*Hypothèses!K$17*$E12*(1+Hypothèses!$C$14)^2</f>
        <v/>
      </c>
      <c r="AN12" s="23">
        <f>$C12*Hypothèses!L$17*$E12*(1+Hypothèses!$C$14)^2</f>
        <v/>
      </c>
      <c r="AO12" s="23">
        <f>$C12*Hypothèses!M$17*$E12*(1+Hypothèses!$C$14)^2</f>
        <v/>
      </c>
      <c r="AP12" s="23">
        <f>$C12*Hypothèses!N$17*$E12*(1+Hypothèses!$C$14)^2</f>
        <v/>
      </c>
      <c r="AQ12" s="23">
        <f>SUM(G12:R12)</f>
        <v/>
      </c>
      <c r="AR12" s="23">
        <f>SUM(S12:AD12)</f>
        <v/>
      </c>
      <c r="AS12" s="23">
        <f>SUM(AE12:AP12)</f>
        <v/>
      </c>
      <c r="AT12" s="23">
        <f>SUM(AQ12:AS12)</f>
        <v/>
      </c>
    </row>
    <row r="13">
      <c r="A13" s="24" t="inlineStr">
        <is>
          <t>SOUS-TOTAL Matériaux &amp; fournitures</t>
        </is>
      </c>
      <c r="C13" s="35" t="n"/>
      <c r="D13" s="35" t="n"/>
      <c r="E13" s="35" t="n"/>
      <c r="F13" s="35" t="n"/>
      <c r="G13" s="25">
        <f>G6+G7+G8+G9+G10+G11+G12</f>
        <v/>
      </c>
      <c r="H13" s="25">
        <f>H6+H7+H8+H9+H10+H11+H12</f>
        <v/>
      </c>
      <c r="I13" s="25">
        <f>I6+I7+I8+I9+I10+I11+I12</f>
        <v/>
      </c>
      <c r="J13" s="25">
        <f>J6+J7+J8+J9+J10+J11+J12</f>
        <v/>
      </c>
      <c r="K13" s="25">
        <f>K6+K7+K8+K9+K10+K11+K12</f>
        <v/>
      </c>
      <c r="L13" s="25">
        <f>L6+L7+L8+L9+L10+L11+L12</f>
        <v/>
      </c>
      <c r="M13" s="25">
        <f>M6+M7+M8+M9+M10+M11+M12</f>
        <v/>
      </c>
      <c r="N13" s="25">
        <f>N6+N7+N8+N9+N10+N11+N12</f>
        <v/>
      </c>
      <c r="O13" s="25">
        <f>O6+O7+O8+O9+O10+O11+O12</f>
        <v/>
      </c>
      <c r="P13" s="25">
        <f>P6+P7+P8+P9+P10+P11+P12</f>
        <v/>
      </c>
      <c r="Q13" s="25">
        <f>Q6+Q7+Q8+Q9+Q10+Q11+Q12</f>
        <v/>
      </c>
      <c r="R13" s="25">
        <f>R6+R7+R8+R9+R10+R11+R12</f>
        <v/>
      </c>
      <c r="S13" s="25">
        <f>S6+S7+S8+S9+S10+S11+S12</f>
        <v/>
      </c>
      <c r="T13" s="25">
        <f>T6+T7+T8+T9+T10+T11+T12</f>
        <v/>
      </c>
      <c r="U13" s="25">
        <f>U6+U7+U8+U9+U10+U11+U12</f>
        <v/>
      </c>
      <c r="V13" s="25">
        <f>V6+V7+V8+V9+V10+V11+V12</f>
        <v/>
      </c>
      <c r="W13" s="25">
        <f>W6+W7+W8+W9+W10+W11+W12</f>
        <v/>
      </c>
      <c r="X13" s="25">
        <f>X6+X7+X8+X9+X10+X11+X12</f>
        <v/>
      </c>
      <c r="Y13" s="25">
        <f>Y6+Y7+Y8+Y9+Y10+Y11+Y12</f>
        <v/>
      </c>
      <c r="Z13" s="25">
        <f>Z6+Z7+Z8+Z9+Z10+Z11+Z12</f>
        <v/>
      </c>
      <c r="AA13" s="25">
        <f>AA6+AA7+AA8+AA9+AA10+AA11+AA12</f>
        <v/>
      </c>
      <c r="AB13" s="25">
        <f>AB6+AB7+AB8+AB9+AB10+AB11+AB12</f>
        <v/>
      </c>
      <c r="AC13" s="25">
        <f>AC6+AC7+AC8+AC9+AC10+AC11+AC12</f>
        <v/>
      </c>
      <c r="AD13" s="25">
        <f>AD6+AD7+AD8+AD9+AD10+AD11+AD12</f>
        <v/>
      </c>
      <c r="AE13" s="25">
        <f>AE6+AE7+AE8+AE9+AE10+AE11+AE12</f>
        <v/>
      </c>
      <c r="AF13" s="25">
        <f>AF6+AF7+AF8+AF9+AF10+AF11+AF12</f>
        <v/>
      </c>
      <c r="AG13" s="25">
        <f>AG6+AG7+AG8+AG9+AG10+AG11+AG12</f>
        <v/>
      </c>
      <c r="AH13" s="25">
        <f>AH6+AH7+AH8+AH9+AH10+AH11+AH12</f>
        <v/>
      </c>
      <c r="AI13" s="25">
        <f>AI6+AI7+AI8+AI9+AI10+AI11+AI12</f>
        <v/>
      </c>
      <c r="AJ13" s="25">
        <f>AJ6+AJ7+AJ8+AJ9+AJ10+AJ11+AJ12</f>
        <v/>
      </c>
      <c r="AK13" s="25">
        <f>AK6+AK7+AK8+AK9+AK10+AK11+AK12</f>
        <v/>
      </c>
      <c r="AL13" s="25">
        <f>AL6+AL7+AL8+AL9+AL10+AL11+AL12</f>
        <v/>
      </c>
      <c r="AM13" s="25">
        <f>AM6+AM7+AM8+AM9+AM10+AM11+AM12</f>
        <v/>
      </c>
      <c r="AN13" s="25">
        <f>AN6+AN7+AN8+AN9+AN10+AN11+AN12</f>
        <v/>
      </c>
      <c r="AO13" s="25">
        <f>AO6+AO7+AO8+AO9+AO10+AO11+AO12</f>
        <v/>
      </c>
      <c r="AP13" s="25">
        <f>AP6+AP7+AP8+AP9+AP10+AP11+AP12</f>
        <v/>
      </c>
      <c r="AQ13" s="25">
        <f>SUM(G13:R13)</f>
        <v/>
      </c>
      <c r="AR13" s="25">
        <f>SUM(S13:AD13)</f>
        <v/>
      </c>
      <c r="AS13" s="25">
        <f>SUM(AE13:AP13)</f>
        <v/>
      </c>
      <c r="AT13" s="25">
        <f>SUM(AQ13:AS13)</f>
        <v/>
      </c>
    </row>
    <row r="14">
      <c r="A14" s="27" t="inlineStr">
        <is>
          <t>Carburant &amp; véhicule</t>
        </is>
      </c>
      <c r="B14" s="28" t="inlineStr">
        <is>
          <t>Carburant véhicule utilitaire — prix de marché simulé (€/unité)</t>
        </is>
      </c>
      <c r="C14" s="29" t="n"/>
      <c r="D14" s="28" t="inlineStr">
        <is>
          <t>litres</t>
        </is>
      </c>
      <c r="E14" s="30">
        <f>AVERAGE(G14:AP14)</f>
        <v/>
      </c>
      <c r="F14" s="31" t="inlineStr">
        <is>
          <t>API marché (proxy WTI/BRENT, Alpha Vantage) — simulation calibrée</t>
        </is>
      </c>
      <c r="G14" s="32" t="n">
        <v>1.8802</v>
      </c>
      <c r="H14" s="32" t="n">
        <v>1.8526</v>
      </c>
      <c r="I14" s="32" t="n">
        <v>1.7362</v>
      </c>
      <c r="J14" s="32" t="n">
        <v>1.6999</v>
      </c>
      <c r="K14" s="32" t="n">
        <v>1.713</v>
      </c>
      <c r="L14" s="32" t="n">
        <v>1.7419</v>
      </c>
      <c r="M14" s="32" t="n">
        <v>1.6455</v>
      </c>
      <c r="N14" s="32" t="n">
        <v>1.718</v>
      </c>
      <c r="O14" s="32" t="n">
        <v>1.7354</v>
      </c>
      <c r="P14" s="32" t="n">
        <v>1.6443</v>
      </c>
      <c r="Q14" s="32" t="n">
        <v>1.6942</v>
      </c>
      <c r="R14" s="32" t="n">
        <v>1.6874</v>
      </c>
      <c r="S14" s="32" t="n">
        <v>1.6765</v>
      </c>
      <c r="T14" s="32" t="n">
        <v>1.6587</v>
      </c>
      <c r="U14" s="32" t="n">
        <v>1.671</v>
      </c>
      <c r="V14" s="32" t="n">
        <v>1.725</v>
      </c>
      <c r="W14" s="32" t="n">
        <v>1.8821</v>
      </c>
      <c r="X14" s="32" t="n">
        <v>1.8616</v>
      </c>
      <c r="Y14" s="32" t="n">
        <v>1.6546</v>
      </c>
      <c r="Z14" s="32" t="n">
        <v>1.5912</v>
      </c>
      <c r="AA14" s="32" t="n">
        <v>1.6824</v>
      </c>
      <c r="AB14" s="32" t="n">
        <v>1.656</v>
      </c>
      <c r="AC14" s="32" t="n">
        <v>1.7116</v>
      </c>
      <c r="AD14" s="32" t="n">
        <v>1.6493</v>
      </c>
      <c r="AE14" s="32" t="n">
        <v>1.5988</v>
      </c>
      <c r="AF14" s="32" t="n">
        <v>1.4286</v>
      </c>
      <c r="AG14" s="32" t="n">
        <v>1.3407</v>
      </c>
      <c r="AH14" s="32" t="n">
        <v>1.4243</v>
      </c>
      <c r="AI14" s="32" t="n">
        <v>1.4218</v>
      </c>
      <c r="AJ14" s="32" t="n">
        <v>1.3875</v>
      </c>
      <c r="AK14" s="32" t="n">
        <v>1.3937</v>
      </c>
      <c r="AL14" s="32" t="n">
        <v>1.3407</v>
      </c>
      <c r="AM14" s="32" t="n">
        <v>1.3279</v>
      </c>
      <c r="AN14" s="32" t="n">
        <v>1.3873</v>
      </c>
      <c r="AO14" s="32" t="n">
        <v>1.3464</v>
      </c>
      <c r="AP14" s="32" t="n">
        <v>1.5375</v>
      </c>
    </row>
    <row r="15">
      <c r="A15" s="27" t="inlineStr">
        <is>
          <t>Carburant &amp; véhicule</t>
        </is>
      </c>
      <c r="B15" s="27" t="inlineStr">
        <is>
          <t>↳ Coût (Carburant véhicule utilitaire)</t>
        </is>
      </c>
      <c r="C15" s="33" t="n">
        <v>320</v>
      </c>
      <c r="D15" s="27" t="inlineStr">
        <is>
          <t>litres</t>
        </is>
      </c>
      <c r="E15" s="29" t="n"/>
      <c r="F15" s="28" t="inlineStr">
        <is>
          <t>Coût = Qté de base × saisonnalité × prix simulé ci-dessus</t>
        </is>
      </c>
      <c r="G15" s="23">
        <f>$C15*Hypothèses!C$17*G14</f>
        <v/>
      </c>
      <c r="H15" s="23">
        <f>$C15*Hypothèses!D$17*H14</f>
        <v/>
      </c>
      <c r="I15" s="23">
        <f>$C15*Hypothèses!E$17*I14</f>
        <v/>
      </c>
      <c r="J15" s="23">
        <f>$C15*Hypothèses!F$17*J14</f>
        <v/>
      </c>
      <c r="K15" s="23">
        <f>$C15*Hypothèses!G$17*K14</f>
        <v/>
      </c>
      <c r="L15" s="23">
        <f>$C15*Hypothèses!H$17*L14</f>
        <v/>
      </c>
      <c r="M15" s="23">
        <f>$C15*Hypothèses!I$17*M14</f>
        <v/>
      </c>
      <c r="N15" s="23">
        <f>$C15*Hypothèses!J$17*N14</f>
        <v/>
      </c>
      <c r="O15" s="23">
        <f>$C15*Hypothèses!K$17*O14</f>
        <v/>
      </c>
      <c r="P15" s="23">
        <f>$C15*Hypothèses!L$17*P14</f>
        <v/>
      </c>
      <c r="Q15" s="23">
        <f>$C15*Hypothèses!M$17*Q14</f>
        <v/>
      </c>
      <c r="R15" s="23">
        <f>$C15*Hypothèses!N$17*R14</f>
        <v/>
      </c>
      <c r="S15" s="23">
        <f>$C15*Hypothèses!C$17*S14</f>
        <v/>
      </c>
      <c r="T15" s="23">
        <f>$C15*Hypothèses!D$17*T14</f>
        <v/>
      </c>
      <c r="U15" s="23">
        <f>$C15*Hypothèses!E$17*U14</f>
        <v/>
      </c>
      <c r="V15" s="23">
        <f>$C15*Hypothèses!F$17*V14</f>
        <v/>
      </c>
      <c r="W15" s="23">
        <f>$C15*Hypothèses!G$17*W14</f>
        <v/>
      </c>
      <c r="X15" s="23">
        <f>$C15*Hypothèses!H$17*X14</f>
        <v/>
      </c>
      <c r="Y15" s="23">
        <f>$C15*Hypothèses!I$17*Y14</f>
        <v/>
      </c>
      <c r="Z15" s="23">
        <f>$C15*Hypothèses!J$17*Z14</f>
        <v/>
      </c>
      <c r="AA15" s="23">
        <f>$C15*Hypothèses!K$17*AA14</f>
        <v/>
      </c>
      <c r="AB15" s="23">
        <f>$C15*Hypothèses!L$17*AB14</f>
        <v/>
      </c>
      <c r="AC15" s="23">
        <f>$C15*Hypothèses!M$17*AC14</f>
        <v/>
      </c>
      <c r="AD15" s="23">
        <f>$C15*Hypothèses!N$17*AD14</f>
        <v/>
      </c>
      <c r="AE15" s="23">
        <f>$C15*Hypothèses!C$17*AE14</f>
        <v/>
      </c>
      <c r="AF15" s="23">
        <f>$C15*Hypothèses!D$17*AF14</f>
        <v/>
      </c>
      <c r="AG15" s="23">
        <f>$C15*Hypothèses!E$17*AG14</f>
        <v/>
      </c>
      <c r="AH15" s="23">
        <f>$C15*Hypothèses!F$17*AH14</f>
        <v/>
      </c>
      <c r="AI15" s="23">
        <f>$C15*Hypothèses!G$17*AI14</f>
        <v/>
      </c>
      <c r="AJ15" s="23">
        <f>$C15*Hypothèses!H$17*AJ14</f>
        <v/>
      </c>
      <c r="AK15" s="23">
        <f>$C15*Hypothèses!I$17*AK14</f>
        <v/>
      </c>
      <c r="AL15" s="23">
        <f>$C15*Hypothèses!J$17*AL14</f>
        <v/>
      </c>
      <c r="AM15" s="23">
        <f>$C15*Hypothèses!K$17*AM14</f>
        <v/>
      </c>
      <c r="AN15" s="23">
        <f>$C15*Hypothèses!L$17*AN14</f>
        <v/>
      </c>
      <c r="AO15" s="23">
        <f>$C15*Hypothèses!M$17*AO14</f>
        <v/>
      </c>
      <c r="AP15" s="23">
        <f>$C15*Hypothèses!N$17*AP14</f>
        <v/>
      </c>
      <c r="AQ15" s="23">
        <f>SUM(G15:R15)</f>
        <v/>
      </c>
      <c r="AR15" s="23">
        <f>SUM(S15:AD15)</f>
        <v/>
      </c>
      <c r="AS15" s="23">
        <f>SUM(AE15:AP15)</f>
        <v/>
      </c>
      <c r="AT15" s="23">
        <f>SUM(AQ15:AS15)</f>
        <v/>
      </c>
    </row>
    <row r="16">
      <c r="A16" s="27" t="inlineStr">
        <is>
          <t>Carburant &amp; véhicule</t>
        </is>
      </c>
      <c r="B16" s="27" t="inlineStr">
        <is>
          <t>Entretien véhicule</t>
        </is>
      </c>
      <c r="C16" s="33" t="n">
        <v>1</v>
      </c>
      <c r="D16" s="27" t="inlineStr">
        <is>
          <t>forfait/mois</t>
        </is>
      </c>
      <c r="E16" s="9" t="n">
        <v>110</v>
      </c>
      <c r="F16" s="31" t="inlineStr">
        <is>
          <t>Estimé</t>
        </is>
      </c>
      <c r="G16" s="23">
        <f>$C16*Hypothèses!C$17*$E16*(1+Hypothèses!$C$14)^0</f>
        <v/>
      </c>
      <c r="H16" s="23">
        <f>$C16*Hypothèses!D$17*$E16*(1+Hypothèses!$C$14)^0</f>
        <v/>
      </c>
      <c r="I16" s="23">
        <f>$C16*Hypothèses!E$17*$E16*(1+Hypothèses!$C$14)^0</f>
        <v/>
      </c>
      <c r="J16" s="23">
        <f>$C16*Hypothèses!F$17*$E16*(1+Hypothèses!$C$14)^0</f>
        <v/>
      </c>
      <c r="K16" s="23">
        <f>$C16*Hypothèses!G$17*$E16*(1+Hypothèses!$C$14)^0</f>
        <v/>
      </c>
      <c r="L16" s="23">
        <f>$C16*Hypothèses!H$17*$E16*(1+Hypothèses!$C$14)^0</f>
        <v/>
      </c>
      <c r="M16" s="23">
        <f>$C16*Hypothèses!I$17*$E16*(1+Hypothèses!$C$14)^0</f>
        <v/>
      </c>
      <c r="N16" s="23">
        <f>$C16*Hypothèses!J$17*$E16*(1+Hypothèses!$C$14)^0</f>
        <v/>
      </c>
      <c r="O16" s="23">
        <f>$C16*Hypothèses!K$17*$E16*(1+Hypothèses!$C$14)^0</f>
        <v/>
      </c>
      <c r="P16" s="23">
        <f>$C16*Hypothèses!L$17*$E16*(1+Hypothèses!$C$14)^0</f>
        <v/>
      </c>
      <c r="Q16" s="23">
        <f>$C16*Hypothèses!M$17*$E16*(1+Hypothèses!$C$14)^0</f>
        <v/>
      </c>
      <c r="R16" s="23">
        <f>$C16*Hypothèses!N$17*$E16*(1+Hypothèses!$C$14)^0</f>
        <v/>
      </c>
      <c r="S16" s="23">
        <f>$C16*Hypothèses!C$17*$E16*(1+Hypothèses!$C$14)^1</f>
        <v/>
      </c>
      <c r="T16" s="23">
        <f>$C16*Hypothèses!D$17*$E16*(1+Hypothèses!$C$14)^1</f>
        <v/>
      </c>
      <c r="U16" s="23">
        <f>$C16*Hypothèses!E$17*$E16*(1+Hypothèses!$C$14)^1</f>
        <v/>
      </c>
      <c r="V16" s="23">
        <f>$C16*Hypothèses!F$17*$E16*(1+Hypothèses!$C$14)^1</f>
        <v/>
      </c>
      <c r="W16" s="23">
        <f>$C16*Hypothèses!G$17*$E16*(1+Hypothèses!$C$14)^1</f>
        <v/>
      </c>
      <c r="X16" s="23">
        <f>$C16*Hypothèses!H$17*$E16*(1+Hypothèses!$C$14)^1</f>
        <v/>
      </c>
      <c r="Y16" s="23">
        <f>$C16*Hypothèses!I$17*$E16*(1+Hypothèses!$C$14)^1</f>
        <v/>
      </c>
      <c r="Z16" s="23">
        <f>$C16*Hypothèses!J$17*$E16*(1+Hypothèses!$C$14)^1</f>
        <v/>
      </c>
      <c r="AA16" s="23">
        <f>$C16*Hypothèses!K$17*$E16*(1+Hypothèses!$C$14)^1</f>
        <v/>
      </c>
      <c r="AB16" s="23">
        <f>$C16*Hypothèses!L$17*$E16*(1+Hypothèses!$C$14)^1</f>
        <v/>
      </c>
      <c r="AC16" s="23">
        <f>$C16*Hypothèses!M$17*$E16*(1+Hypothèses!$C$14)^1</f>
        <v/>
      </c>
      <c r="AD16" s="23">
        <f>$C16*Hypothèses!N$17*$E16*(1+Hypothèses!$C$14)^1</f>
        <v/>
      </c>
      <c r="AE16" s="23">
        <f>$C16*Hypothèses!C$17*$E16*(1+Hypothèses!$C$14)^2</f>
        <v/>
      </c>
      <c r="AF16" s="23">
        <f>$C16*Hypothèses!D$17*$E16*(1+Hypothèses!$C$14)^2</f>
        <v/>
      </c>
      <c r="AG16" s="23">
        <f>$C16*Hypothèses!E$17*$E16*(1+Hypothèses!$C$14)^2</f>
        <v/>
      </c>
      <c r="AH16" s="23">
        <f>$C16*Hypothèses!F$17*$E16*(1+Hypothèses!$C$14)^2</f>
        <v/>
      </c>
      <c r="AI16" s="23">
        <f>$C16*Hypothèses!G$17*$E16*(1+Hypothèses!$C$14)^2</f>
        <v/>
      </c>
      <c r="AJ16" s="23">
        <f>$C16*Hypothèses!H$17*$E16*(1+Hypothèses!$C$14)^2</f>
        <v/>
      </c>
      <c r="AK16" s="23">
        <f>$C16*Hypothèses!I$17*$E16*(1+Hypothèses!$C$14)^2</f>
        <v/>
      </c>
      <c r="AL16" s="23">
        <f>$C16*Hypothèses!J$17*$E16*(1+Hypothèses!$C$14)^2</f>
        <v/>
      </c>
      <c r="AM16" s="23">
        <f>$C16*Hypothèses!K$17*$E16*(1+Hypothèses!$C$14)^2</f>
        <v/>
      </c>
      <c r="AN16" s="23">
        <f>$C16*Hypothèses!L$17*$E16*(1+Hypothèses!$C$14)^2</f>
        <v/>
      </c>
      <c r="AO16" s="23">
        <f>$C16*Hypothèses!M$17*$E16*(1+Hypothèses!$C$14)^2</f>
        <v/>
      </c>
      <c r="AP16" s="23">
        <f>$C16*Hypothèses!N$17*$E16*(1+Hypothèses!$C$14)^2</f>
        <v/>
      </c>
      <c r="AQ16" s="23">
        <f>SUM(G16:R16)</f>
        <v/>
      </c>
      <c r="AR16" s="23">
        <f>SUM(S16:AD16)</f>
        <v/>
      </c>
      <c r="AS16" s="23">
        <f>SUM(AE16:AP16)</f>
        <v/>
      </c>
      <c r="AT16" s="23">
        <f>SUM(AQ16:AS16)</f>
        <v/>
      </c>
    </row>
    <row r="17">
      <c r="A17" s="24" t="inlineStr">
        <is>
          <t>SOUS-TOTAL Carburant &amp; véhicule</t>
        </is>
      </c>
      <c r="C17" s="35" t="n"/>
      <c r="D17" s="35" t="n"/>
      <c r="E17" s="35" t="n"/>
      <c r="F17" s="35" t="n"/>
      <c r="G17" s="25">
        <f>G15+G16</f>
        <v/>
      </c>
      <c r="H17" s="25">
        <f>H15+H16</f>
        <v/>
      </c>
      <c r="I17" s="25">
        <f>I15+I16</f>
        <v/>
      </c>
      <c r="J17" s="25">
        <f>J15+J16</f>
        <v/>
      </c>
      <c r="K17" s="25">
        <f>K15+K16</f>
        <v/>
      </c>
      <c r="L17" s="25">
        <f>L15+L16</f>
        <v/>
      </c>
      <c r="M17" s="25">
        <f>M15+M16</f>
        <v/>
      </c>
      <c r="N17" s="25">
        <f>N15+N16</f>
        <v/>
      </c>
      <c r="O17" s="25">
        <f>O15+O16</f>
        <v/>
      </c>
      <c r="P17" s="25">
        <f>P15+P16</f>
        <v/>
      </c>
      <c r="Q17" s="25">
        <f>Q15+Q16</f>
        <v/>
      </c>
      <c r="R17" s="25">
        <f>R15+R16</f>
        <v/>
      </c>
      <c r="S17" s="25">
        <f>S15+S16</f>
        <v/>
      </c>
      <c r="T17" s="25">
        <f>T15+T16</f>
        <v/>
      </c>
      <c r="U17" s="25">
        <f>U15+U16</f>
        <v/>
      </c>
      <c r="V17" s="25">
        <f>V15+V16</f>
        <v/>
      </c>
      <c r="W17" s="25">
        <f>W15+W16</f>
        <v/>
      </c>
      <c r="X17" s="25">
        <f>X15+X16</f>
        <v/>
      </c>
      <c r="Y17" s="25">
        <f>Y15+Y16</f>
        <v/>
      </c>
      <c r="Z17" s="25">
        <f>Z15+Z16</f>
        <v/>
      </c>
      <c r="AA17" s="25">
        <f>AA15+AA16</f>
        <v/>
      </c>
      <c r="AB17" s="25">
        <f>AB15+AB16</f>
        <v/>
      </c>
      <c r="AC17" s="25">
        <f>AC15+AC16</f>
        <v/>
      </c>
      <c r="AD17" s="25">
        <f>AD15+AD16</f>
        <v/>
      </c>
      <c r="AE17" s="25">
        <f>AE15+AE16</f>
        <v/>
      </c>
      <c r="AF17" s="25">
        <f>AF15+AF16</f>
        <v/>
      </c>
      <c r="AG17" s="25">
        <f>AG15+AG16</f>
        <v/>
      </c>
      <c r="AH17" s="25">
        <f>AH15+AH16</f>
        <v/>
      </c>
      <c r="AI17" s="25">
        <f>AI15+AI16</f>
        <v/>
      </c>
      <c r="AJ17" s="25">
        <f>AJ15+AJ16</f>
        <v/>
      </c>
      <c r="AK17" s="25">
        <f>AK15+AK16</f>
        <v/>
      </c>
      <c r="AL17" s="25">
        <f>AL15+AL16</f>
        <v/>
      </c>
      <c r="AM17" s="25">
        <f>AM15+AM16</f>
        <v/>
      </c>
      <c r="AN17" s="25">
        <f>AN15+AN16</f>
        <v/>
      </c>
      <c r="AO17" s="25">
        <f>AO15+AO16</f>
        <v/>
      </c>
      <c r="AP17" s="25">
        <f>AP15+AP16</f>
        <v/>
      </c>
      <c r="AQ17" s="25">
        <f>SUM(G17:R17)</f>
        <v/>
      </c>
      <c r="AR17" s="25">
        <f>SUM(S17:AD17)</f>
        <v/>
      </c>
      <c r="AS17" s="25">
        <f>SUM(AE17:AP17)</f>
        <v/>
      </c>
      <c r="AT17" s="25">
        <f>SUM(AQ17:AS17)</f>
        <v/>
      </c>
    </row>
    <row r="18">
      <c r="A18" s="27" t="inlineStr">
        <is>
          <t>Personnel</t>
        </is>
      </c>
      <c r="B18" s="27" t="inlineStr">
        <is>
          <t>Rémunération nette du dirigeant (plombier, TNS)</t>
        </is>
      </c>
      <c r="C18" s="33" t="n">
        <v>1</v>
      </c>
      <c r="D18" s="27" t="inlineStr">
        <is>
          <t>forfait/mois</t>
        </is>
      </c>
      <c r="E18" s="9" t="n">
        <v>3400</v>
      </c>
      <c r="F18" s="31" t="inlineStr">
        <is>
          <t>Estimé</t>
        </is>
      </c>
      <c r="G18" s="23">
        <f>$C18*$E18*(1+Hypothèses!$C$14)^0</f>
        <v/>
      </c>
      <c r="H18" s="23">
        <f>$C18*$E18*(1+Hypothèses!$C$14)^0</f>
        <v/>
      </c>
      <c r="I18" s="23">
        <f>$C18*$E18*(1+Hypothèses!$C$14)^0</f>
        <v/>
      </c>
      <c r="J18" s="23">
        <f>$C18*$E18*(1+Hypothèses!$C$14)^0</f>
        <v/>
      </c>
      <c r="K18" s="23">
        <f>$C18*$E18*(1+Hypothèses!$C$14)^0</f>
        <v/>
      </c>
      <c r="L18" s="23">
        <f>$C18*$E18*(1+Hypothèses!$C$14)^0</f>
        <v/>
      </c>
      <c r="M18" s="23">
        <f>$C18*$E18*(1+Hypothèses!$C$14)^0</f>
        <v/>
      </c>
      <c r="N18" s="23">
        <f>$C18*$E18*(1+Hypothèses!$C$14)^0</f>
        <v/>
      </c>
      <c r="O18" s="23">
        <f>$C18*$E18*(1+Hypothèses!$C$14)^0</f>
        <v/>
      </c>
      <c r="P18" s="23">
        <f>$C18*$E18*(1+Hypothèses!$C$14)^0</f>
        <v/>
      </c>
      <c r="Q18" s="23">
        <f>$C18*$E18*(1+Hypothèses!$C$14)^0</f>
        <v/>
      </c>
      <c r="R18" s="23">
        <f>$C18*$E18*(1+Hypothèses!$C$14)^0</f>
        <v/>
      </c>
      <c r="S18" s="23">
        <f>$C18*$E18*(1+Hypothèses!$C$14)^1</f>
        <v/>
      </c>
      <c r="T18" s="23">
        <f>$C18*$E18*(1+Hypothèses!$C$14)^1</f>
        <v/>
      </c>
      <c r="U18" s="23">
        <f>$C18*$E18*(1+Hypothèses!$C$14)^1</f>
        <v/>
      </c>
      <c r="V18" s="23">
        <f>$C18*$E18*(1+Hypothèses!$C$14)^1</f>
        <v/>
      </c>
      <c r="W18" s="23">
        <f>$C18*$E18*(1+Hypothèses!$C$14)^1</f>
        <v/>
      </c>
      <c r="X18" s="23">
        <f>$C18*$E18*(1+Hypothèses!$C$14)^1</f>
        <v/>
      </c>
      <c r="Y18" s="23">
        <f>$C18*$E18*(1+Hypothèses!$C$14)^1</f>
        <v/>
      </c>
      <c r="Z18" s="23">
        <f>$C18*$E18*(1+Hypothèses!$C$14)^1</f>
        <v/>
      </c>
      <c r="AA18" s="23">
        <f>$C18*$E18*(1+Hypothèses!$C$14)^1</f>
        <v/>
      </c>
      <c r="AB18" s="23">
        <f>$C18*$E18*(1+Hypothèses!$C$14)^1</f>
        <v/>
      </c>
      <c r="AC18" s="23">
        <f>$C18*$E18*(1+Hypothèses!$C$14)^1</f>
        <v/>
      </c>
      <c r="AD18" s="23">
        <f>$C18*$E18*(1+Hypothèses!$C$14)^1</f>
        <v/>
      </c>
      <c r="AE18" s="23">
        <f>$C18*$E18*(1+Hypothèses!$C$14)^2</f>
        <v/>
      </c>
      <c r="AF18" s="23">
        <f>$C18*$E18*(1+Hypothèses!$C$14)^2</f>
        <v/>
      </c>
      <c r="AG18" s="23">
        <f>$C18*$E18*(1+Hypothèses!$C$14)^2</f>
        <v/>
      </c>
      <c r="AH18" s="23">
        <f>$C18*$E18*(1+Hypothèses!$C$14)^2</f>
        <v/>
      </c>
      <c r="AI18" s="23">
        <f>$C18*$E18*(1+Hypothèses!$C$14)^2</f>
        <v/>
      </c>
      <c r="AJ18" s="23">
        <f>$C18*$E18*(1+Hypothèses!$C$14)^2</f>
        <v/>
      </c>
      <c r="AK18" s="23">
        <f>$C18*$E18*(1+Hypothèses!$C$14)^2</f>
        <v/>
      </c>
      <c r="AL18" s="23">
        <f>$C18*$E18*(1+Hypothèses!$C$14)^2</f>
        <v/>
      </c>
      <c r="AM18" s="23">
        <f>$C18*$E18*(1+Hypothèses!$C$14)^2</f>
        <v/>
      </c>
      <c r="AN18" s="23">
        <f>$C18*$E18*(1+Hypothèses!$C$14)^2</f>
        <v/>
      </c>
      <c r="AO18" s="23">
        <f>$C18*$E18*(1+Hypothèses!$C$14)^2</f>
        <v/>
      </c>
      <c r="AP18" s="23">
        <f>$C18*$E18*(1+Hypothèses!$C$14)^2</f>
        <v/>
      </c>
      <c r="AQ18" s="23">
        <f>SUM(G18:R18)</f>
        <v/>
      </c>
      <c r="AR18" s="23">
        <f>SUM(S18:AD18)</f>
        <v/>
      </c>
      <c r="AS18" s="23">
        <f>SUM(AE18:AP18)</f>
        <v/>
      </c>
      <c r="AT18" s="23">
        <f>SUM(AQ18:AS18)</f>
        <v/>
      </c>
    </row>
    <row r="19">
      <c r="A19" s="27" t="inlineStr">
        <is>
          <t>Personnel</t>
        </is>
      </c>
      <c r="B19" s="27" t="inlineStr">
        <is>
          <t>Salaires &amp; charges — 1 aide/apprenti</t>
        </is>
      </c>
      <c r="C19" s="33" t="n">
        <v>1</v>
      </c>
      <c r="D19" s="27" t="inlineStr">
        <is>
          <t>forfait/mois</t>
        </is>
      </c>
      <c r="E19" s="9" t="n">
        <v>2600</v>
      </c>
      <c r="F19" s="31" t="inlineStr">
        <is>
          <t>Estimé — grille bâtiment</t>
        </is>
      </c>
      <c r="G19" s="23">
        <f>$C19*$E19*(1+Hypothèses!$C$14)^0</f>
        <v/>
      </c>
      <c r="H19" s="23">
        <f>$C19*$E19*(1+Hypothèses!$C$14)^0</f>
        <v/>
      </c>
      <c r="I19" s="23">
        <f>$C19*$E19*(1+Hypothèses!$C$14)^0</f>
        <v/>
      </c>
      <c r="J19" s="23">
        <f>$C19*$E19*(1+Hypothèses!$C$14)^0</f>
        <v/>
      </c>
      <c r="K19" s="23">
        <f>$C19*$E19*(1+Hypothèses!$C$14)^0</f>
        <v/>
      </c>
      <c r="L19" s="23">
        <f>$C19*$E19*(1+Hypothèses!$C$14)^0</f>
        <v/>
      </c>
      <c r="M19" s="23">
        <f>$C19*$E19*(1+Hypothèses!$C$14)^0</f>
        <v/>
      </c>
      <c r="N19" s="23">
        <f>$C19*$E19*(1+Hypothèses!$C$14)^0</f>
        <v/>
      </c>
      <c r="O19" s="23">
        <f>$C19*$E19*(1+Hypothèses!$C$14)^0</f>
        <v/>
      </c>
      <c r="P19" s="23">
        <f>$C19*$E19*(1+Hypothèses!$C$14)^0</f>
        <v/>
      </c>
      <c r="Q19" s="23">
        <f>$C19*$E19*(1+Hypothèses!$C$14)^0</f>
        <v/>
      </c>
      <c r="R19" s="23">
        <f>$C19*$E19*(1+Hypothèses!$C$14)^0</f>
        <v/>
      </c>
      <c r="S19" s="23">
        <f>$C19*$E19*(1+Hypothèses!$C$14)^1</f>
        <v/>
      </c>
      <c r="T19" s="23">
        <f>$C19*$E19*(1+Hypothèses!$C$14)^1</f>
        <v/>
      </c>
      <c r="U19" s="23">
        <f>$C19*$E19*(1+Hypothèses!$C$14)^1</f>
        <v/>
      </c>
      <c r="V19" s="23">
        <f>$C19*$E19*(1+Hypothèses!$C$14)^1</f>
        <v/>
      </c>
      <c r="W19" s="23">
        <f>$C19*$E19*(1+Hypothèses!$C$14)^1</f>
        <v/>
      </c>
      <c r="X19" s="23">
        <f>$C19*$E19*(1+Hypothèses!$C$14)^1</f>
        <v/>
      </c>
      <c r="Y19" s="23">
        <f>$C19*$E19*(1+Hypothèses!$C$14)^1</f>
        <v/>
      </c>
      <c r="Z19" s="23">
        <f>$C19*$E19*(1+Hypothèses!$C$14)^1</f>
        <v/>
      </c>
      <c r="AA19" s="23">
        <f>$C19*$E19*(1+Hypothèses!$C$14)^1</f>
        <v/>
      </c>
      <c r="AB19" s="23">
        <f>$C19*$E19*(1+Hypothèses!$C$14)^1</f>
        <v/>
      </c>
      <c r="AC19" s="23">
        <f>$C19*$E19*(1+Hypothèses!$C$14)^1</f>
        <v/>
      </c>
      <c r="AD19" s="23">
        <f>$C19*$E19*(1+Hypothèses!$C$14)^1</f>
        <v/>
      </c>
      <c r="AE19" s="23">
        <f>$C19*$E19*(1+Hypothèses!$C$14)^2</f>
        <v/>
      </c>
      <c r="AF19" s="23">
        <f>$C19*$E19*(1+Hypothèses!$C$14)^2</f>
        <v/>
      </c>
      <c r="AG19" s="23">
        <f>$C19*$E19*(1+Hypothèses!$C$14)^2</f>
        <v/>
      </c>
      <c r="AH19" s="23">
        <f>$C19*$E19*(1+Hypothèses!$C$14)^2</f>
        <v/>
      </c>
      <c r="AI19" s="23">
        <f>$C19*$E19*(1+Hypothèses!$C$14)^2</f>
        <v/>
      </c>
      <c r="AJ19" s="23">
        <f>$C19*$E19*(1+Hypothèses!$C$14)^2</f>
        <v/>
      </c>
      <c r="AK19" s="23">
        <f>$C19*$E19*(1+Hypothèses!$C$14)^2</f>
        <v/>
      </c>
      <c r="AL19" s="23">
        <f>$C19*$E19*(1+Hypothèses!$C$14)^2</f>
        <v/>
      </c>
      <c r="AM19" s="23">
        <f>$C19*$E19*(1+Hypothèses!$C$14)^2</f>
        <v/>
      </c>
      <c r="AN19" s="23">
        <f>$C19*$E19*(1+Hypothèses!$C$14)^2</f>
        <v/>
      </c>
      <c r="AO19" s="23">
        <f>$C19*$E19*(1+Hypothèses!$C$14)^2</f>
        <v/>
      </c>
      <c r="AP19" s="23">
        <f>$C19*$E19*(1+Hypothèses!$C$14)^2</f>
        <v/>
      </c>
      <c r="AQ19" s="23">
        <f>SUM(G19:R19)</f>
        <v/>
      </c>
      <c r="AR19" s="23">
        <f>SUM(S19:AD19)</f>
        <v/>
      </c>
      <c r="AS19" s="23">
        <f>SUM(AE19:AP19)</f>
        <v/>
      </c>
      <c r="AT19" s="23">
        <f>SUM(AQ19:AS19)</f>
        <v/>
      </c>
    </row>
    <row r="20">
      <c r="A20" s="24" t="inlineStr">
        <is>
          <t>SOUS-TOTAL Personnel</t>
        </is>
      </c>
      <c r="C20" s="35" t="n"/>
      <c r="D20" s="35" t="n"/>
      <c r="E20" s="35" t="n"/>
      <c r="F20" s="35" t="n"/>
      <c r="G20" s="25">
        <f>G18+G19</f>
        <v/>
      </c>
      <c r="H20" s="25">
        <f>H18+H19</f>
        <v/>
      </c>
      <c r="I20" s="25">
        <f>I18+I19</f>
        <v/>
      </c>
      <c r="J20" s="25">
        <f>J18+J19</f>
        <v/>
      </c>
      <c r="K20" s="25">
        <f>K18+K19</f>
        <v/>
      </c>
      <c r="L20" s="25">
        <f>L18+L19</f>
        <v/>
      </c>
      <c r="M20" s="25">
        <f>M18+M19</f>
        <v/>
      </c>
      <c r="N20" s="25">
        <f>N18+N19</f>
        <v/>
      </c>
      <c r="O20" s="25">
        <f>O18+O19</f>
        <v/>
      </c>
      <c r="P20" s="25">
        <f>P18+P19</f>
        <v/>
      </c>
      <c r="Q20" s="25">
        <f>Q18+Q19</f>
        <v/>
      </c>
      <c r="R20" s="25">
        <f>R18+R19</f>
        <v/>
      </c>
      <c r="S20" s="25">
        <f>S18+S19</f>
        <v/>
      </c>
      <c r="T20" s="25">
        <f>T18+T19</f>
        <v/>
      </c>
      <c r="U20" s="25">
        <f>U18+U19</f>
        <v/>
      </c>
      <c r="V20" s="25">
        <f>V18+V19</f>
        <v/>
      </c>
      <c r="W20" s="25">
        <f>W18+W19</f>
        <v/>
      </c>
      <c r="X20" s="25">
        <f>X18+X19</f>
        <v/>
      </c>
      <c r="Y20" s="25">
        <f>Y18+Y19</f>
        <v/>
      </c>
      <c r="Z20" s="25">
        <f>Z18+Z19</f>
        <v/>
      </c>
      <c r="AA20" s="25">
        <f>AA18+AA19</f>
        <v/>
      </c>
      <c r="AB20" s="25">
        <f>AB18+AB19</f>
        <v/>
      </c>
      <c r="AC20" s="25">
        <f>AC18+AC19</f>
        <v/>
      </c>
      <c r="AD20" s="25">
        <f>AD18+AD19</f>
        <v/>
      </c>
      <c r="AE20" s="25">
        <f>AE18+AE19</f>
        <v/>
      </c>
      <c r="AF20" s="25">
        <f>AF18+AF19</f>
        <v/>
      </c>
      <c r="AG20" s="25">
        <f>AG18+AG19</f>
        <v/>
      </c>
      <c r="AH20" s="25">
        <f>AH18+AH19</f>
        <v/>
      </c>
      <c r="AI20" s="25">
        <f>AI18+AI19</f>
        <v/>
      </c>
      <c r="AJ20" s="25">
        <f>AJ18+AJ19</f>
        <v/>
      </c>
      <c r="AK20" s="25">
        <f>AK18+AK19</f>
        <v/>
      </c>
      <c r="AL20" s="25">
        <f>AL18+AL19</f>
        <v/>
      </c>
      <c r="AM20" s="25">
        <f>AM18+AM19</f>
        <v/>
      </c>
      <c r="AN20" s="25">
        <f>AN18+AN19</f>
        <v/>
      </c>
      <c r="AO20" s="25">
        <f>AO18+AO19</f>
        <v/>
      </c>
      <c r="AP20" s="25">
        <f>AP18+AP19</f>
        <v/>
      </c>
      <c r="AQ20" s="25">
        <f>SUM(G20:R20)</f>
        <v/>
      </c>
      <c r="AR20" s="25">
        <f>SUM(S20:AD20)</f>
        <v/>
      </c>
      <c r="AS20" s="25">
        <f>SUM(AE20:AP20)</f>
        <v/>
      </c>
      <c r="AT20" s="25">
        <f>SUM(AQ20:AS20)</f>
        <v/>
      </c>
    </row>
    <row r="21">
      <c r="A21" s="27" t="inlineStr">
        <is>
          <t>Charges sociales dirigeant</t>
        </is>
      </c>
      <c r="B21" s="27" t="inlineStr">
        <is>
          <t>Cotisations URSSAF (TNS) du dirigeant — lissé mensuel (versées par trimestre, cf. Hypothèses C8)</t>
        </is>
      </c>
      <c r="C21" s="33" t="n">
        <v>1</v>
      </c>
      <c r="D21" s="27" t="inlineStr">
        <is>
          <t>forfait/mois (moy.)</t>
        </is>
      </c>
      <c r="E21" s="9" t="n">
        <v>666.67</v>
      </c>
      <c r="F21" s="31" t="inlineStr">
        <is>
          <t>Calculé — Hypothèses!C8 (cotisation trimestrielle) ÷ 3</t>
        </is>
      </c>
      <c r="G21" s="23">
        <f>$C21*$E21*(1+Hypothèses!$C$14)^0</f>
        <v/>
      </c>
      <c r="H21" s="23">
        <f>$C21*$E21*(1+Hypothèses!$C$14)^0</f>
        <v/>
      </c>
      <c r="I21" s="23">
        <f>$C21*$E21*(1+Hypothèses!$C$14)^0</f>
        <v/>
      </c>
      <c r="J21" s="23">
        <f>$C21*$E21*(1+Hypothèses!$C$14)^0</f>
        <v/>
      </c>
      <c r="K21" s="23">
        <f>$C21*$E21*(1+Hypothèses!$C$14)^0</f>
        <v/>
      </c>
      <c r="L21" s="23">
        <f>$C21*$E21*(1+Hypothèses!$C$14)^0</f>
        <v/>
      </c>
      <c r="M21" s="23">
        <f>$C21*$E21*(1+Hypothèses!$C$14)^0</f>
        <v/>
      </c>
      <c r="N21" s="23">
        <f>$C21*$E21*(1+Hypothèses!$C$14)^0</f>
        <v/>
      </c>
      <c r="O21" s="23">
        <f>$C21*$E21*(1+Hypothèses!$C$14)^0</f>
        <v/>
      </c>
      <c r="P21" s="23">
        <f>$C21*$E21*(1+Hypothèses!$C$14)^0</f>
        <v/>
      </c>
      <c r="Q21" s="23">
        <f>$C21*$E21*(1+Hypothèses!$C$14)^0</f>
        <v/>
      </c>
      <c r="R21" s="23">
        <f>$C21*$E21*(1+Hypothèses!$C$14)^0</f>
        <v/>
      </c>
      <c r="S21" s="23">
        <f>$C21*$E21*(1+Hypothèses!$C$14)^1</f>
        <v/>
      </c>
      <c r="T21" s="23">
        <f>$C21*$E21*(1+Hypothèses!$C$14)^1</f>
        <v/>
      </c>
      <c r="U21" s="23">
        <f>$C21*$E21*(1+Hypothèses!$C$14)^1</f>
        <v/>
      </c>
      <c r="V21" s="23">
        <f>$C21*$E21*(1+Hypothèses!$C$14)^1</f>
        <v/>
      </c>
      <c r="W21" s="23">
        <f>$C21*$E21*(1+Hypothèses!$C$14)^1</f>
        <v/>
      </c>
      <c r="X21" s="23">
        <f>$C21*$E21*(1+Hypothèses!$C$14)^1</f>
        <v/>
      </c>
      <c r="Y21" s="23">
        <f>$C21*$E21*(1+Hypothèses!$C$14)^1</f>
        <v/>
      </c>
      <c r="Z21" s="23">
        <f>$C21*$E21*(1+Hypothèses!$C$14)^1</f>
        <v/>
      </c>
      <c r="AA21" s="23">
        <f>$C21*$E21*(1+Hypothèses!$C$14)^1</f>
        <v/>
      </c>
      <c r="AB21" s="23">
        <f>$C21*$E21*(1+Hypothèses!$C$14)^1</f>
        <v/>
      </c>
      <c r="AC21" s="23">
        <f>$C21*$E21*(1+Hypothèses!$C$14)^1</f>
        <v/>
      </c>
      <c r="AD21" s="23">
        <f>$C21*$E21*(1+Hypothèses!$C$14)^1</f>
        <v/>
      </c>
      <c r="AE21" s="23">
        <f>$C21*$E21*(1+Hypothèses!$C$14)^2</f>
        <v/>
      </c>
      <c r="AF21" s="23">
        <f>$C21*$E21*(1+Hypothèses!$C$14)^2</f>
        <v/>
      </c>
      <c r="AG21" s="23">
        <f>$C21*$E21*(1+Hypothèses!$C$14)^2</f>
        <v/>
      </c>
      <c r="AH21" s="23">
        <f>$C21*$E21*(1+Hypothèses!$C$14)^2</f>
        <v/>
      </c>
      <c r="AI21" s="23">
        <f>$C21*$E21*(1+Hypothèses!$C$14)^2</f>
        <v/>
      </c>
      <c r="AJ21" s="23">
        <f>$C21*$E21*(1+Hypothèses!$C$14)^2</f>
        <v/>
      </c>
      <c r="AK21" s="23">
        <f>$C21*$E21*(1+Hypothèses!$C$14)^2</f>
        <v/>
      </c>
      <c r="AL21" s="23">
        <f>$C21*$E21*(1+Hypothèses!$C$14)^2</f>
        <v/>
      </c>
      <c r="AM21" s="23">
        <f>$C21*$E21*(1+Hypothèses!$C$14)^2</f>
        <v/>
      </c>
      <c r="AN21" s="23">
        <f>$C21*$E21*(1+Hypothèses!$C$14)^2</f>
        <v/>
      </c>
      <c r="AO21" s="23">
        <f>$C21*$E21*(1+Hypothèses!$C$14)^2</f>
        <v/>
      </c>
      <c r="AP21" s="23">
        <f>$C21*$E21*(1+Hypothèses!$C$14)^2</f>
        <v/>
      </c>
      <c r="AQ21" s="23">
        <f>SUM(G21:R21)</f>
        <v/>
      </c>
      <c r="AR21" s="23">
        <f>SUM(S21:AD21)</f>
        <v/>
      </c>
      <c r="AS21" s="23">
        <f>SUM(AE21:AP21)</f>
        <v/>
      </c>
      <c r="AT21" s="23">
        <f>SUM(AQ21:AS21)</f>
        <v/>
      </c>
    </row>
    <row r="22">
      <c r="A22" s="24" t="inlineStr">
        <is>
          <t>SOUS-TOTAL Charges sociales dirigeant</t>
        </is>
      </c>
      <c r="C22" s="35" t="n"/>
      <c r="D22" s="35" t="n"/>
      <c r="E22" s="35" t="n"/>
      <c r="F22" s="35" t="n"/>
      <c r="G22" s="25">
        <f>G21</f>
        <v/>
      </c>
      <c r="H22" s="25">
        <f>H21</f>
        <v/>
      </c>
      <c r="I22" s="25">
        <f>I21</f>
        <v/>
      </c>
      <c r="J22" s="25">
        <f>J21</f>
        <v/>
      </c>
      <c r="K22" s="25">
        <f>K21</f>
        <v/>
      </c>
      <c r="L22" s="25">
        <f>L21</f>
        <v/>
      </c>
      <c r="M22" s="25">
        <f>M21</f>
        <v/>
      </c>
      <c r="N22" s="25">
        <f>N21</f>
        <v/>
      </c>
      <c r="O22" s="25">
        <f>O21</f>
        <v/>
      </c>
      <c r="P22" s="25">
        <f>P21</f>
        <v/>
      </c>
      <c r="Q22" s="25">
        <f>Q21</f>
        <v/>
      </c>
      <c r="R22" s="25">
        <f>R21</f>
        <v/>
      </c>
      <c r="S22" s="25">
        <f>S21</f>
        <v/>
      </c>
      <c r="T22" s="25">
        <f>T21</f>
        <v/>
      </c>
      <c r="U22" s="25">
        <f>U21</f>
        <v/>
      </c>
      <c r="V22" s="25">
        <f>V21</f>
        <v/>
      </c>
      <c r="W22" s="25">
        <f>W21</f>
        <v/>
      </c>
      <c r="X22" s="25">
        <f>X21</f>
        <v/>
      </c>
      <c r="Y22" s="25">
        <f>Y21</f>
        <v/>
      </c>
      <c r="Z22" s="25">
        <f>Z21</f>
        <v/>
      </c>
      <c r="AA22" s="25">
        <f>AA21</f>
        <v/>
      </c>
      <c r="AB22" s="25">
        <f>AB21</f>
        <v/>
      </c>
      <c r="AC22" s="25">
        <f>AC21</f>
        <v/>
      </c>
      <c r="AD22" s="25">
        <f>AD21</f>
        <v/>
      </c>
      <c r="AE22" s="25">
        <f>AE21</f>
        <v/>
      </c>
      <c r="AF22" s="25">
        <f>AF21</f>
        <v/>
      </c>
      <c r="AG22" s="25">
        <f>AG21</f>
        <v/>
      </c>
      <c r="AH22" s="25">
        <f>AH21</f>
        <v/>
      </c>
      <c r="AI22" s="25">
        <f>AI21</f>
        <v/>
      </c>
      <c r="AJ22" s="25">
        <f>AJ21</f>
        <v/>
      </c>
      <c r="AK22" s="25">
        <f>AK21</f>
        <v/>
      </c>
      <c r="AL22" s="25">
        <f>AL21</f>
        <v/>
      </c>
      <c r="AM22" s="25">
        <f>AM21</f>
        <v/>
      </c>
      <c r="AN22" s="25">
        <f>AN21</f>
        <v/>
      </c>
      <c r="AO22" s="25">
        <f>AO21</f>
        <v/>
      </c>
      <c r="AP22" s="25">
        <f>AP21</f>
        <v/>
      </c>
      <c r="AQ22" s="25">
        <f>SUM(G22:R22)</f>
        <v/>
      </c>
      <c r="AR22" s="25">
        <f>SUM(S22:AD22)</f>
        <v/>
      </c>
      <c r="AS22" s="25">
        <f>SUM(AE22:AP22)</f>
        <v/>
      </c>
      <c r="AT22" s="25">
        <f>SUM(AQ22:AS22)</f>
        <v/>
      </c>
    </row>
    <row r="23">
      <c r="A23" s="27" t="inlineStr">
        <is>
          <t>Énergie</t>
        </is>
      </c>
      <c r="B23" s="28" t="inlineStr">
        <is>
          <t>Électricité (local / atelier) — prix de marché simulé (€/unité)</t>
        </is>
      </c>
      <c r="C23" s="29" t="n"/>
      <c r="D23" s="28" t="inlineStr">
        <is>
          <t>kWh</t>
        </is>
      </c>
      <c r="E23" s="30">
        <f>AVERAGE(G23:AP23)</f>
        <v/>
      </c>
      <c r="F23" s="31" t="inlineStr">
        <is>
          <t>API/marché (Tarif Bleu Pro EDF — simulation calibrée, à actualiser via SDES)</t>
        </is>
      </c>
      <c r="G23" s="32" t="n">
        <v>0.1646</v>
      </c>
      <c r="H23" s="32" t="n">
        <v>0.166</v>
      </c>
      <c r="I23" s="32" t="n">
        <v>0.1689</v>
      </c>
      <c r="J23" s="32" t="n">
        <v>0.1768</v>
      </c>
      <c r="K23" s="32" t="n">
        <v>0.1789</v>
      </c>
      <c r="L23" s="32" t="n">
        <v>0.1837</v>
      </c>
      <c r="M23" s="32" t="n">
        <v>0.1856</v>
      </c>
      <c r="N23" s="32" t="n">
        <v>0.1884</v>
      </c>
      <c r="O23" s="32" t="n">
        <v>0.1876</v>
      </c>
      <c r="P23" s="32" t="n">
        <v>0.1872</v>
      </c>
      <c r="Q23" s="32" t="n">
        <v>0.1826</v>
      </c>
      <c r="R23" s="32" t="n">
        <v>0.1765</v>
      </c>
      <c r="S23" s="32" t="n">
        <v>0.1755</v>
      </c>
      <c r="T23" s="32" t="n">
        <v>0.175</v>
      </c>
      <c r="U23" s="32" t="n">
        <v>0.1728</v>
      </c>
      <c r="V23" s="32" t="n">
        <v>0.1749</v>
      </c>
      <c r="W23" s="32" t="n">
        <v>0.1794</v>
      </c>
      <c r="X23" s="32" t="n">
        <v>0.1826</v>
      </c>
      <c r="Y23" s="32" t="n">
        <v>0.1815</v>
      </c>
      <c r="Z23" s="32" t="n">
        <v>0.188</v>
      </c>
      <c r="AA23" s="32" t="n">
        <v>0.1886</v>
      </c>
      <c r="AB23" s="32" t="n">
        <v>0.1913</v>
      </c>
      <c r="AC23" s="32" t="n">
        <v>0.1936</v>
      </c>
      <c r="AD23" s="32" t="n">
        <v>0.1911</v>
      </c>
      <c r="AE23" s="32" t="n">
        <v>0.1897</v>
      </c>
      <c r="AF23" s="32" t="n">
        <v>0.1848</v>
      </c>
      <c r="AG23" s="32" t="n">
        <v>0.1838</v>
      </c>
      <c r="AH23" s="32" t="n">
        <v>0.1801</v>
      </c>
      <c r="AI23" s="32" t="n">
        <v>0.1803</v>
      </c>
      <c r="AJ23" s="32" t="n">
        <v>0.1816</v>
      </c>
      <c r="AK23" s="32" t="n">
        <v>0.186</v>
      </c>
      <c r="AL23" s="32" t="n">
        <v>0.1823</v>
      </c>
      <c r="AM23" s="32" t="n">
        <v>0.1827</v>
      </c>
      <c r="AN23" s="32" t="n">
        <v>0.1779</v>
      </c>
      <c r="AO23" s="32" t="n">
        <v>0.1776</v>
      </c>
      <c r="AP23" s="32" t="n">
        <v>0.1818</v>
      </c>
    </row>
    <row r="24">
      <c r="A24" s="27" t="inlineStr">
        <is>
          <t>Énergie</t>
        </is>
      </c>
      <c r="B24" s="27" t="inlineStr">
        <is>
          <t>↳ Coût (Électricité (local / atelier))</t>
        </is>
      </c>
      <c r="C24" s="33" t="n">
        <v>1050</v>
      </c>
      <c r="D24" s="27" t="inlineStr">
        <is>
          <t>kWh</t>
        </is>
      </c>
      <c r="E24" s="29" t="n"/>
      <c r="F24" s="28" t="inlineStr">
        <is>
          <t>Coût = Qté de base × saisonnalité × prix simulé ci-dessus</t>
        </is>
      </c>
      <c r="G24" s="23">
        <f>$C24*Hypothèses!C$17*G23</f>
        <v/>
      </c>
      <c r="H24" s="23">
        <f>$C24*Hypothèses!D$17*H23</f>
        <v/>
      </c>
      <c r="I24" s="23">
        <f>$C24*Hypothèses!E$17*I23</f>
        <v/>
      </c>
      <c r="J24" s="23">
        <f>$C24*Hypothèses!F$17*J23</f>
        <v/>
      </c>
      <c r="K24" s="23">
        <f>$C24*Hypothèses!G$17*K23</f>
        <v/>
      </c>
      <c r="L24" s="23">
        <f>$C24*Hypothèses!H$17*L23</f>
        <v/>
      </c>
      <c r="M24" s="23">
        <f>$C24*Hypothèses!I$17*M23</f>
        <v/>
      </c>
      <c r="N24" s="23">
        <f>$C24*Hypothèses!J$17*N23</f>
        <v/>
      </c>
      <c r="O24" s="23">
        <f>$C24*Hypothèses!K$17*O23</f>
        <v/>
      </c>
      <c r="P24" s="23">
        <f>$C24*Hypothèses!L$17*P23</f>
        <v/>
      </c>
      <c r="Q24" s="23">
        <f>$C24*Hypothèses!M$17*Q23</f>
        <v/>
      </c>
      <c r="R24" s="23">
        <f>$C24*Hypothèses!N$17*R23</f>
        <v/>
      </c>
      <c r="S24" s="23">
        <f>$C24*Hypothèses!C$17*S23</f>
        <v/>
      </c>
      <c r="T24" s="23">
        <f>$C24*Hypothèses!D$17*T23</f>
        <v/>
      </c>
      <c r="U24" s="23">
        <f>$C24*Hypothèses!E$17*U23</f>
        <v/>
      </c>
      <c r="V24" s="23">
        <f>$C24*Hypothèses!F$17*V23</f>
        <v/>
      </c>
      <c r="W24" s="23">
        <f>$C24*Hypothèses!G$17*W23</f>
        <v/>
      </c>
      <c r="X24" s="23">
        <f>$C24*Hypothèses!H$17*X23</f>
        <v/>
      </c>
      <c r="Y24" s="23">
        <f>$C24*Hypothèses!I$17*Y23</f>
        <v/>
      </c>
      <c r="Z24" s="23">
        <f>$C24*Hypothèses!J$17*Z23</f>
        <v/>
      </c>
      <c r="AA24" s="23">
        <f>$C24*Hypothèses!K$17*AA23</f>
        <v/>
      </c>
      <c r="AB24" s="23">
        <f>$C24*Hypothèses!L$17*AB23</f>
        <v/>
      </c>
      <c r="AC24" s="23">
        <f>$C24*Hypothèses!M$17*AC23</f>
        <v/>
      </c>
      <c r="AD24" s="23">
        <f>$C24*Hypothèses!N$17*AD23</f>
        <v/>
      </c>
      <c r="AE24" s="23">
        <f>$C24*Hypothèses!C$17*AE23</f>
        <v/>
      </c>
      <c r="AF24" s="23">
        <f>$C24*Hypothèses!D$17*AF23</f>
        <v/>
      </c>
      <c r="AG24" s="23">
        <f>$C24*Hypothèses!E$17*AG23</f>
        <v/>
      </c>
      <c r="AH24" s="23">
        <f>$C24*Hypothèses!F$17*AH23</f>
        <v/>
      </c>
      <c r="AI24" s="23">
        <f>$C24*Hypothèses!G$17*AI23</f>
        <v/>
      </c>
      <c r="AJ24" s="23">
        <f>$C24*Hypothèses!H$17*AJ23</f>
        <v/>
      </c>
      <c r="AK24" s="23">
        <f>$C24*Hypothèses!I$17*AK23</f>
        <v/>
      </c>
      <c r="AL24" s="23">
        <f>$C24*Hypothèses!J$17*AL23</f>
        <v/>
      </c>
      <c r="AM24" s="23">
        <f>$C24*Hypothèses!K$17*AM23</f>
        <v/>
      </c>
      <c r="AN24" s="23">
        <f>$C24*Hypothèses!L$17*AN23</f>
        <v/>
      </c>
      <c r="AO24" s="23">
        <f>$C24*Hypothèses!M$17*AO23</f>
        <v/>
      </c>
      <c r="AP24" s="23">
        <f>$C24*Hypothèses!N$17*AP23</f>
        <v/>
      </c>
      <c r="AQ24" s="23">
        <f>SUM(G24:R24)</f>
        <v/>
      </c>
      <c r="AR24" s="23">
        <f>SUM(S24:AD24)</f>
        <v/>
      </c>
      <c r="AS24" s="23">
        <f>SUM(AE24:AP24)</f>
        <v/>
      </c>
      <c r="AT24" s="23">
        <f>SUM(AQ24:AS24)</f>
        <v/>
      </c>
    </row>
    <row r="25">
      <c r="A25" s="24" t="inlineStr">
        <is>
          <t>SOUS-TOTAL Énergie</t>
        </is>
      </c>
      <c r="C25" s="35" t="n"/>
      <c r="D25" s="35" t="n"/>
      <c r="E25" s="35" t="n"/>
      <c r="F25" s="35" t="n"/>
      <c r="G25" s="25">
        <f>G24</f>
        <v/>
      </c>
      <c r="H25" s="25">
        <f>H24</f>
        <v/>
      </c>
      <c r="I25" s="25">
        <f>I24</f>
        <v/>
      </c>
      <c r="J25" s="25">
        <f>J24</f>
        <v/>
      </c>
      <c r="K25" s="25">
        <f>K24</f>
        <v/>
      </c>
      <c r="L25" s="25">
        <f>L24</f>
        <v/>
      </c>
      <c r="M25" s="25">
        <f>M24</f>
        <v/>
      </c>
      <c r="N25" s="25">
        <f>N24</f>
        <v/>
      </c>
      <c r="O25" s="25">
        <f>O24</f>
        <v/>
      </c>
      <c r="P25" s="25">
        <f>P24</f>
        <v/>
      </c>
      <c r="Q25" s="25">
        <f>Q24</f>
        <v/>
      </c>
      <c r="R25" s="25">
        <f>R24</f>
        <v/>
      </c>
      <c r="S25" s="25">
        <f>S24</f>
        <v/>
      </c>
      <c r="T25" s="25">
        <f>T24</f>
        <v/>
      </c>
      <c r="U25" s="25">
        <f>U24</f>
        <v/>
      </c>
      <c r="V25" s="25">
        <f>V24</f>
        <v/>
      </c>
      <c r="W25" s="25">
        <f>W24</f>
        <v/>
      </c>
      <c r="X25" s="25">
        <f>X24</f>
        <v/>
      </c>
      <c r="Y25" s="25">
        <f>Y24</f>
        <v/>
      </c>
      <c r="Z25" s="25">
        <f>Z24</f>
        <v/>
      </c>
      <c r="AA25" s="25">
        <f>AA24</f>
        <v/>
      </c>
      <c r="AB25" s="25">
        <f>AB24</f>
        <v/>
      </c>
      <c r="AC25" s="25">
        <f>AC24</f>
        <v/>
      </c>
      <c r="AD25" s="25">
        <f>AD24</f>
        <v/>
      </c>
      <c r="AE25" s="25">
        <f>AE24</f>
        <v/>
      </c>
      <c r="AF25" s="25">
        <f>AF24</f>
        <v/>
      </c>
      <c r="AG25" s="25">
        <f>AG24</f>
        <v/>
      </c>
      <c r="AH25" s="25">
        <f>AH24</f>
        <v/>
      </c>
      <c r="AI25" s="25">
        <f>AI24</f>
        <v/>
      </c>
      <c r="AJ25" s="25">
        <f>AJ24</f>
        <v/>
      </c>
      <c r="AK25" s="25">
        <f>AK24</f>
        <v/>
      </c>
      <c r="AL25" s="25">
        <f>AL24</f>
        <v/>
      </c>
      <c r="AM25" s="25">
        <f>AM24</f>
        <v/>
      </c>
      <c r="AN25" s="25">
        <f>AN24</f>
        <v/>
      </c>
      <c r="AO25" s="25">
        <f>AO24</f>
        <v/>
      </c>
      <c r="AP25" s="25">
        <f>AP24</f>
        <v/>
      </c>
      <c r="AQ25" s="25">
        <f>SUM(G25:R25)</f>
        <v/>
      </c>
      <c r="AR25" s="25">
        <f>SUM(S25:AD25)</f>
        <v/>
      </c>
      <c r="AS25" s="25">
        <f>SUM(AE25:AP25)</f>
        <v/>
      </c>
      <c r="AT25" s="25">
        <f>SUM(AQ25:AS25)</f>
        <v/>
      </c>
    </row>
    <row r="26">
      <c r="A26" s="27" t="inlineStr">
        <is>
          <t>Charges fixes</t>
        </is>
      </c>
      <c r="B26" s="27" t="inlineStr">
        <is>
          <t>Loyer local / dépôt</t>
        </is>
      </c>
      <c r="C26" s="33" t="n">
        <v>1</v>
      </c>
      <c r="D26" s="27" t="inlineStr">
        <is>
          <t>forfait/mois</t>
        </is>
      </c>
      <c r="E26" s="9" t="n">
        <v>900</v>
      </c>
      <c r="F26" s="31" t="inlineStr">
        <is>
          <t>Estimé</t>
        </is>
      </c>
      <c r="G26" s="23">
        <f>$C26*$E26*(1+Hypothèses!$C$14)^0</f>
        <v/>
      </c>
      <c r="H26" s="23">
        <f>$C26*$E26*(1+Hypothèses!$C$14)^0</f>
        <v/>
      </c>
      <c r="I26" s="23">
        <f>$C26*$E26*(1+Hypothèses!$C$14)^0</f>
        <v/>
      </c>
      <c r="J26" s="23">
        <f>$C26*$E26*(1+Hypothèses!$C$14)^0</f>
        <v/>
      </c>
      <c r="K26" s="23">
        <f>$C26*$E26*(1+Hypothèses!$C$14)^0</f>
        <v/>
      </c>
      <c r="L26" s="23">
        <f>$C26*$E26*(1+Hypothèses!$C$14)^0</f>
        <v/>
      </c>
      <c r="M26" s="23">
        <f>$C26*$E26*(1+Hypothèses!$C$14)^0</f>
        <v/>
      </c>
      <c r="N26" s="23">
        <f>$C26*$E26*(1+Hypothèses!$C$14)^0</f>
        <v/>
      </c>
      <c r="O26" s="23">
        <f>$C26*$E26*(1+Hypothèses!$C$14)^0</f>
        <v/>
      </c>
      <c r="P26" s="23">
        <f>$C26*$E26*(1+Hypothèses!$C$14)^0</f>
        <v/>
      </c>
      <c r="Q26" s="23">
        <f>$C26*$E26*(1+Hypothèses!$C$14)^0</f>
        <v/>
      </c>
      <c r="R26" s="23">
        <f>$C26*$E26*(1+Hypothèses!$C$14)^0</f>
        <v/>
      </c>
      <c r="S26" s="23">
        <f>$C26*$E26*(1+Hypothèses!$C$14)^1</f>
        <v/>
      </c>
      <c r="T26" s="23">
        <f>$C26*$E26*(1+Hypothèses!$C$14)^1</f>
        <v/>
      </c>
      <c r="U26" s="23">
        <f>$C26*$E26*(1+Hypothèses!$C$14)^1</f>
        <v/>
      </c>
      <c r="V26" s="23">
        <f>$C26*$E26*(1+Hypothèses!$C$14)^1</f>
        <v/>
      </c>
      <c r="W26" s="23">
        <f>$C26*$E26*(1+Hypothèses!$C$14)^1</f>
        <v/>
      </c>
      <c r="X26" s="23">
        <f>$C26*$E26*(1+Hypothèses!$C$14)^1</f>
        <v/>
      </c>
      <c r="Y26" s="23">
        <f>$C26*$E26*(1+Hypothèses!$C$14)^1</f>
        <v/>
      </c>
      <c r="Z26" s="23">
        <f>$C26*$E26*(1+Hypothèses!$C$14)^1</f>
        <v/>
      </c>
      <c r="AA26" s="23">
        <f>$C26*$E26*(1+Hypothèses!$C$14)^1</f>
        <v/>
      </c>
      <c r="AB26" s="23">
        <f>$C26*$E26*(1+Hypothèses!$C$14)^1</f>
        <v/>
      </c>
      <c r="AC26" s="23">
        <f>$C26*$E26*(1+Hypothèses!$C$14)^1</f>
        <v/>
      </c>
      <c r="AD26" s="23">
        <f>$C26*$E26*(1+Hypothèses!$C$14)^1</f>
        <v/>
      </c>
      <c r="AE26" s="23">
        <f>$C26*$E26*(1+Hypothèses!$C$14)^2</f>
        <v/>
      </c>
      <c r="AF26" s="23">
        <f>$C26*$E26*(1+Hypothèses!$C$14)^2</f>
        <v/>
      </c>
      <c r="AG26" s="23">
        <f>$C26*$E26*(1+Hypothèses!$C$14)^2</f>
        <v/>
      </c>
      <c r="AH26" s="23">
        <f>$C26*$E26*(1+Hypothèses!$C$14)^2</f>
        <v/>
      </c>
      <c r="AI26" s="23">
        <f>$C26*$E26*(1+Hypothèses!$C$14)^2</f>
        <v/>
      </c>
      <c r="AJ26" s="23">
        <f>$C26*$E26*(1+Hypothèses!$C$14)^2</f>
        <v/>
      </c>
      <c r="AK26" s="23">
        <f>$C26*$E26*(1+Hypothèses!$C$14)^2</f>
        <v/>
      </c>
      <c r="AL26" s="23">
        <f>$C26*$E26*(1+Hypothèses!$C$14)^2</f>
        <v/>
      </c>
      <c r="AM26" s="23">
        <f>$C26*$E26*(1+Hypothèses!$C$14)^2</f>
        <v/>
      </c>
      <c r="AN26" s="23">
        <f>$C26*$E26*(1+Hypothèses!$C$14)^2</f>
        <v/>
      </c>
      <c r="AO26" s="23">
        <f>$C26*$E26*(1+Hypothèses!$C$14)^2</f>
        <v/>
      </c>
      <c r="AP26" s="23">
        <f>$C26*$E26*(1+Hypothèses!$C$14)^2</f>
        <v/>
      </c>
      <c r="AQ26" s="23">
        <f>SUM(G26:R26)</f>
        <v/>
      </c>
      <c r="AR26" s="23">
        <f>SUM(S26:AD26)</f>
        <v/>
      </c>
      <c r="AS26" s="23">
        <f>SUM(AE26:AP26)</f>
        <v/>
      </c>
      <c r="AT26" s="23">
        <f>SUM(AQ26:AS26)</f>
        <v/>
      </c>
    </row>
    <row r="27">
      <c r="A27" s="27" t="inlineStr">
        <is>
          <t>Charges fixes</t>
        </is>
      </c>
      <c r="B27" s="27" t="inlineStr">
        <is>
          <t>Assurance décennale</t>
        </is>
      </c>
      <c r="C27" s="33" t="n">
        <v>1</v>
      </c>
      <c r="D27" s="27" t="inlineStr">
        <is>
          <t>forfait/mois</t>
        </is>
      </c>
      <c r="E27" s="9" t="n">
        <v>550</v>
      </c>
      <c r="F27" s="31" t="inlineStr">
        <is>
          <t>Sourcé — exemple de prime ≈2 440€/an, ajusté à la baisse (artisan expérimenté, réduction -25%)</t>
        </is>
      </c>
      <c r="G27" s="23">
        <f>$C27*$E27*(1+Hypothèses!$C$14)^0</f>
        <v/>
      </c>
      <c r="H27" s="23">
        <f>$C27*$E27*(1+Hypothèses!$C$14)^0</f>
        <v/>
      </c>
      <c r="I27" s="23">
        <f>$C27*$E27*(1+Hypothèses!$C$14)^0</f>
        <v/>
      </c>
      <c r="J27" s="23">
        <f>$C27*$E27*(1+Hypothèses!$C$14)^0</f>
        <v/>
      </c>
      <c r="K27" s="23">
        <f>$C27*$E27*(1+Hypothèses!$C$14)^0</f>
        <v/>
      </c>
      <c r="L27" s="23">
        <f>$C27*$E27*(1+Hypothèses!$C$14)^0</f>
        <v/>
      </c>
      <c r="M27" s="23">
        <f>$C27*$E27*(1+Hypothèses!$C$14)^0</f>
        <v/>
      </c>
      <c r="N27" s="23">
        <f>$C27*$E27*(1+Hypothèses!$C$14)^0</f>
        <v/>
      </c>
      <c r="O27" s="23">
        <f>$C27*$E27*(1+Hypothèses!$C$14)^0</f>
        <v/>
      </c>
      <c r="P27" s="23">
        <f>$C27*$E27*(1+Hypothèses!$C$14)^0</f>
        <v/>
      </c>
      <c r="Q27" s="23">
        <f>$C27*$E27*(1+Hypothèses!$C$14)^0</f>
        <v/>
      </c>
      <c r="R27" s="23">
        <f>$C27*$E27*(1+Hypothèses!$C$14)^0</f>
        <v/>
      </c>
      <c r="S27" s="23">
        <f>$C27*$E27*(1+Hypothèses!$C$14)^1</f>
        <v/>
      </c>
      <c r="T27" s="23">
        <f>$C27*$E27*(1+Hypothèses!$C$14)^1</f>
        <v/>
      </c>
      <c r="U27" s="23">
        <f>$C27*$E27*(1+Hypothèses!$C$14)^1</f>
        <v/>
      </c>
      <c r="V27" s="23">
        <f>$C27*$E27*(1+Hypothèses!$C$14)^1</f>
        <v/>
      </c>
      <c r="W27" s="23">
        <f>$C27*$E27*(1+Hypothèses!$C$14)^1</f>
        <v/>
      </c>
      <c r="X27" s="23">
        <f>$C27*$E27*(1+Hypothèses!$C$14)^1</f>
        <v/>
      </c>
      <c r="Y27" s="23">
        <f>$C27*$E27*(1+Hypothèses!$C$14)^1</f>
        <v/>
      </c>
      <c r="Z27" s="23">
        <f>$C27*$E27*(1+Hypothèses!$C$14)^1</f>
        <v/>
      </c>
      <c r="AA27" s="23">
        <f>$C27*$E27*(1+Hypothèses!$C$14)^1</f>
        <v/>
      </c>
      <c r="AB27" s="23">
        <f>$C27*$E27*(1+Hypothèses!$C$14)^1</f>
        <v/>
      </c>
      <c r="AC27" s="23">
        <f>$C27*$E27*(1+Hypothèses!$C$14)^1</f>
        <v/>
      </c>
      <c r="AD27" s="23">
        <f>$C27*$E27*(1+Hypothèses!$C$14)^1</f>
        <v/>
      </c>
      <c r="AE27" s="23">
        <f>$C27*$E27*(1+Hypothèses!$C$14)^2</f>
        <v/>
      </c>
      <c r="AF27" s="23">
        <f>$C27*$E27*(1+Hypothèses!$C$14)^2</f>
        <v/>
      </c>
      <c r="AG27" s="23">
        <f>$C27*$E27*(1+Hypothèses!$C$14)^2</f>
        <v/>
      </c>
      <c r="AH27" s="23">
        <f>$C27*$E27*(1+Hypothèses!$C$14)^2</f>
        <v/>
      </c>
      <c r="AI27" s="23">
        <f>$C27*$E27*(1+Hypothèses!$C$14)^2</f>
        <v/>
      </c>
      <c r="AJ27" s="23">
        <f>$C27*$E27*(1+Hypothèses!$C$14)^2</f>
        <v/>
      </c>
      <c r="AK27" s="23">
        <f>$C27*$E27*(1+Hypothèses!$C$14)^2</f>
        <v/>
      </c>
      <c r="AL27" s="23">
        <f>$C27*$E27*(1+Hypothèses!$C$14)^2</f>
        <v/>
      </c>
      <c r="AM27" s="23">
        <f>$C27*$E27*(1+Hypothèses!$C$14)^2</f>
        <v/>
      </c>
      <c r="AN27" s="23">
        <f>$C27*$E27*(1+Hypothèses!$C$14)^2</f>
        <v/>
      </c>
      <c r="AO27" s="23">
        <f>$C27*$E27*(1+Hypothèses!$C$14)^2</f>
        <v/>
      </c>
      <c r="AP27" s="23">
        <f>$C27*$E27*(1+Hypothèses!$C$14)^2</f>
        <v/>
      </c>
      <c r="AQ27" s="23">
        <f>SUM(G27:R27)</f>
        <v/>
      </c>
      <c r="AR27" s="23">
        <f>SUM(S27:AD27)</f>
        <v/>
      </c>
      <c r="AS27" s="23">
        <f>SUM(AE27:AP27)</f>
        <v/>
      </c>
      <c r="AT27" s="23">
        <f>SUM(AQ27:AS27)</f>
        <v/>
      </c>
    </row>
    <row r="28">
      <c r="A28" s="27" t="inlineStr">
        <is>
          <t>Charges fixes</t>
        </is>
      </c>
      <c r="B28" s="27" t="inlineStr">
        <is>
          <t>Assurance RC professionnelle &amp; véhicule</t>
        </is>
      </c>
      <c r="C28" s="33" t="n">
        <v>1</v>
      </c>
      <c r="D28" s="27" t="inlineStr">
        <is>
          <t>forfait/mois</t>
        </is>
      </c>
      <c r="E28" s="9" t="n">
        <v>320</v>
      </c>
      <c r="F28" s="31" t="inlineStr">
        <is>
          <t>Estimé</t>
        </is>
      </c>
      <c r="G28" s="23">
        <f>$C28*$E28*(1+Hypothèses!$C$14)^0</f>
        <v/>
      </c>
      <c r="H28" s="23">
        <f>$C28*$E28*(1+Hypothèses!$C$14)^0</f>
        <v/>
      </c>
      <c r="I28" s="23">
        <f>$C28*$E28*(1+Hypothèses!$C$14)^0</f>
        <v/>
      </c>
      <c r="J28" s="23">
        <f>$C28*$E28*(1+Hypothèses!$C$14)^0</f>
        <v/>
      </c>
      <c r="K28" s="23">
        <f>$C28*$E28*(1+Hypothèses!$C$14)^0</f>
        <v/>
      </c>
      <c r="L28" s="23">
        <f>$C28*$E28*(1+Hypothèses!$C$14)^0</f>
        <v/>
      </c>
      <c r="M28" s="23">
        <f>$C28*$E28*(1+Hypothèses!$C$14)^0</f>
        <v/>
      </c>
      <c r="N28" s="23">
        <f>$C28*$E28*(1+Hypothèses!$C$14)^0</f>
        <v/>
      </c>
      <c r="O28" s="23">
        <f>$C28*$E28*(1+Hypothèses!$C$14)^0</f>
        <v/>
      </c>
      <c r="P28" s="23">
        <f>$C28*$E28*(1+Hypothèses!$C$14)^0</f>
        <v/>
      </c>
      <c r="Q28" s="23">
        <f>$C28*$E28*(1+Hypothèses!$C$14)^0</f>
        <v/>
      </c>
      <c r="R28" s="23">
        <f>$C28*$E28*(1+Hypothèses!$C$14)^0</f>
        <v/>
      </c>
      <c r="S28" s="23">
        <f>$C28*$E28*(1+Hypothèses!$C$14)^1</f>
        <v/>
      </c>
      <c r="T28" s="23">
        <f>$C28*$E28*(1+Hypothèses!$C$14)^1</f>
        <v/>
      </c>
      <c r="U28" s="23">
        <f>$C28*$E28*(1+Hypothèses!$C$14)^1</f>
        <v/>
      </c>
      <c r="V28" s="23">
        <f>$C28*$E28*(1+Hypothèses!$C$14)^1</f>
        <v/>
      </c>
      <c r="W28" s="23">
        <f>$C28*$E28*(1+Hypothèses!$C$14)^1</f>
        <v/>
      </c>
      <c r="X28" s="23">
        <f>$C28*$E28*(1+Hypothèses!$C$14)^1</f>
        <v/>
      </c>
      <c r="Y28" s="23">
        <f>$C28*$E28*(1+Hypothèses!$C$14)^1</f>
        <v/>
      </c>
      <c r="Z28" s="23">
        <f>$C28*$E28*(1+Hypothèses!$C$14)^1</f>
        <v/>
      </c>
      <c r="AA28" s="23">
        <f>$C28*$E28*(1+Hypothèses!$C$14)^1</f>
        <v/>
      </c>
      <c r="AB28" s="23">
        <f>$C28*$E28*(1+Hypothèses!$C$14)^1</f>
        <v/>
      </c>
      <c r="AC28" s="23">
        <f>$C28*$E28*(1+Hypothèses!$C$14)^1</f>
        <v/>
      </c>
      <c r="AD28" s="23">
        <f>$C28*$E28*(1+Hypothèses!$C$14)^1</f>
        <v/>
      </c>
      <c r="AE28" s="23">
        <f>$C28*$E28*(1+Hypothèses!$C$14)^2</f>
        <v/>
      </c>
      <c r="AF28" s="23">
        <f>$C28*$E28*(1+Hypothèses!$C$14)^2</f>
        <v/>
      </c>
      <c r="AG28" s="23">
        <f>$C28*$E28*(1+Hypothèses!$C$14)^2</f>
        <v/>
      </c>
      <c r="AH28" s="23">
        <f>$C28*$E28*(1+Hypothèses!$C$14)^2</f>
        <v/>
      </c>
      <c r="AI28" s="23">
        <f>$C28*$E28*(1+Hypothèses!$C$14)^2</f>
        <v/>
      </c>
      <c r="AJ28" s="23">
        <f>$C28*$E28*(1+Hypothèses!$C$14)^2</f>
        <v/>
      </c>
      <c r="AK28" s="23">
        <f>$C28*$E28*(1+Hypothèses!$C$14)^2</f>
        <v/>
      </c>
      <c r="AL28" s="23">
        <f>$C28*$E28*(1+Hypothèses!$C$14)^2</f>
        <v/>
      </c>
      <c r="AM28" s="23">
        <f>$C28*$E28*(1+Hypothèses!$C$14)^2</f>
        <v/>
      </c>
      <c r="AN28" s="23">
        <f>$C28*$E28*(1+Hypothèses!$C$14)^2</f>
        <v/>
      </c>
      <c r="AO28" s="23">
        <f>$C28*$E28*(1+Hypothèses!$C$14)^2</f>
        <v/>
      </c>
      <c r="AP28" s="23">
        <f>$C28*$E28*(1+Hypothèses!$C$14)^2</f>
        <v/>
      </c>
      <c r="AQ28" s="23">
        <f>SUM(G28:R28)</f>
        <v/>
      </c>
      <c r="AR28" s="23">
        <f>SUM(S28:AD28)</f>
        <v/>
      </c>
      <c r="AS28" s="23">
        <f>SUM(AE28:AP28)</f>
        <v/>
      </c>
      <c r="AT28" s="23">
        <f>SUM(AQ28:AS28)</f>
        <v/>
      </c>
    </row>
    <row r="29">
      <c r="A29" s="27" t="inlineStr">
        <is>
          <t>Charges fixes</t>
        </is>
      </c>
      <c r="B29" s="27" t="inlineStr">
        <is>
          <t>Honoraires comptable</t>
        </is>
      </c>
      <c r="C29" s="33" t="n">
        <v>1</v>
      </c>
      <c r="D29" s="27" t="inlineStr">
        <is>
          <t>forfait/mois</t>
        </is>
      </c>
      <c r="E29" s="9" t="n">
        <v>450</v>
      </c>
      <c r="F29" s="31" t="inlineStr">
        <is>
          <t>Estimé</t>
        </is>
      </c>
      <c r="G29" s="23">
        <f>$C29*$E29*(1+Hypothèses!$C$14)^0</f>
        <v/>
      </c>
      <c r="H29" s="23">
        <f>$C29*$E29*(1+Hypothèses!$C$14)^0</f>
        <v/>
      </c>
      <c r="I29" s="23">
        <f>$C29*$E29*(1+Hypothèses!$C$14)^0</f>
        <v/>
      </c>
      <c r="J29" s="23">
        <f>$C29*$E29*(1+Hypothèses!$C$14)^0</f>
        <v/>
      </c>
      <c r="K29" s="23">
        <f>$C29*$E29*(1+Hypothèses!$C$14)^0</f>
        <v/>
      </c>
      <c r="L29" s="23">
        <f>$C29*$E29*(1+Hypothèses!$C$14)^0</f>
        <v/>
      </c>
      <c r="M29" s="23">
        <f>$C29*$E29*(1+Hypothèses!$C$14)^0</f>
        <v/>
      </c>
      <c r="N29" s="23">
        <f>$C29*$E29*(1+Hypothèses!$C$14)^0</f>
        <v/>
      </c>
      <c r="O29" s="23">
        <f>$C29*$E29*(1+Hypothèses!$C$14)^0</f>
        <v/>
      </c>
      <c r="P29" s="23">
        <f>$C29*$E29*(1+Hypothèses!$C$14)^0</f>
        <v/>
      </c>
      <c r="Q29" s="23">
        <f>$C29*$E29*(1+Hypothèses!$C$14)^0</f>
        <v/>
      </c>
      <c r="R29" s="23">
        <f>$C29*$E29*(1+Hypothèses!$C$14)^0</f>
        <v/>
      </c>
      <c r="S29" s="23">
        <f>$C29*$E29*(1+Hypothèses!$C$14)^1</f>
        <v/>
      </c>
      <c r="T29" s="23">
        <f>$C29*$E29*(1+Hypothèses!$C$14)^1</f>
        <v/>
      </c>
      <c r="U29" s="23">
        <f>$C29*$E29*(1+Hypothèses!$C$14)^1</f>
        <v/>
      </c>
      <c r="V29" s="23">
        <f>$C29*$E29*(1+Hypothèses!$C$14)^1</f>
        <v/>
      </c>
      <c r="W29" s="23">
        <f>$C29*$E29*(1+Hypothèses!$C$14)^1</f>
        <v/>
      </c>
      <c r="X29" s="23">
        <f>$C29*$E29*(1+Hypothèses!$C$14)^1</f>
        <v/>
      </c>
      <c r="Y29" s="23">
        <f>$C29*$E29*(1+Hypothèses!$C$14)^1</f>
        <v/>
      </c>
      <c r="Z29" s="23">
        <f>$C29*$E29*(1+Hypothèses!$C$14)^1</f>
        <v/>
      </c>
      <c r="AA29" s="23">
        <f>$C29*$E29*(1+Hypothèses!$C$14)^1</f>
        <v/>
      </c>
      <c r="AB29" s="23">
        <f>$C29*$E29*(1+Hypothèses!$C$14)^1</f>
        <v/>
      </c>
      <c r="AC29" s="23">
        <f>$C29*$E29*(1+Hypothèses!$C$14)^1</f>
        <v/>
      </c>
      <c r="AD29" s="23">
        <f>$C29*$E29*(1+Hypothèses!$C$14)^1</f>
        <v/>
      </c>
      <c r="AE29" s="23">
        <f>$C29*$E29*(1+Hypothèses!$C$14)^2</f>
        <v/>
      </c>
      <c r="AF29" s="23">
        <f>$C29*$E29*(1+Hypothèses!$C$14)^2</f>
        <v/>
      </c>
      <c r="AG29" s="23">
        <f>$C29*$E29*(1+Hypothèses!$C$14)^2</f>
        <v/>
      </c>
      <c r="AH29" s="23">
        <f>$C29*$E29*(1+Hypothèses!$C$14)^2</f>
        <v/>
      </c>
      <c r="AI29" s="23">
        <f>$C29*$E29*(1+Hypothèses!$C$14)^2</f>
        <v/>
      </c>
      <c r="AJ29" s="23">
        <f>$C29*$E29*(1+Hypothèses!$C$14)^2</f>
        <v/>
      </c>
      <c r="AK29" s="23">
        <f>$C29*$E29*(1+Hypothèses!$C$14)^2</f>
        <v/>
      </c>
      <c r="AL29" s="23">
        <f>$C29*$E29*(1+Hypothèses!$C$14)^2</f>
        <v/>
      </c>
      <c r="AM29" s="23">
        <f>$C29*$E29*(1+Hypothèses!$C$14)^2</f>
        <v/>
      </c>
      <c r="AN29" s="23">
        <f>$C29*$E29*(1+Hypothèses!$C$14)^2</f>
        <v/>
      </c>
      <c r="AO29" s="23">
        <f>$C29*$E29*(1+Hypothèses!$C$14)^2</f>
        <v/>
      </c>
      <c r="AP29" s="23">
        <f>$C29*$E29*(1+Hypothèses!$C$14)^2</f>
        <v/>
      </c>
      <c r="AQ29" s="23">
        <f>SUM(G29:R29)</f>
        <v/>
      </c>
      <c r="AR29" s="23">
        <f>SUM(S29:AD29)</f>
        <v/>
      </c>
      <c r="AS29" s="23">
        <f>SUM(AE29:AP29)</f>
        <v/>
      </c>
      <c r="AT29" s="23">
        <f>SUM(AQ29:AS29)</f>
        <v/>
      </c>
    </row>
    <row r="30">
      <c r="A30" s="27" t="inlineStr">
        <is>
          <t>Charges fixes</t>
        </is>
      </c>
      <c r="B30" s="27" t="inlineStr">
        <is>
          <t>Téléphonie / logiciel devis-facturation</t>
        </is>
      </c>
      <c r="C30" s="33" t="n">
        <v>1</v>
      </c>
      <c r="D30" s="27" t="inlineStr">
        <is>
          <t>forfait/mois</t>
        </is>
      </c>
      <c r="E30" s="9" t="n">
        <v>90</v>
      </c>
      <c r="F30" s="31" t="inlineStr">
        <is>
          <t>Estimé</t>
        </is>
      </c>
      <c r="G30" s="23">
        <f>$C30*$E30*(1+Hypothèses!$C$14)^0</f>
        <v/>
      </c>
      <c r="H30" s="23">
        <f>$C30*$E30*(1+Hypothèses!$C$14)^0</f>
        <v/>
      </c>
      <c r="I30" s="23">
        <f>$C30*$E30*(1+Hypothèses!$C$14)^0</f>
        <v/>
      </c>
      <c r="J30" s="23">
        <f>$C30*$E30*(1+Hypothèses!$C$14)^0</f>
        <v/>
      </c>
      <c r="K30" s="23">
        <f>$C30*$E30*(1+Hypothèses!$C$14)^0</f>
        <v/>
      </c>
      <c r="L30" s="23">
        <f>$C30*$E30*(1+Hypothèses!$C$14)^0</f>
        <v/>
      </c>
      <c r="M30" s="23">
        <f>$C30*$E30*(1+Hypothèses!$C$14)^0</f>
        <v/>
      </c>
      <c r="N30" s="23">
        <f>$C30*$E30*(1+Hypothèses!$C$14)^0</f>
        <v/>
      </c>
      <c r="O30" s="23">
        <f>$C30*$E30*(1+Hypothèses!$C$14)^0</f>
        <v/>
      </c>
      <c r="P30" s="23">
        <f>$C30*$E30*(1+Hypothèses!$C$14)^0</f>
        <v/>
      </c>
      <c r="Q30" s="23">
        <f>$C30*$E30*(1+Hypothèses!$C$14)^0</f>
        <v/>
      </c>
      <c r="R30" s="23">
        <f>$C30*$E30*(1+Hypothèses!$C$14)^0</f>
        <v/>
      </c>
      <c r="S30" s="23">
        <f>$C30*$E30*(1+Hypothèses!$C$14)^1</f>
        <v/>
      </c>
      <c r="T30" s="23">
        <f>$C30*$E30*(1+Hypothèses!$C$14)^1</f>
        <v/>
      </c>
      <c r="U30" s="23">
        <f>$C30*$E30*(1+Hypothèses!$C$14)^1</f>
        <v/>
      </c>
      <c r="V30" s="23">
        <f>$C30*$E30*(1+Hypothèses!$C$14)^1</f>
        <v/>
      </c>
      <c r="W30" s="23">
        <f>$C30*$E30*(1+Hypothèses!$C$14)^1</f>
        <v/>
      </c>
      <c r="X30" s="23">
        <f>$C30*$E30*(1+Hypothèses!$C$14)^1</f>
        <v/>
      </c>
      <c r="Y30" s="23">
        <f>$C30*$E30*(1+Hypothèses!$C$14)^1</f>
        <v/>
      </c>
      <c r="Z30" s="23">
        <f>$C30*$E30*(1+Hypothèses!$C$14)^1</f>
        <v/>
      </c>
      <c r="AA30" s="23">
        <f>$C30*$E30*(1+Hypothèses!$C$14)^1</f>
        <v/>
      </c>
      <c r="AB30" s="23">
        <f>$C30*$E30*(1+Hypothèses!$C$14)^1</f>
        <v/>
      </c>
      <c r="AC30" s="23">
        <f>$C30*$E30*(1+Hypothèses!$C$14)^1</f>
        <v/>
      </c>
      <c r="AD30" s="23">
        <f>$C30*$E30*(1+Hypothèses!$C$14)^1</f>
        <v/>
      </c>
      <c r="AE30" s="23">
        <f>$C30*$E30*(1+Hypothèses!$C$14)^2</f>
        <v/>
      </c>
      <c r="AF30" s="23">
        <f>$C30*$E30*(1+Hypothèses!$C$14)^2</f>
        <v/>
      </c>
      <c r="AG30" s="23">
        <f>$C30*$E30*(1+Hypothèses!$C$14)^2</f>
        <v/>
      </c>
      <c r="AH30" s="23">
        <f>$C30*$E30*(1+Hypothèses!$C$14)^2</f>
        <v/>
      </c>
      <c r="AI30" s="23">
        <f>$C30*$E30*(1+Hypothèses!$C$14)^2</f>
        <v/>
      </c>
      <c r="AJ30" s="23">
        <f>$C30*$E30*(1+Hypothèses!$C$14)^2</f>
        <v/>
      </c>
      <c r="AK30" s="23">
        <f>$C30*$E30*(1+Hypothèses!$C$14)^2</f>
        <v/>
      </c>
      <c r="AL30" s="23">
        <f>$C30*$E30*(1+Hypothèses!$C$14)^2</f>
        <v/>
      </c>
      <c r="AM30" s="23">
        <f>$C30*$E30*(1+Hypothèses!$C$14)^2</f>
        <v/>
      </c>
      <c r="AN30" s="23">
        <f>$C30*$E30*(1+Hypothèses!$C$14)^2</f>
        <v/>
      </c>
      <c r="AO30" s="23">
        <f>$C30*$E30*(1+Hypothèses!$C$14)^2</f>
        <v/>
      </c>
      <c r="AP30" s="23">
        <f>$C30*$E30*(1+Hypothèses!$C$14)^2</f>
        <v/>
      </c>
      <c r="AQ30" s="23">
        <f>SUM(G30:R30)</f>
        <v/>
      </c>
      <c r="AR30" s="23">
        <f>SUM(S30:AD30)</f>
        <v/>
      </c>
      <c r="AS30" s="23">
        <f>SUM(AE30:AP30)</f>
        <v/>
      </c>
      <c r="AT30" s="23">
        <f>SUM(AQ30:AS30)</f>
        <v/>
      </c>
    </row>
    <row r="31">
      <c r="A31" s="27" t="inlineStr">
        <is>
          <t>Charges fixes</t>
        </is>
      </c>
      <c r="B31" s="27" t="inlineStr">
        <is>
          <t>Fournitures bureau &amp; équipements de protection (EPI)</t>
        </is>
      </c>
      <c r="C31" s="33" t="n">
        <v>1</v>
      </c>
      <c r="D31" s="27" t="inlineStr">
        <is>
          <t>forfait/mois</t>
        </is>
      </c>
      <c r="E31" s="9" t="n">
        <v>120</v>
      </c>
      <c r="F31" s="31" t="inlineStr">
        <is>
          <t>Estimé</t>
        </is>
      </c>
      <c r="G31" s="23">
        <f>$C31*$E31*(1+Hypothèses!$C$14)^0</f>
        <v/>
      </c>
      <c r="H31" s="23">
        <f>$C31*$E31*(1+Hypothèses!$C$14)^0</f>
        <v/>
      </c>
      <c r="I31" s="23">
        <f>$C31*$E31*(1+Hypothèses!$C$14)^0</f>
        <v/>
      </c>
      <c r="J31" s="23">
        <f>$C31*$E31*(1+Hypothèses!$C$14)^0</f>
        <v/>
      </c>
      <c r="K31" s="23">
        <f>$C31*$E31*(1+Hypothèses!$C$14)^0</f>
        <v/>
      </c>
      <c r="L31" s="23">
        <f>$C31*$E31*(1+Hypothèses!$C$14)^0</f>
        <v/>
      </c>
      <c r="M31" s="23">
        <f>$C31*$E31*(1+Hypothèses!$C$14)^0</f>
        <v/>
      </c>
      <c r="N31" s="23">
        <f>$C31*$E31*(1+Hypothèses!$C$14)^0</f>
        <v/>
      </c>
      <c r="O31" s="23">
        <f>$C31*$E31*(1+Hypothèses!$C$14)^0</f>
        <v/>
      </c>
      <c r="P31" s="23">
        <f>$C31*$E31*(1+Hypothèses!$C$14)^0</f>
        <v/>
      </c>
      <c r="Q31" s="23">
        <f>$C31*$E31*(1+Hypothèses!$C$14)^0</f>
        <v/>
      </c>
      <c r="R31" s="23">
        <f>$C31*$E31*(1+Hypothèses!$C$14)^0</f>
        <v/>
      </c>
      <c r="S31" s="23">
        <f>$C31*$E31*(1+Hypothèses!$C$14)^1</f>
        <v/>
      </c>
      <c r="T31" s="23">
        <f>$C31*$E31*(1+Hypothèses!$C$14)^1</f>
        <v/>
      </c>
      <c r="U31" s="23">
        <f>$C31*$E31*(1+Hypothèses!$C$14)^1</f>
        <v/>
      </c>
      <c r="V31" s="23">
        <f>$C31*$E31*(1+Hypothèses!$C$14)^1</f>
        <v/>
      </c>
      <c r="W31" s="23">
        <f>$C31*$E31*(1+Hypothèses!$C$14)^1</f>
        <v/>
      </c>
      <c r="X31" s="23">
        <f>$C31*$E31*(1+Hypothèses!$C$14)^1</f>
        <v/>
      </c>
      <c r="Y31" s="23">
        <f>$C31*$E31*(1+Hypothèses!$C$14)^1</f>
        <v/>
      </c>
      <c r="Z31" s="23">
        <f>$C31*$E31*(1+Hypothèses!$C$14)^1</f>
        <v/>
      </c>
      <c r="AA31" s="23">
        <f>$C31*$E31*(1+Hypothèses!$C$14)^1</f>
        <v/>
      </c>
      <c r="AB31" s="23">
        <f>$C31*$E31*(1+Hypothèses!$C$14)^1</f>
        <v/>
      </c>
      <c r="AC31" s="23">
        <f>$C31*$E31*(1+Hypothèses!$C$14)^1</f>
        <v/>
      </c>
      <c r="AD31" s="23">
        <f>$C31*$E31*(1+Hypothèses!$C$14)^1</f>
        <v/>
      </c>
      <c r="AE31" s="23">
        <f>$C31*$E31*(1+Hypothèses!$C$14)^2</f>
        <v/>
      </c>
      <c r="AF31" s="23">
        <f>$C31*$E31*(1+Hypothèses!$C$14)^2</f>
        <v/>
      </c>
      <c r="AG31" s="23">
        <f>$C31*$E31*(1+Hypothèses!$C$14)^2</f>
        <v/>
      </c>
      <c r="AH31" s="23">
        <f>$C31*$E31*(1+Hypothèses!$C$14)^2</f>
        <v/>
      </c>
      <c r="AI31" s="23">
        <f>$C31*$E31*(1+Hypothèses!$C$14)^2</f>
        <v/>
      </c>
      <c r="AJ31" s="23">
        <f>$C31*$E31*(1+Hypothèses!$C$14)^2</f>
        <v/>
      </c>
      <c r="AK31" s="23">
        <f>$C31*$E31*(1+Hypothèses!$C$14)^2</f>
        <v/>
      </c>
      <c r="AL31" s="23">
        <f>$C31*$E31*(1+Hypothèses!$C$14)^2</f>
        <v/>
      </c>
      <c r="AM31" s="23">
        <f>$C31*$E31*(1+Hypothèses!$C$14)^2</f>
        <v/>
      </c>
      <c r="AN31" s="23">
        <f>$C31*$E31*(1+Hypothèses!$C$14)^2</f>
        <v/>
      </c>
      <c r="AO31" s="23">
        <f>$C31*$E31*(1+Hypothèses!$C$14)^2</f>
        <v/>
      </c>
      <c r="AP31" s="23">
        <f>$C31*$E31*(1+Hypothèses!$C$14)^2</f>
        <v/>
      </c>
      <c r="AQ31" s="23">
        <f>SUM(G31:R31)</f>
        <v/>
      </c>
      <c r="AR31" s="23">
        <f>SUM(S31:AD31)</f>
        <v/>
      </c>
      <c r="AS31" s="23">
        <f>SUM(AE31:AP31)</f>
        <v/>
      </c>
      <c r="AT31" s="23">
        <f>SUM(AQ31:AS31)</f>
        <v/>
      </c>
    </row>
    <row r="32">
      <c r="A32" s="27" t="inlineStr">
        <is>
          <t>Charges fixes</t>
        </is>
      </c>
      <c r="B32" s="27" t="inlineStr">
        <is>
          <t>Frais bancaires</t>
        </is>
      </c>
      <c r="C32" s="33" t="n">
        <v>1</v>
      </c>
      <c r="D32" s="27" t="inlineStr">
        <is>
          <t>forfait/mois</t>
        </is>
      </c>
      <c r="E32" s="9" t="n">
        <v>100</v>
      </c>
      <c r="F32" s="31" t="inlineStr">
        <is>
          <t>Estimé</t>
        </is>
      </c>
      <c r="G32" s="23">
        <f>$C32*$E32*(1+Hypothèses!$C$14)^0</f>
        <v/>
      </c>
      <c r="H32" s="23">
        <f>$C32*$E32*(1+Hypothèses!$C$14)^0</f>
        <v/>
      </c>
      <c r="I32" s="23">
        <f>$C32*$E32*(1+Hypothèses!$C$14)^0</f>
        <v/>
      </c>
      <c r="J32" s="23">
        <f>$C32*$E32*(1+Hypothèses!$C$14)^0</f>
        <v/>
      </c>
      <c r="K32" s="23">
        <f>$C32*$E32*(1+Hypothèses!$C$14)^0</f>
        <v/>
      </c>
      <c r="L32" s="23">
        <f>$C32*$E32*(1+Hypothèses!$C$14)^0</f>
        <v/>
      </c>
      <c r="M32" s="23">
        <f>$C32*$E32*(1+Hypothèses!$C$14)^0</f>
        <v/>
      </c>
      <c r="N32" s="23">
        <f>$C32*$E32*(1+Hypothèses!$C$14)^0</f>
        <v/>
      </c>
      <c r="O32" s="23">
        <f>$C32*$E32*(1+Hypothèses!$C$14)^0</f>
        <v/>
      </c>
      <c r="P32" s="23">
        <f>$C32*$E32*(1+Hypothèses!$C$14)^0</f>
        <v/>
      </c>
      <c r="Q32" s="23">
        <f>$C32*$E32*(1+Hypothèses!$C$14)^0</f>
        <v/>
      </c>
      <c r="R32" s="23">
        <f>$C32*$E32*(1+Hypothèses!$C$14)^0</f>
        <v/>
      </c>
      <c r="S32" s="23">
        <f>$C32*$E32*(1+Hypothèses!$C$14)^1</f>
        <v/>
      </c>
      <c r="T32" s="23">
        <f>$C32*$E32*(1+Hypothèses!$C$14)^1</f>
        <v/>
      </c>
      <c r="U32" s="23">
        <f>$C32*$E32*(1+Hypothèses!$C$14)^1</f>
        <v/>
      </c>
      <c r="V32" s="23">
        <f>$C32*$E32*(1+Hypothèses!$C$14)^1</f>
        <v/>
      </c>
      <c r="W32" s="23">
        <f>$C32*$E32*(1+Hypothèses!$C$14)^1</f>
        <v/>
      </c>
      <c r="X32" s="23">
        <f>$C32*$E32*(1+Hypothèses!$C$14)^1</f>
        <v/>
      </c>
      <c r="Y32" s="23">
        <f>$C32*$E32*(1+Hypothèses!$C$14)^1</f>
        <v/>
      </c>
      <c r="Z32" s="23">
        <f>$C32*$E32*(1+Hypothèses!$C$14)^1</f>
        <v/>
      </c>
      <c r="AA32" s="23">
        <f>$C32*$E32*(1+Hypothèses!$C$14)^1</f>
        <v/>
      </c>
      <c r="AB32" s="23">
        <f>$C32*$E32*(1+Hypothèses!$C$14)^1</f>
        <v/>
      </c>
      <c r="AC32" s="23">
        <f>$C32*$E32*(1+Hypothèses!$C$14)^1</f>
        <v/>
      </c>
      <c r="AD32" s="23">
        <f>$C32*$E32*(1+Hypothèses!$C$14)^1</f>
        <v/>
      </c>
      <c r="AE32" s="23">
        <f>$C32*$E32*(1+Hypothèses!$C$14)^2</f>
        <v/>
      </c>
      <c r="AF32" s="23">
        <f>$C32*$E32*(1+Hypothèses!$C$14)^2</f>
        <v/>
      </c>
      <c r="AG32" s="23">
        <f>$C32*$E32*(1+Hypothèses!$C$14)^2</f>
        <v/>
      </c>
      <c r="AH32" s="23">
        <f>$C32*$E32*(1+Hypothèses!$C$14)^2</f>
        <v/>
      </c>
      <c r="AI32" s="23">
        <f>$C32*$E32*(1+Hypothèses!$C$14)^2</f>
        <v/>
      </c>
      <c r="AJ32" s="23">
        <f>$C32*$E32*(1+Hypothèses!$C$14)^2</f>
        <v/>
      </c>
      <c r="AK32" s="23">
        <f>$C32*$E32*(1+Hypothèses!$C$14)^2</f>
        <v/>
      </c>
      <c r="AL32" s="23">
        <f>$C32*$E32*(1+Hypothèses!$C$14)^2</f>
        <v/>
      </c>
      <c r="AM32" s="23">
        <f>$C32*$E32*(1+Hypothèses!$C$14)^2</f>
        <v/>
      </c>
      <c r="AN32" s="23">
        <f>$C32*$E32*(1+Hypothèses!$C$14)^2</f>
        <v/>
      </c>
      <c r="AO32" s="23">
        <f>$C32*$E32*(1+Hypothèses!$C$14)^2</f>
        <v/>
      </c>
      <c r="AP32" s="23">
        <f>$C32*$E32*(1+Hypothèses!$C$14)^2</f>
        <v/>
      </c>
      <c r="AQ32" s="23">
        <f>SUM(G32:R32)</f>
        <v/>
      </c>
      <c r="AR32" s="23">
        <f>SUM(S32:AD32)</f>
        <v/>
      </c>
      <c r="AS32" s="23">
        <f>SUM(AE32:AP32)</f>
        <v/>
      </c>
      <c r="AT32" s="23">
        <f>SUM(AQ32:AS32)</f>
        <v/>
      </c>
    </row>
    <row r="33">
      <c r="A33" s="27" t="inlineStr">
        <is>
          <t>Charges fixes</t>
        </is>
      </c>
      <c r="B33" s="27" t="inlineStr">
        <is>
          <t>Impôts &amp; taxes (CFE et autres)</t>
        </is>
      </c>
      <c r="C33" s="33" t="n">
        <v>1</v>
      </c>
      <c r="D33" s="27" t="inlineStr">
        <is>
          <t>forfait/mois</t>
        </is>
      </c>
      <c r="E33" s="9" t="n">
        <v>280</v>
      </c>
      <c r="F33" s="31" t="inlineStr">
        <is>
          <t>Estimé</t>
        </is>
      </c>
      <c r="G33" s="23">
        <f>$C33*$E33*(1+Hypothèses!$C$14)^0</f>
        <v/>
      </c>
      <c r="H33" s="23">
        <f>$C33*$E33*(1+Hypothèses!$C$14)^0</f>
        <v/>
      </c>
      <c r="I33" s="23">
        <f>$C33*$E33*(1+Hypothèses!$C$14)^0</f>
        <v/>
      </c>
      <c r="J33" s="23">
        <f>$C33*$E33*(1+Hypothèses!$C$14)^0</f>
        <v/>
      </c>
      <c r="K33" s="23">
        <f>$C33*$E33*(1+Hypothèses!$C$14)^0</f>
        <v/>
      </c>
      <c r="L33" s="23">
        <f>$C33*$E33*(1+Hypothèses!$C$14)^0</f>
        <v/>
      </c>
      <c r="M33" s="23">
        <f>$C33*$E33*(1+Hypothèses!$C$14)^0</f>
        <v/>
      </c>
      <c r="N33" s="23">
        <f>$C33*$E33*(1+Hypothèses!$C$14)^0</f>
        <v/>
      </c>
      <c r="O33" s="23">
        <f>$C33*$E33*(1+Hypothèses!$C$14)^0</f>
        <v/>
      </c>
      <c r="P33" s="23">
        <f>$C33*$E33*(1+Hypothèses!$C$14)^0</f>
        <v/>
      </c>
      <c r="Q33" s="23">
        <f>$C33*$E33*(1+Hypothèses!$C$14)^0</f>
        <v/>
      </c>
      <c r="R33" s="23">
        <f>$C33*$E33*(1+Hypothèses!$C$14)^0</f>
        <v/>
      </c>
      <c r="S33" s="23">
        <f>$C33*$E33*(1+Hypothèses!$C$14)^1</f>
        <v/>
      </c>
      <c r="T33" s="23">
        <f>$C33*$E33*(1+Hypothèses!$C$14)^1</f>
        <v/>
      </c>
      <c r="U33" s="23">
        <f>$C33*$E33*(1+Hypothèses!$C$14)^1</f>
        <v/>
      </c>
      <c r="V33" s="23">
        <f>$C33*$E33*(1+Hypothèses!$C$14)^1</f>
        <v/>
      </c>
      <c r="W33" s="23">
        <f>$C33*$E33*(1+Hypothèses!$C$14)^1</f>
        <v/>
      </c>
      <c r="X33" s="23">
        <f>$C33*$E33*(1+Hypothèses!$C$14)^1</f>
        <v/>
      </c>
      <c r="Y33" s="23">
        <f>$C33*$E33*(1+Hypothèses!$C$14)^1</f>
        <v/>
      </c>
      <c r="Z33" s="23">
        <f>$C33*$E33*(1+Hypothèses!$C$14)^1</f>
        <v/>
      </c>
      <c r="AA33" s="23">
        <f>$C33*$E33*(1+Hypothèses!$C$14)^1</f>
        <v/>
      </c>
      <c r="AB33" s="23">
        <f>$C33*$E33*(1+Hypothèses!$C$14)^1</f>
        <v/>
      </c>
      <c r="AC33" s="23">
        <f>$C33*$E33*(1+Hypothèses!$C$14)^1</f>
        <v/>
      </c>
      <c r="AD33" s="23">
        <f>$C33*$E33*(1+Hypothèses!$C$14)^1</f>
        <v/>
      </c>
      <c r="AE33" s="23">
        <f>$C33*$E33*(1+Hypothèses!$C$14)^2</f>
        <v/>
      </c>
      <c r="AF33" s="23">
        <f>$C33*$E33*(1+Hypothèses!$C$14)^2</f>
        <v/>
      </c>
      <c r="AG33" s="23">
        <f>$C33*$E33*(1+Hypothèses!$C$14)^2</f>
        <v/>
      </c>
      <c r="AH33" s="23">
        <f>$C33*$E33*(1+Hypothèses!$C$14)^2</f>
        <v/>
      </c>
      <c r="AI33" s="23">
        <f>$C33*$E33*(1+Hypothèses!$C$14)^2</f>
        <v/>
      </c>
      <c r="AJ33" s="23">
        <f>$C33*$E33*(1+Hypothèses!$C$14)^2</f>
        <v/>
      </c>
      <c r="AK33" s="23">
        <f>$C33*$E33*(1+Hypothèses!$C$14)^2</f>
        <v/>
      </c>
      <c r="AL33" s="23">
        <f>$C33*$E33*(1+Hypothèses!$C$14)^2</f>
        <v/>
      </c>
      <c r="AM33" s="23">
        <f>$C33*$E33*(1+Hypothèses!$C$14)^2</f>
        <v/>
      </c>
      <c r="AN33" s="23">
        <f>$C33*$E33*(1+Hypothèses!$C$14)^2</f>
        <v/>
      </c>
      <c r="AO33" s="23">
        <f>$C33*$E33*(1+Hypothèses!$C$14)^2</f>
        <v/>
      </c>
      <c r="AP33" s="23">
        <f>$C33*$E33*(1+Hypothèses!$C$14)^2</f>
        <v/>
      </c>
      <c r="AQ33" s="23">
        <f>SUM(G33:R33)</f>
        <v/>
      </c>
      <c r="AR33" s="23">
        <f>SUM(S33:AD33)</f>
        <v/>
      </c>
      <c r="AS33" s="23">
        <f>SUM(AE33:AP33)</f>
        <v/>
      </c>
      <c r="AT33" s="23">
        <f>SUM(AQ33:AS33)</f>
        <v/>
      </c>
    </row>
    <row r="34">
      <c r="A34" s="24" t="inlineStr">
        <is>
          <t>SOUS-TOTAL Charges fixes</t>
        </is>
      </c>
      <c r="C34" s="35" t="n"/>
      <c r="D34" s="35" t="n"/>
      <c r="E34" s="35" t="n"/>
      <c r="F34" s="35" t="n"/>
      <c r="G34" s="25">
        <f>G26+G27+G28+G29+G30+G31+G32+G33</f>
        <v/>
      </c>
      <c r="H34" s="25">
        <f>H26+H27+H28+H29+H30+H31+H32+H33</f>
        <v/>
      </c>
      <c r="I34" s="25">
        <f>I26+I27+I28+I29+I30+I31+I32+I33</f>
        <v/>
      </c>
      <c r="J34" s="25">
        <f>J26+J27+J28+J29+J30+J31+J32+J33</f>
        <v/>
      </c>
      <c r="K34" s="25">
        <f>K26+K27+K28+K29+K30+K31+K32+K33</f>
        <v/>
      </c>
      <c r="L34" s="25">
        <f>L26+L27+L28+L29+L30+L31+L32+L33</f>
        <v/>
      </c>
      <c r="M34" s="25">
        <f>M26+M27+M28+M29+M30+M31+M32+M33</f>
        <v/>
      </c>
      <c r="N34" s="25">
        <f>N26+N27+N28+N29+N30+N31+N32+N33</f>
        <v/>
      </c>
      <c r="O34" s="25">
        <f>O26+O27+O28+O29+O30+O31+O32+O33</f>
        <v/>
      </c>
      <c r="P34" s="25">
        <f>P26+P27+P28+P29+P30+P31+P32+P33</f>
        <v/>
      </c>
      <c r="Q34" s="25">
        <f>Q26+Q27+Q28+Q29+Q30+Q31+Q32+Q33</f>
        <v/>
      </c>
      <c r="R34" s="25">
        <f>R26+R27+R28+R29+R30+R31+R32+R33</f>
        <v/>
      </c>
      <c r="S34" s="25">
        <f>S26+S27+S28+S29+S30+S31+S32+S33</f>
        <v/>
      </c>
      <c r="T34" s="25">
        <f>T26+T27+T28+T29+T30+T31+T32+T33</f>
        <v/>
      </c>
      <c r="U34" s="25">
        <f>U26+U27+U28+U29+U30+U31+U32+U33</f>
        <v/>
      </c>
      <c r="V34" s="25">
        <f>V26+V27+V28+V29+V30+V31+V32+V33</f>
        <v/>
      </c>
      <c r="W34" s="25">
        <f>W26+W27+W28+W29+W30+W31+W32+W33</f>
        <v/>
      </c>
      <c r="X34" s="25">
        <f>X26+X27+X28+X29+X30+X31+X32+X33</f>
        <v/>
      </c>
      <c r="Y34" s="25">
        <f>Y26+Y27+Y28+Y29+Y30+Y31+Y32+Y33</f>
        <v/>
      </c>
      <c r="Z34" s="25">
        <f>Z26+Z27+Z28+Z29+Z30+Z31+Z32+Z33</f>
        <v/>
      </c>
      <c r="AA34" s="25">
        <f>AA26+AA27+AA28+AA29+AA30+AA31+AA32+AA33</f>
        <v/>
      </c>
      <c r="AB34" s="25">
        <f>AB26+AB27+AB28+AB29+AB30+AB31+AB32+AB33</f>
        <v/>
      </c>
      <c r="AC34" s="25">
        <f>AC26+AC27+AC28+AC29+AC30+AC31+AC32+AC33</f>
        <v/>
      </c>
      <c r="AD34" s="25">
        <f>AD26+AD27+AD28+AD29+AD30+AD31+AD32+AD33</f>
        <v/>
      </c>
      <c r="AE34" s="25">
        <f>AE26+AE27+AE28+AE29+AE30+AE31+AE32+AE33</f>
        <v/>
      </c>
      <c r="AF34" s="25">
        <f>AF26+AF27+AF28+AF29+AF30+AF31+AF32+AF33</f>
        <v/>
      </c>
      <c r="AG34" s="25">
        <f>AG26+AG27+AG28+AG29+AG30+AG31+AG32+AG33</f>
        <v/>
      </c>
      <c r="AH34" s="25">
        <f>AH26+AH27+AH28+AH29+AH30+AH31+AH32+AH33</f>
        <v/>
      </c>
      <c r="AI34" s="25">
        <f>AI26+AI27+AI28+AI29+AI30+AI31+AI32+AI33</f>
        <v/>
      </c>
      <c r="AJ34" s="25">
        <f>AJ26+AJ27+AJ28+AJ29+AJ30+AJ31+AJ32+AJ33</f>
        <v/>
      </c>
      <c r="AK34" s="25">
        <f>AK26+AK27+AK28+AK29+AK30+AK31+AK32+AK33</f>
        <v/>
      </c>
      <c r="AL34" s="25">
        <f>AL26+AL27+AL28+AL29+AL30+AL31+AL32+AL33</f>
        <v/>
      </c>
      <c r="AM34" s="25">
        <f>AM26+AM27+AM28+AM29+AM30+AM31+AM32+AM33</f>
        <v/>
      </c>
      <c r="AN34" s="25">
        <f>AN26+AN27+AN28+AN29+AN30+AN31+AN32+AN33</f>
        <v/>
      </c>
      <c r="AO34" s="25">
        <f>AO26+AO27+AO28+AO29+AO30+AO31+AO32+AO33</f>
        <v/>
      </c>
      <c r="AP34" s="25">
        <f>AP26+AP27+AP28+AP29+AP30+AP31+AP32+AP33</f>
        <v/>
      </c>
      <c r="AQ34" s="25">
        <f>SUM(G34:R34)</f>
        <v/>
      </c>
      <c r="AR34" s="25">
        <f>SUM(S34:AD34)</f>
        <v/>
      </c>
      <c r="AS34" s="25">
        <f>SUM(AE34:AP34)</f>
        <v/>
      </c>
      <c r="AT34" s="25">
        <f>SUM(AQ34:AS34)</f>
        <v/>
      </c>
    </row>
    <row r="35">
      <c r="A35" s="36" t="inlineStr">
        <is>
          <t>TOTAL GÉNÉRAL DÉPENSES</t>
        </is>
      </c>
      <c r="B35" s="37" t="n"/>
      <c r="C35" s="37" t="n"/>
      <c r="D35" s="37" t="n"/>
      <c r="E35" s="37" t="n"/>
      <c r="F35" s="37" t="n"/>
      <c r="G35" s="38">
        <f>G13+G17+G20+G22+G25+G34</f>
        <v/>
      </c>
      <c r="H35" s="38">
        <f>H13+H17+H20+H22+H25+H34</f>
        <v/>
      </c>
      <c r="I35" s="38">
        <f>I13+I17+I20+I22+I25+I34</f>
        <v/>
      </c>
      <c r="J35" s="38">
        <f>J13+J17+J20+J22+J25+J34</f>
        <v/>
      </c>
      <c r="K35" s="38">
        <f>K13+K17+K20+K22+K25+K34</f>
        <v/>
      </c>
      <c r="L35" s="38">
        <f>L13+L17+L20+L22+L25+L34</f>
        <v/>
      </c>
      <c r="M35" s="38">
        <f>M13+M17+M20+M22+M25+M34</f>
        <v/>
      </c>
      <c r="N35" s="38">
        <f>N13+N17+N20+N22+N25+N34</f>
        <v/>
      </c>
      <c r="O35" s="38">
        <f>O13+O17+O20+O22+O25+O34</f>
        <v/>
      </c>
      <c r="P35" s="38">
        <f>P13+P17+P20+P22+P25+P34</f>
        <v/>
      </c>
      <c r="Q35" s="38">
        <f>Q13+Q17+Q20+Q22+Q25+Q34</f>
        <v/>
      </c>
      <c r="R35" s="38">
        <f>R13+R17+R20+R22+R25+R34</f>
        <v/>
      </c>
      <c r="S35" s="38">
        <f>S13+S17+S20+S22+S25+S34</f>
        <v/>
      </c>
      <c r="T35" s="38">
        <f>T13+T17+T20+T22+T25+T34</f>
        <v/>
      </c>
      <c r="U35" s="38">
        <f>U13+U17+U20+U22+U25+U34</f>
        <v/>
      </c>
      <c r="V35" s="38">
        <f>V13+V17+V20+V22+V25+V34</f>
        <v/>
      </c>
      <c r="W35" s="38">
        <f>W13+W17+W20+W22+W25+W34</f>
        <v/>
      </c>
      <c r="X35" s="38">
        <f>X13+X17+X20+X22+X25+X34</f>
        <v/>
      </c>
      <c r="Y35" s="38">
        <f>Y13+Y17+Y20+Y22+Y25+Y34</f>
        <v/>
      </c>
      <c r="Z35" s="38">
        <f>Z13+Z17+Z20+Z22+Z25+Z34</f>
        <v/>
      </c>
      <c r="AA35" s="38">
        <f>AA13+AA17+AA20+AA22+AA25+AA34</f>
        <v/>
      </c>
      <c r="AB35" s="38">
        <f>AB13+AB17+AB20+AB22+AB25+AB34</f>
        <v/>
      </c>
      <c r="AC35" s="38">
        <f>AC13+AC17+AC20+AC22+AC25+AC34</f>
        <v/>
      </c>
      <c r="AD35" s="38">
        <f>AD13+AD17+AD20+AD22+AD25+AD34</f>
        <v/>
      </c>
      <c r="AE35" s="38">
        <f>AE13+AE17+AE20+AE22+AE25+AE34</f>
        <v/>
      </c>
      <c r="AF35" s="38">
        <f>AF13+AF17+AF20+AF22+AF25+AF34</f>
        <v/>
      </c>
      <c r="AG35" s="38">
        <f>AG13+AG17+AG20+AG22+AG25+AG34</f>
        <v/>
      </c>
      <c r="AH35" s="38">
        <f>AH13+AH17+AH20+AH22+AH25+AH34</f>
        <v/>
      </c>
      <c r="AI35" s="38">
        <f>AI13+AI17+AI20+AI22+AI25+AI34</f>
        <v/>
      </c>
      <c r="AJ35" s="38">
        <f>AJ13+AJ17+AJ20+AJ22+AJ25+AJ34</f>
        <v/>
      </c>
      <c r="AK35" s="38">
        <f>AK13+AK17+AK20+AK22+AK25+AK34</f>
        <v/>
      </c>
      <c r="AL35" s="38">
        <f>AL13+AL17+AL20+AL22+AL25+AL34</f>
        <v/>
      </c>
      <c r="AM35" s="38">
        <f>AM13+AM17+AM20+AM22+AM25+AM34</f>
        <v/>
      </c>
      <c r="AN35" s="38">
        <f>AN13+AN17+AN20+AN22+AN25+AN34</f>
        <v/>
      </c>
      <c r="AO35" s="38">
        <f>AO13+AO17+AO20+AO22+AO25+AO34</f>
        <v/>
      </c>
      <c r="AP35" s="38">
        <f>AP13+AP17+AP20+AP22+AP25+AP34</f>
        <v/>
      </c>
      <c r="AQ35" s="38">
        <f>SUM(G35:R35)</f>
        <v/>
      </c>
      <c r="AR35" s="38">
        <f>SUM(S35:AD35)</f>
        <v/>
      </c>
      <c r="AS35" s="38">
        <f>SUM(AE35:AP35)</f>
        <v/>
      </c>
      <c r="AT35" s="38">
        <f>SUM(AQ35:AS35)</f>
        <v/>
      </c>
    </row>
    <row r="36">
      <c r="A36" s="6" t="inlineStr">
        <is>
          <t>Total dépenses Année 1 / CA Année 1 (contrôle benchmark)</t>
        </is>
      </c>
      <c r="AQ36" s="39">
        <f>AQ35/AM9</f>
        <v/>
      </c>
    </row>
    <row r="37">
      <c r="A37" s="6" t="inlineStr">
        <is>
          <t>Marge brute « matériaux » seuls (CA − matériaux &amp; fournitures) / CA — Année 1</t>
        </is>
      </c>
      <c r="AQ37" s="39">
        <f>(Hypothèses!$C$4-AQ13)/Hypothèses!$C$4</f>
        <v/>
      </c>
    </row>
  </sheetData>
  <mergeCells count="5">
    <mergeCell ref="A2:F2"/>
    <mergeCell ref="AE3:AP3"/>
    <mergeCell ref="A1:F1"/>
    <mergeCell ref="S3:AD3"/>
    <mergeCell ref="G3:R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2" customHeight="1">
      <c r="A1" s="1" t="inlineStr">
        <is>
          <t>Plombier — Plan de trésorerie mensuel (3 ans)</t>
        </is>
      </c>
    </row>
    <row r="2" ht="16" customHeight="1">
      <c r="A2" s="2" t="inlineStr">
        <is>
          <t>Trésorerie début + encaissements − décaissements = trésorerie fin. Chaque poste reprend le détail mensuel de l'onglet Dépenses détaillées.</t>
        </is>
      </c>
    </row>
    <row r="3" ht="14" customHeight="1">
      <c r="C3" s="15" t="inlineStr">
        <is>
          <t>ANNÉE 1</t>
        </is>
      </c>
      <c r="O3" s="16" t="inlineStr">
        <is>
          <t>ANNÉE 2</t>
        </is>
      </c>
      <c r="AA3" s="17" t="inlineStr">
        <is>
          <t>ANNÉE 3</t>
        </is>
      </c>
    </row>
    <row r="4" ht="16" customHeight="1">
      <c r="A4" s="18" t="inlineStr">
        <is>
          <t>Mois</t>
        </is>
      </c>
      <c r="C4" s="20" t="inlineStr">
        <is>
          <t>Jan A1</t>
        </is>
      </c>
      <c r="D4" s="20" t="inlineStr">
        <is>
          <t>Fév A1</t>
        </is>
      </c>
      <c r="E4" s="20" t="inlineStr">
        <is>
          <t>Mar A1</t>
        </is>
      </c>
      <c r="F4" s="20" t="inlineStr">
        <is>
          <t>Avr A1</t>
        </is>
      </c>
      <c r="G4" s="20" t="inlineStr">
        <is>
          <t>Mai A1</t>
        </is>
      </c>
      <c r="H4" s="20" t="inlineStr">
        <is>
          <t>Jui A1</t>
        </is>
      </c>
      <c r="I4" s="20" t="inlineStr">
        <is>
          <t>Jui A1</t>
        </is>
      </c>
      <c r="J4" s="20" t="inlineStr">
        <is>
          <t>Aoû A1</t>
        </is>
      </c>
      <c r="K4" s="20" t="inlineStr">
        <is>
          <t>Sep A1</t>
        </is>
      </c>
      <c r="L4" s="20" t="inlineStr">
        <is>
          <t>Oct A1</t>
        </is>
      </c>
      <c r="M4" s="20" t="inlineStr">
        <is>
          <t>Nov A1</t>
        </is>
      </c>
      <c r="N4" s="20" t="inlineStr">
        <is>
          <t>Déc A1</t>
        </is>
      </c>
      <c r="O4" s="20" t="inlineStr">
        <is>
          <t>Jan A2</t>
        </is>
      </c>
      <c r="P4" s="20" t="inlineStr">
        <is>
          <t>Fév A2</t>
        </is>
      </c>
      <c r="Q4" s="20" t="inlineStr">
        <is>
          <t>Mar A2</t>
        </is>
      </c>
      <c r="R4" s="20" t="inlineStr">
        <is>
          <t>Avr A2</t>
        </is>
      </c>
      <c r="S4" s="20" t="inlineStr">
        <is>
          <t>Mai A2</t>
        </is>
      </c>
      <c r="T4" s="20" t="inlineStr">
        <is>
          <t>Jui A2</t>
        </is>
      </c>
      <c r="U4" s="20" t="inlineStr">
        <is>
          <t>Jui A2</t>
        </is>
      </c>
      <c r="V4" s="20" t="inlineStr">
        <is>
          <t>Aoû A2</t>
        </is>
      </c>
      <c r="W4" s="20" t="inlineStr">
        <is>
          <t>Sep A2</t>
        </is>
      </c>
      <c r="X4" s="20" t="inlineStr">
        <is>
          <t>Oct A2</t>
        </is>
      </c>
      <c r="Y4" s="20" t="inlineStr">
        <is>
          <t>Nov A2</t>
        </is>
      </c>
      <c r="Z4" s="20" t="inlineStr">
        <is>
          <t>Déc A2</t>
        </is>
      </c>
      <c r="AA4" s="20" t="inlineStr">
        <is>
          <t>Jan A3</t>
        </is>
      </c>
      <c r="AB4" s="20" t="inlineStr">
        <is>
          <t>Fév A3</t>
        </is>
      </c>
      <c r="AC4" s="20" t="inlineStr">
        <is>
          <t>Mar A3</t>
        </is>
      </c>
      <c r="AD4" s="20" t="inlineStr">
        <is>
          <t>Avr A3</t>
        </is>
      </c>
      <c r="AE4" s="20" t="inlineStr">
        <is>
          <t>Mai A3</t>
        </is>
      </c>
      <c r="AF4" s="20" t="inlineStr">
        <is>
          <t>Jui A3</t>
        </is>
      </c>
      <c r="AG4" s="20" t="inlineStr">
        <is>
          <t>Jui A3</t>
        </is>
      </c>
      <c r="AH4" s="20" t="inlineStr">
        <is>
          <t>Aoû A3</t>
        </is>
      </c>
      <c r="AI4" s="20" t="inlineStr">
        <is>
          <t>Sep A3</t>
        </is>
      </c>
      <c r="AJ4" s="20" t="inlineStr">
        <is>
          <t>Oct A3</t>
        </is>
      </c>
      <c r="AK4" s="20" t="inlineStr">
        <is>
          <t>Nov A3</t>
        </is>
      </c>
      <c r="AL4" s="20" t="inlineStr">
        <is>
          <t>Déc A3</t>
        </is>
      </c>
      <c r="AM4" s="21" t="inlineStr">
        <is>
          <t>Total A1</t>
        </is>
      </c>
      <c r="AN4" s="21" t="inlineStr">
        <is>
          <t>Total A2</t>
        </is>
      </c>
      <c r="AO4" s="21" t="inlineStr">
        <is>
          <t>Total A3</t>
        </is>
      </c>
      <c r="AP4" s="21" t="inlineStr">
        <is>
          <t>Total 3 ans</t>
        </is>
      </c>
    </row>
    <row r="5">
      <c r="A5" s="40" t="inlineStr">
        <is>
          <t>Trésorerie en début de mois</t>
        </is>
      </c>
      <c r="C5" s="22">
        <f>Hypothèses!$C$7</f>
        <v/>
      </c>
      <c r="D5" s="23">
        <f>C19</f>
        <v/>
      </c>
      <c r="E5" s="23">
        <f>D19</f>
        <v/>
      </c>
      <c r="F5" s="23">
        <f>E19</f>
        <v/>
      </c>
      <c r="G5" s="23">
        <f>F19</f>
        <v/>
      </c>
      <c r="H5" s="23">
        <f>G19</f>
        <v/>
      </c>
      <c r="I5" s="23">
        <f>H19</f>
        <v/>
      </c>
      <c r="J5" s="23">
        <f>I19</f>
        <v/>
      </c>
      <c r="K5" s="23">
        <f>J19</f>
        <v/>
      </c>
      <c r="L5" s="23">
        <f>K19</f>
        <v/>
      </c>
      <c r="M5" s="23">
        <f>L19</f>
        <v/>
      </c>
      <c r="N5" s="23">
        <f>M19</f>
        <v/>
      </c>
      <c r="O5" s="23">
        <f>N19</f>
        <v/>
      </c>
      <c r="P5" s="23">
        <f>O19</f>
        <v/>
      </c>
      <c r="Q5" s="23">
        <f>P19</f>
        <v/>
      </c>
      <c r="R5" s="23">
        <f>Q19</f>
        <v/>
      </c>
      <c r="S5" s="23">
        <f>R19</f>
        <v/>
      </c>
      <c r="T5" s="23">
        <f>S19</f>
        <v/>
      </c>
      <c r="U5" s="23">
        <f>T19</f>
        <v/>
      </c>
      <c r="V5" s="23">
        <f>U19</f>
        <v/>
      </c>
      <c r="W5" s="23">
        <f>V19</f>
        <v/>
      </c>
      <c r="X5" s="23">
        <f>W19</f>
        <v/>
      </c>
      <c r="Y5" s="23">
        <f>X19</f>
        <v/>
      </c>
      <c r="Z5" s="23">
        <f>Y19</f>
        <v/>
      </c>
      <c r="AA5" s="23">
        <f>Z19</f>
        <v/>
      </c>
      <c r="AB5" s="23">
        <f>AA19</f>
        <v/>
      </c>
      <c r="AC5" s="23">
        <f>AB19</f>
        <v/>
      </c>
      <c r="AD5" s="23">
        <f>AC19</f>
        <v/>
      </c>
      <c r="AE5" s="23">
        <f>AD19</f>
        <v/>
      </c>
      <c r="AF5" s="23">
        <f>AE19</f>
        <v/>
      </c>
      <c r="AG5" s="23">
        <f>AF19</f>
        <v/>
      </c>
      <c r="AH5" s="23">
        <f>AG19</f>
        <v/>
      </c>
      <c r="AI5" s="23">
        <f>AH19</f>
        <v/>
      </c>
      <c r="AJ5" s="23">
        <f>AI19</f>
        <v/>
      </c>
      <c r="AK5" s="23">
        <f>AJ19</f>
        <v/>
      </c>
      <c r="AL5" s="23">
        <f>AK19</f>
        <v/>
      </c>
    </row>
    <row r="6">
      <c r="A6" s="41" t="inlineStr">
        <is>
          <t>ENCAISSEMENTS</t>
        </is>
      </c>
    </row>
    <row r="7">
      <c r="A7" s="3" t="inlineStr">
        <is>
          <t>Encaissements clients (CA TTC, paiement à la prestation)</t>
        </is>
      </c>
      <c r="C7" s="22">
        <f>Revenus!C12*Hypothèses!$C$10</f>
        <v/>
      </c>
      <c r="D7" s="22">
        <f>Revenus!D12*Hypothèses!$C$10</f>
        <v/>
      </c>
      <c r="E7" s="22">
        <f>Revenus!E12*Hypothèses!$C$10</f>
        <v/>
      </c>
      <c r="F7" s="22">
        <f>Revenus!F12*Hypothèses!$C$10</f>
        <v/>
      </c>
      <c r="G7" s="22">
        <f>Revenus!G12*Hypothèses!$C$10</f>
        <v/>
      </c>
      <c r="H7" s="22">
        <f>Revenus!H12*Hypothèses!$C$10</f>
        <v/>
      </c>
      <c r="I7" s="22">
        <f>Revenus!I12*Hypothèses!$C$10</f>
        <v/>
      </c>
      <c r="J7" s="22">
        <f>Revenus!J12*Hypothèses!$C$10</f>
        <v/>
      </c>
      <c r="K7" s="22">
        <f>Revenus!K12*Hypothèses!$C$10</f>
        <v/>
      </c>
      <c r="L7" s="22">
        <f>Revenus!L12*Hypothèses!$C$10</f>
        <v/>
      </c>
      <c r="M7" s="22">
        <f>Revenus!M12*Hypothèses!$C$10</f>
        <v/>
      </c>
      <c r="N7" s="22">
        <f>Revenus!N12*Hypothèses!$C$10</f>
        <v/>
      </c>
      <c r="O7" s="22">
        <f>Revenus!O12*Hypothèses!$C$10</f>
        <v/>
      </c>
      <c r="P7" s="22">
        <f>Revenus!P12*Hypothèses!$C$10</f>
        <v/>
      </c>
      <c r="Q7" s="22">
        <f>Revenus!Q12*Hypothèses!$C$10</f>
        <v/>
      </c>
      <c r="R7" s="22">
        <f>Revenus!R12*Hypothèses!$C$10</f>
        <v/>
      </c>
      <c r="S7" s="22">
        <f>Revenus!S12*Hypothèses!$C$10</f>
        <v/>
      </c>
      <c r="T7" s="22">
        <f>Revenus!T12*Hypothèses!$C$10</f>
        <v/>
      </c>
      <c r="U7" s="22">
        <f>Revenus!U12*Hypothèses!$C$10</f>
        <v/>
      </c>
      <c r="V7" s="22">
        <f>Revenus!V12*Hypothèses!$C$10</f>
        <v/>
      </c>
      <c r="W7" s="22">
        <f>Revenus!W12*Hypothèses!$C$10</f>
        <v/>
      </c>
      <c r="X7" s="22">
        <f>Revenus!X12*Hypothèses!$C$10</f>
        <v/>
      </c>
      <c r="Y7" s="22">
        <f>Revenus!Y12*Hypothèses!$C$10</f>
        <v/>
      </c>
      <c r="Z7" s="22">
        <f>Revenus!Z12*Hypothèses!$C$10</f>
        <v/>
      </c>
      <c r="AA7" s="22">
        <f>Revenus!AA12*Hypothèses!$C$10</f>
        <v/>
      </c>
      <c r="AB7" s="22">
        <f>Revenus!AB12*Hypothèses!$C$10</f>
        <v/>
      </c>
      <c r="AC7" s="22">
        <f>Revenus!AC12*Hypothèses!$C$10</f>
        <v/>
      </c>
      <c r="AD7" s="22">
        <f>Revenus!AD12*Hypothèses!$C$10</f>
        <v/>
      </c>
      <c r="AE7" s="22">
        <f>Revenus!AE12*Hypothèses!$C$10</f>
        <v/>
      </c>
      <c r="AF7" s="22">
        <f>Revenus!AF12*Hypothèses!$C$10</f>
        <v/>
      </c>
      <c r="AG7" s="22">
        <f>Revenus!AG12*Hypothèses!$C$10</f>
        <v/>
      </c>
      <c r="AH7" s="22">
        <f>Revenus!AH12*Hypothèses!$C$10</f>
        <v/>
      </c>
      <c r="AI7" s="22">
        <f>Revenus!AI12*Hypothèses!$C$10</f>
        <v/>
      </c>
      <c r="AJ7" s="22">
        <f>Revenus!AJ12*Hypothèses!$C$10</f>
        <v/>
      </c>
      <c r="AK7" s="22">
        <f>Revenus!AK12*Hypothèses!$C$10</f>
        <v/>
      </c>
      <c r="AL7" s="22">
        <f>Revenus!AL12*Hypothèses!$C$10</f>
        <v/>
      </c>
      <c r="AM7" s="23">
        <f>SUM(C7:N7)</f>
        <v/>
      </c>
      <c r="AN7" s="23">
        <f>SUM(O7:Z7)</f>
        <v/>
      </c>
      <c r="AO7" s="23">
        <f>SUM(AA7:AL7)</f>
        <v/>
      </c>
      <c r="AP7" s="23">
        <f>SUM(AM7:AO7)</f>
        <v/>
      </c>
    </row>
    <row r="8">
      <c r="A8" s="24" t="inlineStr">
        <is>
          <t>TOTAL ENCAISSEMENTS</t>
        </is>
      </c>
      <c r="C8" s="25">
        <f>C7</f>
        <v/>
      </c>
      <c r="D8" s="25">
        <f>D7</f>
        <v/>
      </c>
      <c r="E8" s="25">
        <f>E7</f>
        <v/>
      </c>
      <c r="F8" s="25">
        <f>F7</f>
        <v/>
      </c>
      <c r="G8" s="25">
        <f>G7</f>
        <v/>
      </c>
      <c r="H8" s="25">
        <f>H7</f>
        <v/>
      </c>
      <c r="I8" s="25">
        <f>I7</f>
        <v/>
      </c>
      <c r="J8" s="25">
        <f>J7</f>
        <v/>
      </c>
      <c r="K8" s="25">
        <f>K7</f>
        <v/>
      </c>
      <c r="L8" s="25">
        <f>L7</f>
        <v/>
      </c>
      <c r="M8" s="25">
        <f>M7</f>
        <v/>
      </c>
      <c r="N8" s="25">
        <f>N7</f>
        <v/>
      </c>
      <c r="O8" s="25">
        <f>O7</f>
        <v/>
      </c>
      <c r="P8" s="25">
        <f>P7</f>
        <v/>
      </c>
      <c r="Q8" s="25">
        <f>Q7</f>
        <v/>
      </c>
      <c r="R8" s="25">
        <f>R7</f>
        <v/>
      </c>
      <c r="S8" s="25">
        <f>S7</f>
        <v/>
      </c>
      <c r="T8" s="25">
        <f>T7</f>
        <v/>
      </c>
      <c r="U8" s="25">
        <f>U7</f>
        <v/>
      </c>
      <c r="V8" s="25">
        <f>V7</f>
        <v/>
      </c>
      <c r="W8" s="25">
        <f>W7</f>
        <v/>
      </c>
      <c r="X8" s="25">
        <f>X7</f>
        <v/>
      </c>
      <c r="Y8" s="25">
        <f>Y7</f>
        <v/>
      </c>
      <c r="Z8" s="25">
        <f>Z7</f>
        <v/>
      </c>
      <c r="AA8" s="25">
        <f>AA7</f>
        <v/>
      </c>
      <c r="AB8" s="25">
        <f>AB7</f>
        <v/>
      </c>
      <c r="AC8" s="25">
        <f>AC7</f>
        <v/>
      </c>
      <c r="AD8" s="25">
        <f>AD7</f>
        <v/>
      </c>
      <c r="AE8" s="25">
        <f>AE7</f>
        <v/>
      </c>
      <c r="AF8" s="25">
        <f>AF7</f>
        <v/>
      </c>
      <c r="AG8" s="25">
        <f>AG7</f>
        <v/>
      </c>
      <c r="AH8" s="25">
        <f>AH7</f>
        <v/>
      </c>
      <c r="AI8" s="25">
        <f>AI7</f>
        <v/>
      </c>
      <c r="AJ8" s="25">
        <f>AJ7</f>
        <v/>
      </c>
      <c r="AK8" s="25">
        <f>AK7</f>
        <v/>
      </c>
      <c r="AL8" s="25">
        <f>AL7</f>
        <v/>
      </c>
      <c r="AM8" s="25">
        <f>SUM(C8:N8)</f>
        <v/>
      </c>
      <c r="AN8" s="25">
        <f>SUM(O8:Z8)</f>
        <v/>
      </c>
      <c r="AO8" s="25">
        <f>SUM(AA8:AL8)</f>
        <v/>
      </c>
      <c r="AP8" s="25">
        <f>SUM(AM8:AO8)</f>
        <v/>
      </c>
    </row>
    <row r="9">
      <c r="A9" s="41" t="inlineStr">
        <is>
          <t>DÉCAISSEMENTS</t>
        </is>
      </c>
    </row>
    <row r="10">
      <c r="A10" s="3" t="inlineStr">
        <is>
          <t>Matériaux &amp; fournitures (détail mensuel — onglet Dépenses)</t>
        </is>
      </c>
      <c r="C10" s="22">
        <f>'Dépenses détaillées'!G13</f>
        <v/>
      </c>
      <c r="D10" s="22">
        <f>'Dépenses détaillées'!H13</f>
        <v/>
      </c>
      <c r="E10" s="22">
        <f>'Dépenses détaillées'!I13</f>
        <v/>
      </c>
      <c r="F10" s="22">
        <f>'Dépenses détaillées'!J13</f>
        <v/>
      </c>
      <c r="G10" s="22">
        <f>'Dépenses détaillées'!K13</f>
        <v/>
      </c>
      <c r="H10" s="22">
        <f>'Dépenses détaillées'!L13</f>
        <v/>
      </c>
      <c r="I10" s="22">
        <f>'Dépenses détaillées'!M13</f>
        <v/>
      </c>
      <c r="J10" s="22">
        <f>'Dépenses détaillées'!N13</f>
        <v/>
      </c>
      <c r="K10" s="22">
        <f>'Dépenses détaillées'!O13</f>
        <v/>
      </c>
      <c r="L10" s="22">
        <f>'Dépenses détaillées'!P13</f>
        <v/>
      </c>
      <c r="M10" s="22">
        <f>'Dépenses détaillées'!Q13</f>
        <v/>
      </c>
      <c r="N10" s="22">
        <f>'Dépenses détaillées'!R13</f>
        <v/>
      </c>
      <c r="O10" s="22">
        <f>'Dépenses détaillées'!S13</f>
        <v/>
      </c>
      <c r="P10" s="22">
        <f>'Dépenses détaillées'!T13</f>
        <v/>
      </c>
      <c r="Q10" s="22">
        <f>'Dépenses détaillées'!U13</f>
        <v/>
      </c>
      <c r="R10" s="22">
        <f>'Dépenses détaillées'!V13</f>
        <v/>
      </c>
      <c r="S10" s="22">
        <f>'Dépenses détaillées'!W13</f>
        <v/>
      </c>
      <c r="T10" s="22">
        <f>'Dépenses détaillées'!X13</f>
        <v/>
      </c>
      <c r="U10" s="22">
        <f>'Dépenses détaillées'!Y13</f>
        <v/>
      </c>
      <c r="V10" s="22">
        <f>'Dépenses détaillées'!Z13</f>
        <v/>
      </c>
      <c r="W10" s="22">
        <f>'Dépenses détaillées'!AA13</f>
        <v/>
      </c>
      <c r="X10" s="22">
        <f>'Dépenses détaillées'!AB13</f>
        <v/>
      </c>
      <c r="Y10" s="22">
        <f>'Dépenses détaillées'!AC13</f>
        <v/>
      </c>
      <c r="Z10" s="22">
        <f>'Dépenses détaillées'!AD13</f>
        <v/>
      </c>
      <c r="AA10" s="22">
        <f>'Dépenses détaillées'!AE13</f>
        <v/>
      </c>
      <c r="AB10" s="22">
        <f>'Dépenses détaillées'!AF13</f>
        <v/>
      </c>
      <c r="AC10" s="22">
        <f>'Dépenses détaillées'!AG13</f>
        <v/>
      </c>
      <c r="AD10" s="22">
        <f>'Dépenses détaillées'!AH13</f>
        <v/>
      </c>
      <c r="AE10" s="22">
        <f>'Dépenses détaillées'!AI13</f>
        <v/>
      </c>
      <c r="AF10" s="22">
        <f>'Dépenses détaillées'!AJ13</f>
        <v/>
      </c>
      <c r="AG10" s="22">
        <f>'Dépenses détaillées'!AK13</f>
        <v/>
      </c>
      <c r="AH10" s="22">
        <f>'Dépenses détaillées'!AL13</f>
        <v/>
      </c>
      <c r="AI10" s="22">
        <f>'Dépenses détaillées'!AM13</f>
        <v/>
      </c>
      <c r="AJ10" s="22">
        <f>'Dépenses détaillées'!AN13</f>
        <v/>
      </c>
      <c r="AK10" s="22">
        <f>'Dépenses détaillées'!AO13</f>
        <v/>
      </c>
      <c r="AL10" s="22">
        <f>'Dépenses détaillées'!AP13</f>
        <v/>
      </c>
      <c r="AM10" s="23">
        <f>SUM(C10:N10)</f>
        <v/>
      </c>
      <c r="AN10" s="23">
        <f>SUM(O10:Z10)</f>
        <v/>
      </c>
      <c r="AO10" s="23">
        <f>SUM(AA10:AL10)</f>
        <v/>
      </c>
      <c r="AP10" s="23">
        <f>SUM(AM10:AO10)</f>
        <v/>
      </c>
    </row>
    <row r="11">
      <c r="A11" s="3" t="inlineStr">
        <is>
          <t>Carburant &amp; véhicule (détail mensuel — onglet Dépenses)</t>
        </is>
      </c>
      <c r="C11" s="22">
        <f>'Dépenses détaillées'!G17</f>
        <v/>
      </c>
      <c r="D11" s="22">
        <f>'Dépenses détaillées'!H17</f>
        <v/>
      </c>
      <c r="E11" s="22">
        <f>'Dépenses détaillées'!I17</f>
        <v/>
      </c>
      <c r="F11" s="22">
        <f>'Dépenses détaillées'!J17</f>
        <v/>
      </c>
      <c r="G11" s="22">
        <f>'Dépenses détaillées'!K17</f>
        <v/>
      </c>
      <c r="H11" s="22">
        <f>'Dépenses détaillées'!L17</f>
        <v/>
      </c>
      <c r="I11" s="22">
        <f>'Dépenses détaillées'!M17</f>
        <v/>
      </c>
      <c r="J11" s="22">
        <f>'Dépenses détaillées'!N17</f>
        <v/>
      </c>
      <c r="K11" s="22">
        <f>'Dépenses détaillées'!O17</f>
        <v/>
      </c>
      <c r="L11" s="22">
        <f>'Dépenses détaillées'!P17</f>
        <v/>
      </c>
      <c r="M11" s="22">
        <f>'Dépenses détaillées'!Q17</f>
        <v/>
      </c>
      <c r="N11" s="22">
        <f>'Dépenses détaillées'!R17</f>
        <v/>
      </c>
      <c r="O11" s="22">
        <f>'Dépenses détaillées'!S17</f>
        <v/>
      </c>
      <c r="P11" s="22">
        <f>'Dépenses détaillées'!T17</f>
        <v/>
      </c>
      <c r="Q11" s="22">
        <f>'Dépenses détaillées'!U17</f>
        <v/>
      </c>
      <c r="R11" s="22">
        <f>'Dépenses détaillées'!V17</f>
        <v/>
      </c>
      <c r="S11" s="22">
        <f>'Dépenses détaillées'!W17</f>
        <v/>
      </c>
      <c r="T11" s="22">
        <f>'Dépenses détaillées'!X17</f>
        <v/>
      </c>
      <c r="U11" s="22">
        <f>'Dépenses détaillées'!Y17</f>
        <v/>
      </c>
      <c r="V11" s="22">
        <f>'Dépenses détaillées'!Z17</f>
        <v/>
      </c>
      <c r="W11" s="22">
        <f>'Dépenses détaillées'!AA17</f>
        <v/>
      </c>
      <c r="X11" s="22">
        <f>'Dépenses détaillées'!AB17</f>
        <v/>
      </c>
      <c r="Y11" s="22">
        <f>'Dépenses détaillées'!AC17</f>
        <v/>
      </c>
      <c r="Z11" s="22">
        <f>'Dépenses détaillées'!AD17</f>
        <v/>
      </c>
      <c r="AA11" s="22">
        <f>'Dépenses détaillées'!AE17</f>
        <v/>
      </c>
      <c r="AB11" s="22">
        <f>'Dépenses détaillées'!AF17</f>
        <v/>
      </c>
      <c r="AC11" s="22">
        <f>'Dépenses détaillées'!AG17</f>
        <v/>
      </c>
      <c r="AD11" s="22">
        <f>'Dépenses détaillées'!AH17</f>
        <v/>
      </c>
      <c r="AE11" s="22">
        <f>'Dépenses détaillées'!AI17</f>
        <v/>
      </c>
      <c r="AF11" s="22">
        <f>'Dépenses détaillées'!AJ17</f>
        <v/>
      </c>
      <c r="AG11" s="22">
        <f>'Dépenses détaillées'!AK17</f>
        <v/>
      </c>
      <c r="AH11" s="22">
        <f>'Dépenses détaillées'!AL17</f>
        <v/>
      </c>
      <c r="AI11" s="22">
        <f>'Dépenses détaillées'!AM17</f>
        <v/>
      </c>
      <c r="AJ11" s="22">
        <f>'Dépenses détaillées'!AN17</f>
        <v/>
      </c>
      <c r="AK11" s="22">
        <f>'Dépenses détaillées'!AO17</f>
        <v/>
      </c>
      <c r="AL11" s="22">
        <f>'Dépenses détaillées'!AP17</f>
        <v/>
      </c>
      <c r="AM11" s="23">
        <f>SUM(C11:N11)</f>
        <v/>
      </c>
      <c r="AN11" s="23">
        <f>SUM(O11:Z11)</f>
        <v/>
      </c>
      <c r="AO11" s="23">
        <f>SUM(AA11:AL11)</f>
        <v/>
      </c>
      <c r="AP11" s="23">
        <f>SUM(AM11:AO11)</f>
        <v/>
      </c>
    </row>
    <row r="12">
      <c r="A12" s="3" t="inlineStr">
        <is>
          <t>Personnel (salaires &amp; charges)</t>
        </is>
      </c>
      <c r="C12" s="22">
        <f>'Dépenses détaillées'!G20</f>
        <v/>
      </c>
      <c r="D12" s="22">
        <f>'Dépenses détaillées'!H20</f>
        <v/>
      </c>
      <c r="E12" s="22">
        <f>'Dépenses détaillées'!I20</f>
        <v/>
      </c>
      <c r="F12" s="22">
        <f>'Dépenses détaillées'!J20</f>
        <v/>
      </c>
      <c r="G12" s="22">
        <f>'Dépenses détaillées'!K20</f>
        <v/>
      </c>
      <c r="H12" s="22">
        <f>'Dépenses détaillées'!L20</f>
        <v/>
      </c>
      <c r="I12" s="22">
        <f>'Dépenses détaillées'!M20</f>
        <v/>
      </c>
      <c r="J12" s="22">
        <f>'Dépenses détaillées'!N20</f>
        <v/>
      </c>
      <c r="K12" s="22">
        <f>'Dépenses détaillées'!O20</f>
        <v/>
      </c>
      <c r="L12" s="22">
        <f>'Dépenses détaillées'!P20</f>
        <v/>
      </c>
      <c r="M12" s="22">
        <f>'Dépenses détaillées'!Q20</f>
        <v/>
      </c>
      <c r="N12" s="22">
        <f>'Dépenses détaillées'!R20</f>
        <v/>
      </c>
      <c r="O12" s="22">
        <f>'Dépenses détaillées'!S20</f>
        <v/>
      </c>
      <c r="P12" s="22">
        <f>'Dépenses détaillées'!T20</f>
        <v/>
      </c>
      <c r="Q12" s="22">
        <f>'Dépenses détaillées'!U20</f>
        <v/>
      </c>
      <c r="R12" s="22">
        <f>'Dépenses détaillées'!V20</f>
        <v/>
      </c>
      <c r="S12" s="22">
        <f>'Dépenses détaillées'!W20</f>
        <v/>
      </c>
      <c r="T12" s="22">
        <f>'Dépenses détaillées'!X20</f>
        <v/>
      </c>
      <c r="U12" s="22">
        <f>'Dépenses détaillées'!Y20</f>
        <v/>
      </c>
      <c r="V12" s="22">
        <f>'Dépenses détaillées'!Z20</f>
        <v/>
      </c>
      <c r="W12" s="22">
        <f>'Dépenses détaillées'!AA20</f>
        <v/>
      </c>
      <c r="X12" s="22">
        <f>'Dépenses détaillées'!AB20</f>
        <v/>
      </c>
      <c r="Y12" s="22">
        <f>'Dépenses détaillées'!AC20</f>
        <v/>
      </c>
      <c r="Z12" s="22">
        <f>'Dépenses détaillées'!AD20</f>
        <v/>
      </c>
      <c r="AA12" s="22">
        <f>'Dépenses détaillées'!AE20</f>
        <v/>
      </c>
      <c r="AB12" s="22">
        <f>'Dépenses détaillées'!AF20</f>
        <v/>
      </c>
      <c r="AC12" s="22">
        <f>'Dépenses détaillées'!AG20</f>
        <v/>
      </c>
      <c r="AD12" s="22">
        <f>'Dépenses détaillées'!AH20</f>
        <v/>
      </c>
      <c r="AE12" s="22">
        <f>'Dépenses détaillées'!AI20</f>
        <v/>
      </c>
      <c r="AF12" s="22">
        <f>'Dépenses détaillées'!AJ20</f>
        <v/>
      </c>
      <c r="AG12" s="22">
        <f>'Dépenses détaillées'!AK20</f>
        <v/>
      </c>
      <c r="AH12" s="22">
        <f>'Dépenses détaillées'!AL20</f>
        <v/>
      </c>
      <c r="AI12" s="22">
        <f>'Dépenses détaillées'!AM20</f>
        <v/>
      </c>
      <c r="AJ12" s="22">
        <f>'Dépenses détaillées'!AN20</f>
        <v/>
      </c>
      <c r="AK12" s="22">
        <f>'Dépenses détaillées'!AO20</f>
        <v/>
      </c>
      <c r="AL12" s="22">
        <f>'Dépenses détaillées'!AP20</f>
        <v/>
      </c>
      <c r="AM12" s="23">
        <f>SUM(C12:N12)</f>
        <v/>
      </c>
      <c r="AN12" s="23">
        <f>SUM(O12:Z12)</f>
        <v/>
      </c>
      <c r="AO12" s="23">
        <f>SUM(AA12:AL12)</f>
        <v/>
      </c>
      <c r="AP12" s="23">
        <f>SUM(AM12:AO12)</f>
        <v/>
      </c>
    </row>
    <row r="13">
      <c r="A13" s="3" t="inlineStr">
        <is>
          <t>Cotisations sociales dirigeant (versement trimestriel, inflaté)</t>
        </is>
      </c>
      <c r="C13" s="23" t="n">
        <v>0</v>
      </c>
      <c r="D13" s="23" t="n">
        <v>0</v>
      </c>
      <c r="E13" s="22">
        <f>Hypothèses!$C$8*(1+Hypothèses!$C$14)^0</f>
        <v/>
      </c>
      <c r="F13" s="23" t="n">
        <v>0</v>
      </c>
      <c r="G13" s="23" t="n">
        <v>0</v>
      </c>
      <c r="H13" s="22">
        <f>Hypothèses!$C$8*(1+Hypothèses!$C$14)^0</f>
        <v/>
      </c>
      <c r="I13" s="23" t="n">
        <v>0</v>
      </c>
      <c r="J13" s="23" t="n">
        <v>0</v>
      </c>
      <c r="K13" s="22">
        <f>Hypothèses!$C$8*(1+Hypothèses!$C$14)^0</f>
        <v/>
      </c>
      <c r="L13" s="23" t="n">
        <v>0</v>
      </c>
      <c r="M13" s="23" t="n">
        <v>0</v>
      </c>
      <c r="N13" s="22">
        <f>Hypothèses!$C$8*(1+Hypothèses!$C$14)^0</f>
        <v/>
      </c>
      <c r="O13" s="23" t="n">
        <v>0</v>
      </c>
      <c r="P13" s="23" t="n">
        <v>0</v>
      </c>
      <c r="Q13" s="22">
        <f>Hypothèses!$C$8*(1+Hypothèses!$C$14)^1</f>
        <v/>
      </c>
      <c r="R13" s="23" t="n">
        <v>0</v>
      </c>
      <c r="S13" s="23" t="n">
        <v>0</v>
      </c>
      <c r="T13" s="22">
        <f>Hypothèses!$C$8*(1+Hypothèses!$C$14)^1</f>
        <v/>
      </c>
      <c r="U13" s="23" t="n">
        <v>0</v>
      </c>
      <c r="V13" s="23" t="n">
        <v>0</v>
      </c>
      <c r="W13" s="22">
        <f>Hypothèses!$C$8*(1+Hypothèses!$C$14)^1</f>
        <v/>
      </c>
      <c r="X13" s="23" t="n">
        <v>0</v>
      </c>
      <c r="Y13" s="23" t="n">
        <v>0</v>
      </c>
      <c r="Z13" s="22">
        <f>Hypothèses!$C$8*(1+Hypothèses!$C$14)^1</f>
        <v/>
      </c>
      <c r="AA13" s="23" t="n">
        <v>0</v>
      </c>
      <c r="AB13" s="23" t="n">
        <v>0</v>
      </c>
      <c r="AC13" s="22">
        <f>Hypothèses!$C$8*(1+Hypothèses!$C$14)^2</f>
        <v/>
      </c>
      <c r="AD13" s="23" t="n">
        <v>0</v>
      </c>
      <c r="AE13" s="23" t="n">
        <v>0</v>
      </c>
      <c r="AF13" s="22">
        <f>Hypothèses!$C$8*(1+Hypothèses!$C$14)^2</f>
        <v/>
      </c>
      <c r="AG13" s="23" t="n">
        <v>0</v>
      </c>
      <c r="AH13" s="23" t="n">
        <v>0</v>
      </c>
      <c r="AI13" s="22">
        <f>Hypothèses!$C$8*(1+Hypothèses!$C$14)^2</f>
        <v/>
      </c>
      <c r="AJ13" s="23" t="n">
        <v>0</v>
      </c>
      <c r="AK13" s="23" t="n">
        <v>0</v>
      </c>
      <c r="AL13" s="22">
        <f>Hypothèses!$C$8*(1+Hypothèses!$C$14)^2</f>
        <v/>
      </c>
      <c r="AM13" s="23">
        <f>SUM(C13:N13)</f>
        <v/>
      </c>
      <c r="AN13" s="23">
        <f>SUM(O13:Z13)</f>
        <v/>
      </c>
      <c r="AO13" s="23">
        <f>SUM(AA13:AL13)</f>
        <v/>
      </c>
      <c r="AP13" s="23">
        <f>SUM(AM13:AO13)</f>
        <v/>
      </c>
    </row>
    <row r="14">
      <c r="A14" s="3" t="inlineStr">
        <is>
          <t>Charges fixes &amp; énergie local (loyer, assurances, comptable...)</t>
        </is>
      </c>
      <c r="C14" s="22">
        <f>('Dépenses détaillées'!G34+'Dépenses détaillées'!G25)</f>
        <v/>
      </c>
      <c r="D14" s="22">
        <f>('Dépenses détaillées'!H34+'Dépenses détaillées'!H25)</f>
        <v/>
      </c>
      <c r="E14" s="22">
        <f>('Dépenses détaillées'!I34+'Dépenses détaillées'!I25)</f>
        <v/>
      </c>
      <c r="F14" s="22">
        <f>('Dépenses détaillées'!J34+'Dépenses détaillées'!J25)</f>
        <v/>
      </c>
      <c r="G14" s="22">
        <f>('Dépenses détaillées'!K34+'Dépenses détaillées'!K25)</f>
        <v/>
      </c>
      <c r="H14" s="22">
        <f>('Dépenses détaillées'!L34+'Dépenses détaillées'!L25)</f>
        <v/>
      </c>
      <c r="I14" s="22">
        <f>('Dépenses détaillées'!M34+'Dépenses détaillées'!M25)</f>
        <v/>
      </c>
      <c r="J14" s="22">
        <f>('Dépenses détaillées'!N34+'Dépenses détaillées'!N25)</f>
        <v/>
      </c>
      <c r="K14" s="22">
        <f>('Dépenses détaillées'!O34+'Dépenses détaillées'!O25)</f>
        <v/>
      </c>
      <c r="L14" s="22">
        <f>('Dépenses détaillées'!P34+'Dépenses détaillées'!P25)</f>
        <v/>
      </c>
      <c r="M14" s="22">
        <f>('Dépenses détaillées'!Q34+'Dépenses détaillées'!Q25)</f>
        <v/>
      </c>
      <c r="N14" s="22">
        <f>('Dépenses détaillées'!R34+'Dépenses détaillées'!R25)</f>
        <v/>
      </c>
      <c r="O14" s="22">
        <f>('Dépenses détaillées'!S34+'Dépenses détaillées'!S25)</f>
        <v/>
      </c>
      <c r="P14" s="22">
        <f>('Dépenses détaillées'!T34+'Dépenses détaillées'!T25)</f>
        <v/>
      </c>
      <c r="Q14" s="22">
        <f>('Dépenses détaillées'!U34+'Dépenses détaillées'!U25)</f>
        <v/>
      </c>
      <c r="R14" s="22">
        <f>('Dépenses détaillées'!V34+'Dépenses détaillées'!V25)</f>
        <v/>
      </c>
      <c r="S14" s="22">
        <f>('Dépenses détaillées'!W34+'Dépenses détaillées'!W25)</f>
        <v/>
      </c>
      <c r="T14" s="22">
        <f>('Dépenses détaillées'!X34+'Dépenses détaillées'!X25)</f>
        <v/>
      </c>
      <c r="U14" s="22">
        <f>('Dépenses détaillées'!Y34+'Dépenses détaillées'!Y25)</f>
        <v/>
      </c>
      <c r="V14" s="22">
        <f>('Dépenses détaillées'!Z34+'Dépenses détaillées'!Z25)</f>
        <v/>
      </c>
      <c r="W14" s="22">
        <f>('Dépenses détaillées'!AA34+'Dépenses détaillées'!AA25)</f>
        <v/>
      </c>
      <c r="X14" s="22">
        <f>('Dépenses détaillées'!AB34+'Dépenses détaillées'!AB25)</f>
        <v/>
      </c>
      <c r="Y14" s="22">
        <f>('Dépenses détaillées'!AC34+'Dépenses détaillées'!AC25)</f>
        <v/>
      </c>
      <c r="Z14" s="22">
        <f>('Dépenses détaillées'!AD34+'Dépenses détaillées'!AD25)</f>
        <v/>
      </c>
      <c r="AA14" s="22">
        <f>('Dépenses détaillées'!AE34+'Dépenses détaillées'!AE25)</f>
        <v/>
      </c>
      <c r="AB14" s="22">
        <f>('Dépenses détaillées'!AF34+'Dépenses détaillées'!AF25)</f>
        <v/>
      </c>
      <c r="AC14" s="22">
        <f>('Dépenses détaillées'!AG34+'Dépenses détaillées'!AG25)</f>
        <v/>
      </c>
      <c r="AD14" s="22">
        <f>('Dépenses détaillées'!AH34+'Dépenses détaillées'!AH25)</f>
        <v/>
      </c>
      <c r="AE14" s="22">
        <f>('Dépenses détaillées'!AI34+'Dépenses détaillées'!AI25)</f>
        <v/>
      </c>
      <c r="AF14" s="22">
        <f>('Dépenses détaillées'!AJ34+'Dépenses détaillées'!AJ25)</f>
        <v/>
      </c>
      <c r="AG14" s="22">
        <f>('Dépenses détaillées'!AK34+'Dépenses détaillées'!AK25)</f>
        <v/>
      </c>
      <c r="AH14" s="22">
        <f>('Dépenses détaillées'!AL34+'Dépenses détaillées'!AL25)</f>
        <v/>
      </c>
      <c r="AI14" s="22">
        <f>('Dépenses détaillées'!AM34+'Dépenses détaillées'!AM25)</f>
        <v/>
      </c>
      <c r="AJ14" s="22">
        <f>('Dépenses détaillées'!AN34+'Dépenses détaillées'!AN25)</f>
        <v/>
      </c>
      <c r="AK14" s="22">
        <f>('Dépenses détaillées'!AO34+'Dépenses détaillées'!AO25)</f>
        <v/>
      </c>
      <c r="AL14" s="22">
        <f>('Dépenses détaillées'!AP34+'Dépenses détaillées'!AP25)</f>
        <v/>
      </c>
      <c r="AM14" s="23">
        <f>SUM(C14:N14)</f>
        <v/>
      </c>
      <c r="AN14" s="23">
        <f>SUM(O14:Z14)</f>
        <v/>
      </c>
      <c r="AO14" s="23">
        <f>SUM(AA14:AL14)</f>
        <v/>
      </c>
      <c r="AP14" s="23">
        <f>SUM(AM14:AO14)</f>
        <v/>
      </c>
    </row>
    <row r="15">
      <c r="A15" s="3" t="inlineStr">
        <is>
          <t>TVA nette versée (versement trimestriel)</t>
        </is>
      </c>
      <c r="C15" s="23" t="n">
        <v>0</v>
      </c>
      <c r="D15" s="23" t="n">
        <v>0</v>
      </c>
      <c r="E15" s="23">
        <f>MAX(0,SUM(C23:E23))</f>
        <v/>
      </c>
      <c r="F15" s="23" t="n">
        <v>0</v>
      </c>
      <c r="G15" s="23" t="n">
        <v>0</v>
      </c>
      <c r="H15" s="23">
        <f>MAX(0,SUM(F23:H23))</f>
        <v/>
      </c>
      <c r="I15" s="23" t="n">
        <v>0</v>
      </c>
      <c r="J15" s="23" t="n">
        <v>0</v>
      </c>
      <c r="K15" s="23">
        <f>MAX(0,SUM(I23:K23))</f>
        <v/>
      </c>
      <c r="L15" s="23" t="n">
        <v>0</v>
      </c>
      <c r="M15" s="23" t="n">
        <v>0</v>
      </c>
      <c r="N15" s="23">
        <f>MAX(0,SUM(L23:N23))</f>
        <v/>
      </c>
      <c r="O15" s="23" t="n">
        <v>0</v>
      </c>
      <c r="P15" s="23" t="n">
        <v>0</v>
      </c>
      <c r="Q15" s="23">
        <f>MAX(0,SUM(O23:Q23))</f>
        <v/>
      </c>
      <c r="R15" s="23" t="n">
        <v>0</v>
      </c>
      <c r="S15" s="23" t="n">
        <v>0</v>
      </c>
      <c r="T15" s="23">
        <f>MAX(0,SUM(R23:T23))</f>
        <v/>
      </c>
      <c r="U15" s="23" t="n">
        <v>0</v>
      </c>
      <c r="V15" s="23" t="n">
        <v>0</v>
      </c>
      <c r="W15" s="23">
        <f>MAX(0,SUM(U23:W23))</f>
        <v/>
      </c>
      <c r="X15" s="23" t="n">
        <v>0</v>
      </c>
      <c r="Y15" s="23" t="n">
        <v>0</v>
      </c>
      <c r="Z15" s="23">
        <f>MAX(0,SUM(X23:Z23))</f>
        <v/>
      </c>
      <c r="AA15" s="23" t="n">
        <v>0</v>
      </c>
      <c r="AB15" s="23" t="n">
        <v>0</v>
      </c>
      <c r="AC15" s="23">
        <f>MAX(0,SUM(AA23:AC23))</f>
        <v/>
      </c>
      <c r="AD15" s="23" t="n">
        <v>0</v>
      </c>
      <c r="AE15" s="23" t="n">
        <v>0</v>
      </c>
      <c r="AF15" s="23">
        <f>MAX(0,SUM(AD23:AF23))</f>
        <v/>
      </c>
      <c r="AG15" s="23" t="n">
        <v>0</v>
      </c>
      <c r="AH15" s="23" t="n">
        <v>0</v>
      </c>
      <c r="AI15" s="23">
        <f>MAX(0,SUM(AG23:AI23))</f>
        <v/>
      </c>
      <c r="AJ15" s="23" t="n">
        <v>0</v>
      </c>
      <c r="AK15" s="23" t="n">
        <v>0</v>
      </c>
      <c r="AL15" s="23">
        <f>MAX(0,SUM(AJ23:AL23))</f>
        <v/>
      </c>
      <c r="AM15" s="23">
        <f>SUM(C15:N15)</f>
        <v/>
      </c>
      <c r="AN15" s="23">
        <f>SUM(O15:Z15)</f>
        <v/>
      </c>
      <c r="AO15" s="23">
        <f>SUM(AA15:AL15)</f>
        <v/>
      </c>
      <c r="AP15" s="23">
        <f>SUM(AM15:AO15)</f>
        <v/>
      </c>
    </row>
    <row r="16">
      <c r="A16" s="3" t="inlineStr">
        <is>
          <t>Remboursement emprunt véhicule/outillage (mensualité fixe)</t>
        </is>
      </c>
      <c r="C16" s="22">
        <f>Hypothèses!$C$9</f>
        <v/>
      </c>
      <c r="D16" s="22">
        <f>Hypothèses!$C$9</f>
        <v/>
      </c>
      <c r="E16" s="22">
        <f>Hypothèses!$C$9</f>
        <v/>
      </c>
      <c r="F16" s="22">
        <f>Hypothèses!$C$9</f>
        <v/>
      </c>
      <c r="G16" s="22">
        <f>Hypothèses!$C$9</f>
        <v/>
      </c>
      <c r="H16" s="22">
        <f>Hypothèses!$C$9</f>
        <v/>
      </c>
      <c r="I16" s="22">
        <f>Hypothèses!$C$9</f>
        <v/>
      </c>
      <c r="J16" s="22">
        <f>Hypothèses!$C$9</f>
        <v/>
      </c>
      <c r="K16" s="22">
        <f>Hypothèses!$C$9</f>
        <v/>
      </c>
      <c r="L16" s="22">
        <f>Hypothèses!$C$9</f>
        <v/>
      </c>
      <c r="M16" s="22">
        <f>Hypothèses!$C$9</f>
        <v/>
      </c>
      <c r="N16" s="22">
        <f>Hypothèses!$C$9</f>
        <v/>
      </c>
      <c r="O16" s="22">
        <f>Hypothèses!$C$9</f>
        <v/>
      </c>
      <c r="P16" s="22">
        <f>Hypothèses!$C$9</f>
        <v/>
      </c>
      <c r="Q16" s="22">
        <f>Hypothèses!$C$9</f>
        <v/>
      </c>
      <c r="R16" s="22">
        <f>Hypothèses!$C$9</f>
        <v/>
      </c>
      <c r="S16" s="22">
        <f>Hypothèses!$C$9</f>
        <v/>
      </c>
      <c r="T16" s="22">
        <f>Hypothèses!$C$9</f>
        <v/>
      </c>
      <c r="U16" s="22">
        <f>Hypothèses!$C$9</f>
        <v/>
      </c>
      <c r="V16" s="22">
        <f>Hypothèses!$C$9</f>
        <v/>
      </c>
      <c r="W16" s="22">
        <f>Hypothèses!$C$9</f>
        <v/>
      </c>
      <c r="X16" s="22">
        <f>Hypothèses!$C$9</f>
        <v/>
      </c>
      <c r="Y16" s="22">
        <f>Hypothèses!$C$9</f>
        <v/>
      </c>
      <c r="Z16" s="22">
        <f>Hypothèses!$C$9</f>
        <v/>
      </c>
      <c r="AA16" s="22">
        <f>Hypothèses!$C$9</f>
        <v/>
      </c>
      <c r="AB16" s="22">
        <f>Hypothèses!$C$9</f>
        <v/>
      </c>
      <c r="AC16" s="22">
        <f>Hypothèses!$C$9</f>
        <v/>
      </c>
      <c r="AD16" s="22">
        <f>Hypothèses!$C$9</f>
        <v/>
      </c>
      <c r="AE16" s="22">
        <f>Hypothèses!$C$9</f>
        <v/>
      </c>
      <c r="AF16" s="22">
        <f>Hypothèses!$C$9</f>
        <v/>
      </c>
      <c r="AG16" s="22">
        <f>Hypothèses!$C$9</f>
        <v/>
      </c>
      <c r="AH16" s="22">
        <f>Hypothèses!$C$9</f>
        <v/>
      </c>
      <c r="AI16" s="22">
        <f>Hypothèses!$C$9</f>
        <v/>
      </c>
      <c r="AJ16" s="22">
        <f>Hypothèses!$C$9</f>
        <v/>
      </c>
      <c r="AK16" s="22">
        <f>Hypothèses!$C$9</f>
        <v/>
      </c>
      <c r="AL16" s="22">
        <f>Hypothèses!$C$9</f>
        <v/>
      </c>
      <c r="AM16" s="23">
        <f>SUM(C16:N16)</f>
        <v/>
      </c>
      <c r="AN16" s="23">
        <f>SUM(O16:Z16)</f>
        <v/>
      </c>
      <c r="AO16" s="23">
        <f>SUM(AA16:AL16)</f>
        <v/>
      </c>
      <c r="AP16" s="23">
        <f>SUM(AM16:AO16)</f>
        <v/>
      </c>
    </row>
    <row r="17">
      <c r="A17" s="24" t="inlineStr">
        <is>
          <t>TOTAL DÉCAISSEMENTS</t>
        </is>
      </c>
      <c r="C17" s="25">
        <f>SUM(C10:C16)</f>
        <v/>
      </c>
      <c r="D17" s="25">
        <f>SUM(D10:D16)</f>
        <v/>
      </c>
      <c r="E17" s="25">
        <f>SUM(E10:E16)</f>
        <v/>
      </c>
      <c r="F17" s="25">
        <f>SUM(F10:F16)</f>
        <v/>
      </c>
      <c r="G17" s="25">
        <f>SUM(G10:G16)</f>
        <v/>
      </c>
      <c r="H17" s="25">
        <f>SUM(H10:H16)</f>
        <v/>
      </c>
      <c r="I17" s="25">
        <f>SUM(I10:I16)</f>
        <v/>
      </c>
      <c r="J17" s="25">
        <f>SUM(J10:J16)</f>
        <v/>
      </c>
      <c r="K17" s="25">
        <f>SUM(K10:K16)</f>
        <v/>
      </c>
      <c r="L17" s="25">
        <f>SUM(L10:L16)</f>
        <v/>
      </c>
      <c r="M17" s="25">
        <f>SUM(M10:M16)</f>
        <v/>
      </c>
      <c r="N17" s="25">
        <f>SUM(N10:N16)</f>
        <v/>
      </c>
      <c r="O17" s="25">
        <f>SUM(O10:O16)</f>
        <v/>
      </c>
      <c r="P17" s="25">
        <f>SUM(P10:P16)</f>
        <v/>
      </c>
      <c r="Q17" s="25">
        <f>SUM(Q10:Q16)</f>
        <v/>
      </c>
      <c r="R17" s="25">
        <f>SUM(R10:R16)</f>
        <v/>
      </c>
      <c r="S17" s="25">
        <f>SUM(S10:S16)</f>
        <v/>
      </c>
      <c r="T17" s="25">
        <f>SUM(T10:T16)</f>
        <v/>
      </c>
      <c r="U17" s="25">
        <f>SUM(U10:U16)</f>
        <v/>
      </c>
      <c r="V17" s="25">
        <f>SUM(V10:V16)</f>
        <v/>
      </c>
      <c r="W17" s="25">
        <f>SUM(W10:W16)</f>
        <v/>
      </c>
      <c r="X17" s="25">
        <f>SUM(X10:X16)</f>
        <v/>
      </c>
      <c r="Y17" s="25">
        <f>SUM(Y10:Y16)</f>
        <v/>
      </c>
      <c r="Z17" s="25">
        <f>SUM(Z10:Z16)</f>
        <v/>
      </c>
      <c r="AA17" s="25">
        <f>SUM(AA10:AA16)</f>
        <v/>
      </c>
      <c r="AB17" s="25">
        <f>SUM(AB10:AB16)</f>
        <v/>
      </c>
      <c r="AC17" s="25">
        <f>SUM(AC10:AC16)</f>
        <v/>
      </c>
      <c r="AD17" s="25">
        <f>SUM(AD10:AD16)</f>
        <v/>
      </c>
      <c r="AE17" s="25">
        <f>SUM(AE10:AE16)</f>
        <v/>
      </c>
      <c r="AF17" s="25">
        <f>SUM(AF10:AF16)</f>
        <v/>
      </c>
      <c r="AG17" s="25">
        <f>SUM(AG10:AG16)</f>
        <v/>
      </c>
      <c r="AH17" s="25">
        <f>SUM(AH10:AH16)</f>
        <v/>
      </c>
      <c r="AI17" s="25">
        <f>SUM(AI10:AI16)</f>
        <v/>
      </c>
      <c r="AJ17" s="25">
        <f>SUM(AJ10:AJ16)</f>
        <v/>
      </c>
      <c r="AK17" s="25">
        <f>SUM(AK10:AK16)</f>
        <v/>
      </c>
      <c r="AL17" s="25">
        <f>SUM(AL10:AL16)</f>
        <v/>
      </c>
      <c r="AM17" s="25">
        <f>SUM(C17:N17)</f>
        <v/>
      </c>
      <c r="AN17" s="25">
        <f>SUM(O17:Z17)</f>
        <v/>
      </c>
      <c r="AO17" s="25">
        <f>SUM(AA17:AL17)</f>
        <v/>
      </c>
      <c r="AP17" s="25">
        <f>SUM(AM17:AO17)</f>
        <v/>
      </c>
    </row>
    <row r="18">
      <c r="A18" s="40" t="inlineStr">
        <is>
          <t>Variation de trésorerie du mois</t>
        </is>
      </c>
      <c r="C18" s="42">
        <f>C8-C17</f>
        <v/>
      </c>
      <c r="D18" s="42">
        <f>D8-D17</f>
        <v/>
      </c>
      <c r="E18" s="42">
        <f>E8-E17</f>
        <v/>
      </c>
      <c r="F18" s="42">
        <f>F8-F17</f>
        <v/>
      </c>
      <c r="G18" s="42">
        <f>G8-G17</f>
        <v/>
      </c>
      <c r="H18" s="42">
        <f>H8-H17</f>
        <v/>
      </c>
      <c r="I18" s="42">
        <f>I8-I17</f>
        <v/>
      </c>
      <c r="J18" s="42">
        <f>J8-J17</f>
        <v/>
      </c>
      <c r="K18" s="42">
        <f>K8-K17</f>
        <v/>
      </c>
      <c r="L18" s="42">
        <f>L8-L17</f>
        <v/>
      </c>
      <c r="M18" s="42">
        <f>M8-M17</f>
        <v/>
      </c>
      <c r="N18" s="42">
        <f>N8-N17</f>
        <v/>
      </c>
      <c r="O18" s="42">
        <f>O8-O17</f>
        <v/>
      </c>
      <c r="P18" s="42">
        <f>P8-P17</f>
        <v/>
      </c>
      <c r="Q18" s="42">
        <f>Q8-Q17</f>
        <v/>
      </c>
      <c r="R18" s="42">
        <f>R8-R17</f>
        <v/>
      </c>
      <c r="S18" s="42">
        <f>S8-S17</f>
        <v/>
      </c>
      <c r="T18" s="42">
        <f>T8-T17</f>
        <v/>
      </c>
      <c r="U18" s="42">
        <f>U8-U17</f>
        <v/>
      </c>
      <c r="V18" s="42">
        <f>V8-V17</f>
        <v/>
      </c>
      <c r="W18" s="42">
        <f>W8-W17</f>
        <v/>
      </c>
      <c r="X18" s="42">
        <f>X8-X17</f>
        <v/>
      </c>
      <c r="Y18" s="42">
        <f>Y8-Y17</f>
        <v/>
      </c>
      <c r="Z18" s="42">
        <f>Z8-Z17</f>
        <v/>
      </c>
      <c r="AA18" s="42">
        <f>AA8-AA17</f>
        <v/>
      </c>
      <c r="AB18" s="42">
        <f>AB8-AB17</f>
        <v/>
      </c>
      <c r="AC18" s="42">
        <f>AC8-AC17</f>
        <v/>
      </c>
      <c r="AD18" s="42">
        <f>AD8-AD17</f>
        <v/>
      </c>
      <c r="AE18" s="42">
        <f>AE8-AE17</f>
        <v/>
      </c>
      <c r="AF18" s="42">
        <f>AF8-AF17</f>
        <v/>
      </c>
      <c r="AG18" s="42">
        <f>AG8-AG17</f>
        <v/>
      </c>
      <c r="AH18" s="42">
        <f>AH8-AH17</f>
        <v/>
      </c>
      <c r="AI18" s="42">
        <f>AI8-AI17</f>
        <v/>
      </c>
      <c r="AJ18" s="42">
        <f>AJ8-AJ17</f>
        <v/>
      </c>
      <c r="AK18" s="42">
        <f>AK8-AK17</f>
        <v/>
      </c>
      <c r="AL18" s="42">
        <f>AL8-AL17</f>
        <v/>
      </c>
      <c r="AM18" s="42">
        <f>SUM(C18:N18)</f>
        <v/>
      </c>
      <c r="AN18" s="42">
        <f>SUM(O18:Z18)</f>
        <v/>
      </c>
      <c r="AO18" s="42">
        <f>SUM(AA18:AL18)</f>
        <v/>
      </c>
      <c r="AP18" s="42">
        <f>SUM(AM18:AO18)</f>
        <v/>
      </c>
    </row>
    <row r="19">
      <c r="A19" s="36" t="inlineStr">
        <is>
          <t>TRÉSORERIE EN FIN DE MOIS</t>
        </is>
      </c>
      <c r="C19" s="38">
        <f>C5+C18</f>
        <v/>
      </c>
      <c r="D19" s="38">
        <f>D5+D18</f>
        <v/>
      </c>
      <c r="E19" s="38">
        <f>E5+E18</f>
        <v/>
      </c>
      <c r="F19" s="38">
        <f>F5+F18</f>
        <v/>
      </c>
      <c r="G19" s="38">
        <f>G5+G18</f>
        <v/>
      </c>
      <c r="H19" s="38">
        <f>H5+H18</f>
        <v/>
      </c>
      <c r="I19" s="38">
        <f>I5+I18</f>
        <v/>
      </c>
      <c r="J19" s="38">
        <f>J5+J18</f>
        <v/>
      </c>
      <c r="K19" s="38">
        <f>K5+K18</f>
        <v/>
      </c>
      <c r="L19" s="38">
        <f>L5+L18</f>
        <v/>
      </c>
      <c r="M19" s="38">
        <f>M5+M18</f>
        <v/>
      </c>
      <c r="N19" s="38">
        <f>N5+N18</f>
        <v/>
      </c>
      <c r="O19" s="38">
        <f>O5+O18</f>
        <v/>
      </c>
      <c r="P19" s="38">
        <f>P5+P18</f>
        <v/>
      </c>
      <c r="Q19" s="38">
        <f>Q5+Q18</f>
        <v/>
      </c>
      <c r="R19" s="38">
        <f>R5+R18</f>
        <v/>
      </c>
      <c r="S19" s="38">
        <f>S5+S18</f>
        <v/>
      </c>
      <c r="T19" s="38">
        <f>T5+T18</f>
        <v/>
      </c>
      <c r="U19" s="38">
        <f>U5+U18</f>
        <v/>
      </c>
      <c r="V19" s="38">
        <f>V5+V18</f>
        <v/>
      </c>
      <c r="W19" s="38">
        <f>W5+W18</f>
        <v/>
      </c>
      <c r="X19" s="38">
        <f>X5+X18</f>
        <v/>
      </c>
      <c r="Y19" s="38">
        <f>Y5+Y18</f>
        <v/>
      </c>
      <c r="Z19" s="38">
        <f>Z5+Z18</f>
        <v/>
      </c>
      <c r="AA19" s="38">
        <f>AA5+AA18</f>
        <v/>
      </c>
      <c r="AB19" s="38">
        <f>AB5+AB18</f>
        <v/>
      </c>
      <c r="AC19" s="38">
        <f>AC5+AC18</f>
        <v/>
      </c>
      <c r="AD19" s="38">
        <f>AD5+AD18</f>
        <v/>
      </c>
      <c r="AE19" s="38">
        <f>AE5+AE18</f>
        <v/>
      </c>
      <c r="AF19" s="38">
        <f>AF5+AF18</f>
        <v/>
      </c>
      <c r="AG19" s="38">
        <f>AG5+AG18</f>
        <v/>
      </c>
      <c r="AH19" s="38">
        <f>AH5+AH18</f>
        <v/>
      </c>
      <c r="AI19" s="38">
        <f>AI5+AI18</f>
        <v/>
      </c>
      <c r="AJ19" s="38">
        <f>AJ5+AJ18</f>
        <v/>
      </c>
      <c r="AK19" s="38">
        <f>AK5+AK18</f>
        <v/>
      </c>
      <c r="AL19" s="38">
        <f>AL5+AL18</f>
        <v/>
      </c>
      <c r="AM19" s="38">
        <f>N19</f>
        <v/>
      </c>
      <c r="AN19" s="38">
        <f>Z19</f>
        <v/>
      </c>
      <c r="AO19" s="38">
        <f>AL19</f>
        <v/>
      </c>
      <c r="AP19" s="38">
        <f>AL19</f>
        <v/>
      </c>
    </row>
    <row r="20" ht="4" customHeight="1"/>
    <row r="21">
      <c r="A21" s="6" t="inlineStr">
        <is>
          <t>Mémo — TVA collectée du mois</t>
        </is>
      </c>
      <c r="C21" s="22">
        <f>Revenus!C11</f>
        <v/>
      </c>
      <c r="D21" s="22">
        <f>Revenus!D11</f>
        <v/>
      </c>
      <c r="E21" s="22">
        <f>Revenus!E11</f>
        <v/>
      </c>
      <c r="F21" s="22">
        <f>Revenus!F11</f>
        <v/>
      </c>
      <c r="G21" s="22">
        <f>Revenus!G11</f>
        <v/>
      </c>
      <c r="H21" s="22">
        <f>Revenus!H11</f>
        <v/>
      </c>
      <c r="I21" s="22">
        <f>Revenus!I11</f>
        <v/>
      </c>
      <c r="J21" s="22">
        <f>Revenus!J11</f>
        <v/>
      </c>
      <c r="K21" s="22">
        <f>Revenus!K11</f>
        <v/>
      </c>
      <c r="L21" s="22">
        <f>Revenus!L11</f>
        <v/>
      </c>
      <c r="M21" s="22">
        <f>Revenus!M11</f>
        <v/>
      </c>
      <c r="N21" s="22">
        <f>Revenus!N11</f>
        <v/>
      </c>
      <c r="O21" s="22">
        <f>Revenus!O11</f>
        <v/>
      </c>
      <c r="P21" s="22">
        <f>Revenus!P11</f>
        <v/>
      </c>
      <c r="Q21" s="22">
        <f>Revenus!Q11</f>
        <v/>
      </c>
      <c r="R21" s="22">
        <f>Revenus!R11</f>
        <v/>
      </c>
      <c r="S21" s="22">
        <f>Revenus!S11</f>
        <v/>
      </c>
      <c r="T21" s="22">
        <f>Revenus!T11</f>
        <v/>
      </c>
      <c r="U21" s="22">
        <f>Revenus!U11</f>
        <v/>
      </c>
      <c r="V21" s="22">
        <f>Revenus!V11</f>
        <v/>
      </c>
      <c r="W21" s="22">
        <f>Revenus!W11</f>
        <v/>
      </c>
      <c r="X21" s="22">
        <f>Revenus!X11</f>
        <v/>
      </c>
      <c r="Y21" s="22">
        <f>Revenus!Y11</f>
        <v/>
      </c>
      <c r="Z21" s="22">
        <f>Revenus!Z11</f>
        <v/>
      </c>
      <c r="AA21" s="22">
        <f>Revenus!AA11</f>
        <v/>
      </c>
      <c r="AB21" s="22">
        <f>Revenus!AB11</f>
        <v/>
      </c>
      <c r="AC21" s="22">
        <f>Revenus!AC11</f>
        <v/>
      </c>
      <c r="AD21" s="22">
        <f>Revenus!AD11</f>
        <v/>
      </c>
      <c r="AE21" s="22">
        <f>Revenus!AE11</f>
        <v/>
      </c>
      <c r="AF21" s="22">
        <f>Revenus!AF11</f>
        <v/>
      </c>
      <c r="AG21" s="22">
        <f>Revenus!AG11</f>
        <v/>
      </c>
      <c r="AH21" s="22">
        <f>Revenus!AH11</f>
        <v/>
      </c>
      <c r="AI21" s="22">
        <f>Revenus!AI11</f>
        <v/>
      </c>
      <c r="AJ21" s="22">
        <f>Revenus!AJ11</f>
        <v/>
      </c>
      <c r="AK21" s="22">
        <f>Revenus!AK11</f>
        <v/>
      </c>
      <c r="AL21" s="22">
        <f>Revenus!AL11</f>
        <v/>
      </c>
    </row>
    <row r="22">
      <c r="A22" s="6" t="inlineStr">
        <is>
          <t>Mémo — TVA déductible du mois (estimée)</t>
        </is>
      </c>
      <c r="C22" s="23">
        <f>(C10+C11+C14)*Hypothèses!$C$6</f>
        <v/>
      </c>
      <c r="D22" s="23">
        <f>(D10+D11+D14)*Hypothèses!$C$6</f>
        <v/>
      </c>
      <c r="E22" s="23">
        <f>(E10+E11+E14)*Hypothèses!$C$6</f>
        <v/>
      </c>
      <c r="F22" s="23">
        <f>(F10+F11+F14)*Hypothèses!$C$6</f>
        <v/>
      </c>
      <c r="G22" s="23">
        <f>(G10+G11+G14)*Hypothèses!$C$6</f>
        <v/>
      </c>
      <c r="H22" s="23">
        <f>(H10+H11+H14)*Hypothèses!$C$6</f>
        <v/>
      </c>
      <c r="I22" s="23">
        <f>(I10+I11+I14)*Hypothèses!$C$6</f>
        <v/>
      </c>
      <c r="J22" s="23">
        <f>(J10+J11+J14)*Hypothèses!$C$6</f>
        <v/>
      </c>
      <c r="K22" s="23">
        <f>(K10+K11+K14)*Hypothèses!$C$6</f>
        <v/>
      </c>
      <c r="L22" s="23">
        <f>(L10+L11+L14)*Hypothèses!$C$6</f>
        <v/>
      </c>
      <c r="M22" s="23">
        <f>(M10+M11+M14)*Hypothèses!$C$6</f>
        <v/>
      </c>
      <c r="N22" s="23">
        <f>(N10+N11+N14)*Hypothèses!$C$6</f>
        <v/>
      </c>
      <c r="O22" s="23">
        <f>(O10+O11+O14)*Hypothèses!$C$6</f>
        <v/>
      </c>
      <c r="P22" s="23">
        <f>(P10+P11+P14)*Hypothèses!$C$6</f>
        <v/>
      </c>
      <c r="Q22" s="23">
        <f>(Q10+Q11+Q14)*Hypothèses!$C$6</f>
        <v/>
      </c>
      <c r="R22" s="23">
        <f>(R10+R11+R14)*Hypothèses!$C$6</f>
        <v/>
      </c>
      <c r="S22" s="23">
        <f>(S10+S11+S14)*Hypothèses!$C$6</f>
        <v/>
      </c>
      <c r="T22" s="23">
        <f>(T10+T11+T14)*Hypothèses!$C$6</f>
        <v/>
      </c>
      <c r="U22" s="23">
        <f>(U10+U11+U14)*Hypothèses!$C$6</f>
        <v/>
      </c>
      <c r="V22" s="23">
        <f>(V10+V11+V14)*Hypothèses!$C$6</f>
        <v/>
      </c>
      <c r="W22" s="23">
        <f>(W10+W11+W14)*Hypothèses!$C$6</f>
        <v/>
      </c>
      <c r="X22" s="23">
        <f>(X10+X11+X14)*Hypothèses!$C$6</f>
        <v/>
      </c>
      <c r="Y22" s="23">
        <f>(Y10+Y11+Y14)*Hypothèses!$C$6</f>
        <v/>
      </c>
      <c r="Z22" s="23">
        <f>(Z10+Z11+Z14)*Hypothèses!$C$6</f>
        <v/>
      </c>
      <c r="AA22" s="23">
        <f>(AA10+AA11+AA14)*Hypothèses!$C$6</f>
        <v/>
      </c>
      <c r="AB22" s="23">
        <f>(AB10+AB11+AB14)*Hypothèses!$C$6</f>
        <v/>
      </c>
      <c r="AC22" s="23">
        <f>(AC10+AC11+AC14)*Hypothèses!$C$6</f>
        <v/>
      </c>
      <c r="AD22" s="23">
        <f>(AD10+AD11+AD14)*Hypothèses!$C$6</f>
        <v/>
      </c>
      <c r="AE22" s="23">
        <f>(AE10+AE11+AE14)*Hypothèses!$C$6</f>
        <v/>
      </c>
      <c r="AF22" s="23">
        <f>(AF10+AF11+AF14)*Hypothèses!$C$6</f>
        <v/>
      </c>
      <c r="AG22" s="23">
        <f>(AG10+AG11+AG14)*Hypothèses!$C$6</f>
        <v/>
      </c>
      <c r="AH22" s="23">
        <f>(AH10+AH11+AH14)*Hypothèses!$C$6</f>
        <v/>
      </c>
      <c r="AI22" s="23">
        <f>(AI10+AI11+AI14)*Hypothèses!$C$6</f>
        <v/>
      </c>
      <c r="AJ22" s="23">
        <f>(AJ10+AJ11+AJ14)*Hypothèses!$C$6</f>
        <v/>
      </c>
      <c r="AK22" s="23">
        <f>(AK10+AK11+AK14)*Hypothèses!$C$6</f>
        <v/>
      </c>
      <c r="AL22" s="23">
        <f>(AL10+AL11+AL14)*Hypothèses!$C$6</f>
        <v/>
      </c>
    </row>
    <row r="23">
      <c r="A23" s="6" t="inlineStr">
        <is>
          <t>Mémo — TVA nette du mois</t>
        </is>
      </c>
      <c r="C23" s="23">
        <f>C21-C22</f>
        <v/>
      </c>
      <c r="D23" s="23">
        <f>D21-D22</f>
        <v/>
      </c>
      <c r="E23" s="23">
        <f>E21-E22</f>
        <v/>
      </c>
      <c r="F23" s="23">
        <f>F21-F22</f>
        <v/>
      </c>
      <c r="G23" s="23">
        <f>G21-G22</f>
        <v/>
      </c>
      <c r="H23" s="23">
        <f>H21-H22</f>
        <v/>
      </c>
      <c r="I23" s="23">
        <f>I21-I22</f>
        <v/>
      </c>
      <c r="J23" s="23">
        <f>J21-J22</f>
        <v/>
      </c>
      <c r="K23" s="23">
        <f>K21-K22</f>
        <v/>
      </c>
      <c r="L23" s="23">
        <f>L21-L22</f>
        <v/>
      </c>
      <c r="M23" s="23">
        <f>M21-M22</f>
        <v/>
      </c>
      <c r="N23" s="23">
        <f>N21-N22</f>
        <v/>
      </c>
      <c r="O23" s="23">
        <f>O21-O22</f>
        <v/>
      </c>
      <c r="P23" s="23">
        <f>P21-P22</f>
        <v/>
      </c>
      <c r="Q23" s="23">
        <f>Q21-Q22</f>
        <v/>
      </c>
      <c r="R23" s="23">
        <f>R21-R22</f>
        <v/>
      </c>
      <c r="S23" s="23">
        <f>S21-S22</f>
        <v/>
      </c>
      <c r="T23" s="23">
        <f>T21-T22</f>
        <v/>
      </c>
      <c r="U23" s="23">
        <f>U21-U22</f>
        <v/>
      </c>
      <c r="V23" s="23">
        <f>V21-V22</f>
        <v/>
      </c>
      <c r="W23" s="23">
        <f>W21-W22</f>
        <v/>
      </c>
      <c r="X23" s="23">
        <f>X21-X22</f>
        <v/>
      </c>
      <c r="Y23" s="23">
        <f>Y21-Y22</f>
        <v/>
      </c>
      <c r="Z23" s="23">
        <f>Z21-Z22</f>
        <v/>
      </c>
      <c r="AA23" s="23">
        <f>AA21-AA22</f>
        <v/>
      </c>
      <c r="AB23" s="23">
        <f>AB21-AB22</f>
        <v/>
      </c>
      <c r="AC23" s="23">
        <f>AC21-AC22</f>
        <v/>
      </c>
      <c r="AD23" s="23">
        <f>AD21-AD22</f>
        <v/>
      </c>
      <c r="AE23" s="23">
        <f>AE21-AE22</f>
        <v/>
      </c>
      <c r="AF23" s="23">
        <f>AF21-AF22</f>
        <v/>
      </c>
      <c r="AG23" s="23">
        <f>AG21-AG22</f>
        <v/>
      </c>
      <c r="AH23" s="23">
        <f>AH21-AH22</f>
        <v/>
      </c>
      <c r="AI23" s="23">
        <f>AI21-AI22</f>
        <v/>
      </c>
      <c r="AJ23" s="23">
        <f>AJ21-AJ22</f>
        <v/>
      </c>
      <c r="AK23" s="23">
        <f>AK21-AK22</f>
        <v/>
      </c>
      <c r="AL23" s="23">
        <f>AL21-AL22</f>
        <v/>
      </c>
    </row>
  </sheetData>
  <mergeCells count="7">
    <mergeCell ref="AA3:AL3"/>
    <mergeCell ref="O3:Z3"/>
    <mergeCell ref="A2:O2"/>
    <mergeCell ref="A9:AP9"/>
    <mergeCell ref="A6:AP6"/>
    <mergeCell ref="A1:O1"/>
    <mergeCell ref="C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6" customWidth="1" min="3" max="3"/>
    <col width="56" customWidth="1" min="4" max="4"/>
  </cols>
  <sheetData>
    <row r="1" ht="22" customHeight="1">
      <c r="A1" s="1" t="inlineStr">
        <is>
          <t>Plombier — Benchmarks &amp; sources</t>
        </is>
      </c>
    </row>
    <row r="2" ht="16" customHeight="1">
      <c r="A2" s="2" t="inlineStr">
        <is>
          <t>Ratios sectoriels retenus pour construire les hypothèses du modèle</t>
        </is>
      </c>
    </row>
    <row r="3" ht="30" customHeight="1">
      <c r="A3" s="21" t="inlineStr">
        <is>
          <t>Indicateur</t>
        </is>
      </c>
      <c r="B3" s="21" t="inlineStr">
        <is>
          <t>Valeur retenue</t>
        </is>
      </c>
      <c r="C3" s="21" t="inlineStr">
        <is>
          <t>Source</t>
        </is>
      </c>
      <c r="D3" s="21" t="inlineStr">
        <is>
          <t>Commentaire</t>
        </is>
      </c>
    </row>
    <row r="4" ht="32" customHeight="1">
      <c r="A4" s="43" t="inlineStr">
        <is>
          <t>Chiffre d'affaires annuel moyen (plomberie &amp; chauffage)</t>
        </is>
      </c>
      <c r="B4" s="43" t="inlineStr">
        <is>
          <t>≈ 200 k€ (fourchette 150-250k€ retenue)</t>
        </is>
      </c>
      <c r="C4" s="43" t="inlineStr">
        <is>
          <t>Cerfrance — Chiffres clés plomberie &amp; chauffage 2023-2024</t>
        </is>
      </c>
      <c r="D4" s="44" t="inlineStr">
        <is>
          <t>CA exemple cité : 409 929 € pour une structure plus grande ; modèle calibré pour une TPE, en Année 1.</t>
        </is>
      </c>
    </row>
    <row r="5" ht="32" customHeight="1">
      <c r="A5" s="43" t="inlineStr">
        <is>
          <t>Marge nette réelle (exemple cité)</t>
        </is>
      </c>
      <c r="B5" s="43" t="inlineStr">
        <is>
          <t>13,4 % (résultat courant / CA, cas réel 409 929 € CA)</t>
        </is>
      </c>
      <c r="C5" s="43" t="inlineStr">
        <is>
          <t>Modèles de Business Plan — Devenir plombier</t>
        </is>
      </c>
      <c r="D5" s="44" t="inlineStr">
        <is>
          <t>Modèle Année 1 ≈13,6%, très proche de cet exemple réel ; se resserre ensuite (inflation 3%/an &gt; croissance CA 2,5%/an).</t>
        </is>
      </c>
    </row>
    <row r="6" ht="32" customHeight="1">
      <c r="A6" s="43" t="inlineStr">
        <is>
          <t>Marge brute (au sens « cost of sales » BTP, matériaux + main d'œuvre dédiée)</t>
        </is>
      </c>
      <c r="B6" s="43" t="inlineStr">
        <is>
          <t>30 à 50 %</t>
        </is>
      </c>
      <c r="C6" s="43" t="inlineStr">
        <is>
          <t>Modèles de Business Plan</t>
        </is>
      </c>
      <c r="D6" s="44" t="inlineStr">
        <is>
          <t>Modèle Année 1 : (CA − matériaux − personnel direct)/CA ≈ 39,5%, dans la fourchette.</t>
        </is>
      </c>
    </row>
    <row r="7" ht="32" customHeight="1">
      <c r="A7" s="43" t="inlineStr">
        <is>
          <t>Marge brute « matériaux seuls »</t>
        </is>
      </c>
      <c r="B7" s="43" t="inlineStr">
        <is>
          <t>Non documentée séparément</t>
        </is>
      </c>
      <c r="C7" s="43" t="inlineStr">
        <is>
          <t>—</t>
        </is>
      </c>
      <c r="D7" s="44" t="inlineStr">
        <is>
          <t>Modèle : (CA − matériaux &amp; fournitures)/CA ≈ 75% Année 1 — cohérent avec un métier où la main d'œuvre, pas la matière, est le principal poste de coût.</t>
        </is>
      </c>
    </row>
    <row r="8" ht="32" customHeight="1">
      <c r="A8" s="43" t="inlineStr">
        <is>
          <t>Poids matériaux dans le CA</t>
        </is>
      </c>
      <c r="B8" s="43" t="inlineStr">
        <is>
          <t>20 à 35 % selon type d'intervention</t>
        </is>
      </c>
      <c r="C8" s="43" t="inlineStr">
        <is>
          <t>Cerfrance</t>
        </is>
      </c>
      <c r="D8" s="44" t="inlineStr">
        <is>
          <t>Modèle retient ≈24,5% en Année 1.</t>
        </is>
      </c>
    </row>
    <row r="9" ht="32" customHeight="1">
      <c r="A9" s="43" t="inlineStr">
        <is>
          <t>Poids approvisionnement + personnel dans les charges</t>
        </is>
      </c>
      <c r="B9" s="43" t="inlineStr">
        <is>
          <t>85 à 87 % des charges d'exploitation</t>
        </is>
      </c>
      <c r="C9" s="43" t="inlineStr">
        <is>
          <t>Cerfrance</t>
        </is>
      </c>
      <c r="D9" s="44" t="inlineStr">
        <is>
          <t>Cohérent avec la structure du modèle.</t>
        </is>
      </c>
    </row>
    <row r="10" ht="32" customHeight="1">
      <c r="A10" s="43" t="inlineStr">
        <is>
          <t>Tarif horaire plombier</t>
        </is>
      </c>
      <c r="B10" s="43" t="inlineStr">
        <is>
          <t>40 à 90 € HT/h</t>
        </is>
      </c>
      <c r="C10" s="43" t="inlineStr">
        <is>
          <t>Travaux.com / guides de prix 2026</t>
        </is>
      </c>
      <c r="D10" s="44" t="inlineStr">
        <is>
          <t>Référence indirecte pour vérifier la cohérence du chiffrage de la main d'œuvre.</t>
        </is>
      </c>
    </row>
    <row r="11" ht="32" customHeight="1">
      <c r="A11" s="43" t="inlineStr">
        <is>
          <t>Prix tube cuivre</t>
        </is>
      </c>
      <c r="B11" s="43" t="inlineStr">
        <is>
          <t>11 à 50 €/ml (selon diamètre)</t>
        </is>
      </c>
      <c r="C11" s="43" t="inlineStr">
        <is>
          <t>Travaux.com — guide des prix tuyauterie 2026</t>
        </is>
      </c>
      <c r="D11" s="44" t="inlineStr">
        <is>
          <t>Le cuivre brut (kg) utilise une simulation mensuelle calibrée (placeholder API COPPER).</t>
        </is>
      </c>
    </row>
    <row r="12" ht="32" customHeight="1">
      <c r="A12" s="43" t="inlineStr">
        <is>
          <t>Prix tube PER / multicouche</t>
        </is>
      </c>
      <c r="B12" s="43" t="inlineStr">
        <is>
          <t>9 à 40 €/ml selon diamètre</t>
        </is>
      </c>
      <c r="C12" s="43" t="inlineStr">
        <is>
          <t>Travaux.com / Tafsquare</t>
        </is>
      </c>
      <c r="D12" s="44" t="inlineStr">
        <is>
          <t>Prix en dur retenu : 12€/ml Année 1 (inflaté ensuite).</t>
        </is>
      </c>
    </row>
    <row r="13" ht="32" customHeight="1">
      <c r="A13" s="43" t="inlineStr">
        <is>
          <t>Assurance décennale — exemple de prime</t>
        </is>
      </c>
      <c r="B13" s="43" t="inlineStr">
        <is>
          <t>≈ 2 440 €/an, réductions jusqu'à -25% pour artisans expérimentés</t>
        </is>
      </c>
      <c r="C13" s="43" t="inlineStr">
        <is>
          <t>Aric-assurances</t>
        </is>
      </c>
      <c r="D13" s="44" t="inlineStr">
        <is>
          <t>Modèle retient ≈6 600€/an Année 1 avec réduction artisan expérimenté.</t>
        </is>
      </c>
    </row>
    <row r="14" ht="32" customHeight="1">
      <c r="A14" s="43" t="inlineStr">
        <is>
          <t>Délai de paiement</t>
        </is>
      </c>
      <c r="B14" s="43" t="inlineStr">
        <is>
          <t>Paiement majoritairement à la prestation (cash/CB/chèque)</t>
        </is>
      </c>
      <c r="C14" s="43" t="inlineStr">
        <is>
          <t>Hypothèse métier (clientèle particuliers)</t>
        </is>
      </c>
      <c r="D14" s="44" t="inlineStr">
        <is>
          <t>Modèle : 100% encaissé le mois même — à ajuster si forte clientèle professionnelle/syndics (délais 30j).</t>
        </is>
      </c>
    </row>
    <row r="15" ht="32" customHeight="1">
      <c r="A15" s="43" t="inlineStr">
        <is>
          <t>Saisonnalité hiver</t>
        </is>
      </c>
      <c r="B15" s="43" t="inlineStr">
        <is>
          <t>Pics de pannes (gel, chauffage) en hiver</t>
        </is>
      </c>
      <c r="C15" s="43" t="inlineStr">
        <is>
          <t>Hypothèse métier</t>
        </is>
      </c>
      <c r="D15" s="44" t="inlineStr">
        <is>
          <t>Indices 1,15 (janv./nov.) et 1,05 (déc.) retenus ; motif répété chaque année.</t>
        </is>
      </c>
    </row>
    <row r="16" ht="32" customHeight="1">
      <c r="A16" s="43" t="inlineStr">
        <is>
          <t>API de prix de marché disponibles (gratuites)</t>
        </is>
      </c>
      <c r="B16" s="43" t="inlineStr">
        <is>
          <t>Alpha Vantage (clé demo) : COPPER, WTI, BRENT...</t>
        </is>
      </c>
      <c r="C16" s="43" t="inlineStr">
        <is>
          <t>https://www.alphavantage.co/query?function=COPPER&amp;interval=monthly&amp;apikey=demo</t>
        </is>
      </c>
      <c r="D16" s="44" t="inlineStr">
        <is>
          <t>À connecter sur les lignes cuivre et carburant à la place de la simulation.</t>
        </is>
      </c>
    </row>
    <row r="17" ht="32" customHeight="1">
      <c r="A17" s="43" t="inlineStr">
        <is>
          <t>Données énergie France</t>
        </is>
      </c>
      <c r="B17" s="43" t="inlineStr">
        <is>
          <t>SDES (ex-Pégase) — prix moyens électricité professionnels</t>
        </is>
      </c>
      <c r="C17" s="43" t="inlineStr">
        <is>
          <t>https://www.statistiques.developpement-durable.gouv.fr</t>
        </is>
      </c>
      <c r="D17" s="44" t="inlineStr">
        <is>
          <t>À utiliser pour actualiser le prix de l'électricité du local.</t>
        </is>
      </c>
    </row>
    <row r="18" ht="32" customHeight="1">
      <c r="A18" s="43" t="inlineStr">
        <is>
          <t>Simulation des prix de marché mensuels</t>
        </is>
      </c>
      <c r="B18" s="43" t="inlineStr">
        <is>
          <t>Marche aléatoire calibrée (drift + volatilité) autour des niveaux sourcés</t>
        </is>
      </c>
      <c r="C18" s="43" t="inlineStr">
        <is>
          <t>Méthodologie interne (fonction simulate_price_series)</t>
        </is>
      </c>
      <c r="D18" s="44" t="inlineStr">
        <is>
          <t>Remplace une inflation lissée par une vraie variation mois par mois sur cuivre, carburant, électricité.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2026-06-27T15:31:37Z</dcterms:created>
  <dcterms:modified xsi:type="dcterms:W3CDTF">2026-06-27T15:31:37Z</dcterms:modified>
</cp:coreProperties>
</file>