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Boulangerie Artisanale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Artisanal bakery and pastry shop. | Archetype: bakery | CA cible A1: 310,000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310000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0.055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0.11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12000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3200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480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1.08</v>
      </c>
      <c r="D17" s="4" t="n">
        <v>0.97</v>
      </c>
      <c r="E17" s="4" t="n">
        <v>0.98</v>
      </c>
      <c r="F17" s="4" t="n">
        <v>1.03</v>
      </c>
      <c r="G17" s="4" t="n">
        <v>1</v>
      </c>
      <c r="H17" s="4" t="n">
        <v>0.97</v>
      </c>
      <c r="I17" s="4" t="n">
        <v>0.95</v>
      </c>
      <c r="J17" s="4" t="n">
        <v>0.75</v>
      </c>
      <c r="K17" s="4" t="n">
        <v>1.02</v>
      </c>
      <c r="L17" s="4" t="n">
        <v>1.05</v>
      </c>
      <c r="M17" s="4" t="n">
        <v>1.02</v>
      </c>
      <c r="N17" s="4" t="n">
        <v>1.18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Boulangerie Artisanale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Bread</t>
        </is>
      </c>
      <c r="B5" s="4" t="n">
        <v>0.45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Viennoiserie</t>
        </is>
      </c>
      <c r="B6" s="4" t="n">
        <v>0.2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Pastry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3" t="inlineStr">
        <is>
          <t>Snacking and catering</t>
        </is>
      </c>
      <c r="B8" s="4" t="n">
        <v>0.15</v>
      </c>
      <c r="C8" s="5">
        <f>'Hypotheses'!$C$4*$B8*'Hypotheses'!C$18*(1+'Hypotheses'!$C$13)^0</f>
        <v/>
      </c>
      <c r="D8" s="5">
        <f>'Hypotheses'!$C$4*$B8*'Hypotheses'!D$18*(1+'Hypotheses'!$C$13)^0</f>
        <v/>
      </c>
      <c r="E8" s="5">
        <f>'Hypotheses'!$C$4*$B8*'Hypotheses'!E$18*(1+'Hypotheses'!$C$13)^0</f>
        <v/>
      </c>
      <c r="F8" s="5">
        <f>'Hypotheses'!$C$4*$B8*'Hypotheses'!F$18*(1+'Hypotheses'!$C$13)^0</f>
        <v/>
      </c>
      <c r="G8" s="5">
        <f>'Hypotheses'!$C$4*$B8*'Hypotheses'!G$18*(1+'Hypotheses'!$C$13)^0</f>
        <v/>
      </c>
      <c r="H8" s="5">
        <f>'Hypotheses'!$C$4*$B8*'Hypotheses'!H$18*(1+'Hypotheses'!$C$13)^0</f>
        <v/>
      </c>
      <c r="I8" s="5">
        <f>'Hypotheses'!$C$4*$B8*'Hypotheses'!I$18*(1+'Hypotheses'!$C$13)^0</f>
        <v/>
      </c>
      <c r="J8" s="5">
        <f>'Hypotheses'!$C$4*$B8*'Hypotheses'!J$18*(1+'Hypotheses'!$C$13)^0</f>
        <v/>
      </c>
      <c r="K8" s="5">
        <f>'Hypotheses'!$C$4*$B8*'Hypotheses'!K$18*(1+'Hypotheses'!$C$13)^0</f>
        <v/>
      </c>
      <c r="L8" s="5">
        <f>'Hypotheses'!$C$4*$B8*'Hypotheses'!L$18*(1+'Hypotheses'!$C$13)^0</f>
        <v/>
      </c>
      <c r="M8" s="5">
        <f>'Hypotheses'!$C$4*$B8*'Hypotheses'!M$18*(1+'Hypotheses'!$C$13)^0</f>
        <v/>
      </c>
      <c r="N8" s="5">
        <f>'Hypotheses'!$C$4*$B8*'Hypotheses'!N$18*(1+'Hypotheses'!$C$13)^0</f>
        <v/>
      </c>
      <c r="O8" s="5">
        <f>'Hypotheses'!$C$4*$B8*'Hypotheses'!C$18*(1+'Hypotheses'!$C$13)^1</f>
        <v/>
      </c>
      <c r="P8" s="5">
        <f>'Hypotheses'!$C$4*$B8*'Hypotheses'!D$18*(1+'Hypotheses'!$C$13)^1</f>
        <v/>
      </c>
      <c r="Q8" s="5">
        <f>'Hypotheses'!$C$4*$B8*'Hypotheses'!E$18*(1+'Hypotheses'!$C$13)^1</f>
        <v/>
      </c>
      <c r="R8" s="5">
        <f>'Hypotheses'!$C$4*$B8*'Hypotheses'!F$18*(1+'Hypotheses'!$C$13)^1</f>
        <v/>
      </c>
      <c r="S8" s="5">
        <f>'Hypotheses'!$C$4*$B8*'Hypotheses'!G$18*(1+'Hypotheses'!$C$13)^1</f>
        <v/>
      </c>
      <c r="T8" s="5">
        <f>'Hypotheses'!$C$4*$B8*'Hypotheses'!H$18*(1+'Hypotheses'!$C$13)^1</f>
        <v/>
      </c>
      <c r="U8" s="5">
        <f>'Hypotheses'!$C$4*$B8*'Hypotheses'!I$18*(1+'Hypotheses'!$C$13)^1</f>
        <v/>
      </c>
      <c r="V8" s="5">
        <f>'Hypotheses'!$C$4*$B8*'Hypotheses'!J$18*(1+'Hypotheses'!$C$13)^1</f>
        <v/>
      </c>
      <c r="W8" s="5">
        <f>'Hypotheses'!$C$4*$B8*'Hypotheses'!K$18*(1+'Hypotheses'!$C$13)^1</f>
        <v/>
      </c>
      <c r="X8" s="5">
        <f>'Hypotheses'!$C$4*$B8*'Hypotheses'!L$18*(1+'Hypotheses'!$C$13)^1</f>
        <v/>
      </c>
      <c r="Y8" s="5">
        <f>'Hypotheses'!$C$4*$B8*'Hypotheses'!M$18*(1+'Hypotheses'!$C$13)^1</f>
        <v/>
      </c>
      <c r="Z8" s="5">
        <f>'Hypotheses'!$C$4*$B8*'Hypotheses'!N$18*(1+'Hypotheses'!$C$13)^1</f>
        <v/>
      </c>
      <c r="AA8" s="5">
        <f>'Hypotheses'!$C$4*$B8*'Hypotheses'!C$18*(1+'Hypotheses'!$C$13)^2</f>
        <v/>
      </c>
      <c r="AB8" s="5">
        <f>'Hypotheses'!$C$4*$B8*'Hypotheses'!D$18*(1+'Hypotheses'!$C$13)^2</f>
        <v/>
      </c>
      <c r="AC8" s="5">
        <f>'Hypotheses'!$C$4*$B8*'Hypotheses'!E$18*(1+'Hypotheses'!$C$13)^2</f>
        <v/>
      </c>
      <c r="AD8" s="5">
        <f>'Hypotheses'!$C$4*$B8*'Hypotheses'!F$18*(1+'Hypotheses'!$C$13)^2</f>
        <v/>
      </c>
      <c r="AE8" s="5">
        <f>'Hypotheses'!$C$4*$B8*'Hypotheses'!G$18*(1+'Hypotheses'!$C$13)^2</f>
        <v/>
      </c>
      <c r="AF8" s="5">
        <f>'Hypotheses'!$C$4*$B8*'Hypotheses'!H$18*(1+'Hypotheses'!$C$13)^2</f>
        <v/>
      </c>
      <c r="AG8" s="5">
        <f>'Hypotheses'!$C$4*$B8*'Hypotheses'!I$18*(1+'Hypotheses'!$C$13)^2</f>
        <v/>
      </c>
      <c r="AH8" s="5">
        <f>'Hypotheses'!$C$4*$B8*'Hypotheses'!J$18*(1+'Hypotheses'!$C$13)^2</f>
        <v/>
      </c>
      <c r="AI8" s="5">
        <f>'Hypotheses'!$C$4*$B8*'Hypotheses'!K$18*(1+'Hypotheses'!$C$13)^2</f>
        <v/>
      </c>
      <c r="AJ8" s="5">
        <f>'Hypotheses'!$C$4*$B8*'Hypotheses'!L$18*(1+'Hypotheses'!$C$13)^2</f>
        <v/>
      </c>
      <c r="AK8" s="5">
        <f>'Hypotheses'!$C$4*$B8*'Hypotheses'!M$18*(1+'Hypotheses'!$C$13)^2</f>
        <v/>
      </c>
      <c r="AL8" s="5">
        <f>'Hypotheses'!$C$4*$B8*'Hypotheses'!N$18*(1+'Hypotheses'!$C$13)^2</f>
        <v/>
      </c>
    </row>
    <row r="9" ht="20" customHeight="1">
      <c r="A9" s="3" t="inlineStr">
        <is>
          <t>Drinks and other</t>
        </is>
      </c>
      <c r="B9" s="4" t="n">
        <v>0.05</v>
      </c>
      <c r="C9" s="5">
        <f>'Hypotheses'!$C$4*$B9*'Hypotheses'!C$18*(1+'Hypotheses'!$C$13)^0</f>
        <v/>
      </c>
      <c r="D9" s="5">
        <f>'Hypotheses'!$C$4*$B9*'Hypotheses'!D$18*(1+'Hypotheses'!$C$13)^0</f>
        <v/>
      </c>
      <c r="E9" s="5">
        <f>'Hypotheses'!$C$4*$B9*'Hypotheses'!E$18*(1+'Hypotheses'!$C$13)^0</f>
        <v/>
      </c>
      <c r="F9" s="5">
        <f>'Hypotheses'!$C$4*$B9*'Hypotheses'!F$18*(1+'Hypotheses'!$C$13)^0</f>
        <v/>
      </c>
      <c r="G9" s="5">
        <f>'Hypotheses'!$C$4*$B9*'Hypotheses'!G$18*(1+'Hypotheses'!$C$13)^0</f>
        <v/>
      </c>
      <c r="H9" s="5">
        <f>'Hypotheses'!$C$4*$B9*'Hypotheses'!H$18*(1+'Hypotheses'!$C$13)^0</f>
        <v/>
      </c>
      <c r="I9" s="5">
        <f>'Hypotheses'!$C$4*$B9*'Hypotheses'!I$18*(1+'Hypotheses'!$C$13)^0</f>
        <v/>
      </c>
      <c r="J9" s="5">
        <f>'Hypotheses'!$C$4*$B9*'Hypotheses'!J$18*(1+'Hypotheses'!$C$13)^0</f>
        <v/>
      </c>
      <c r="K9" s="5">
        <f>'Hypotheses'!$C$4*$B9*'Hypotheses'!K$18*(1+'Hypotheses'!$C$13)^0</f>
        <v/>
      </c>
      <c r="L9" s="5">
        <f>'Hypotheses'!$C$4*$B9*'Hypotheses'!L$18*(1+'Hypotheses'!$C$13)^0</f>
        <v/>
      </c>
      <c r="M9" s="5">
        <f>'Hypotheses'!$C$4*$B9*'Hypotheses'!M$18*(1+'Hypotheses'!$C$13)^0</f>
        <v/>
      </c>
      <c r="N9" s="5">
        <f>'Hypotheses'!$C$4*$B9*'Hypotheses'!N$18*(1+'Hypotheses'!$C$13)^0</f>
        <v/>
      </c>
      <c r="O9" s="5">
        <f>'Hypotheses'!$C$4*$B9*'Hypotheses'!C$18*(1+'Hypotheses'!$C$13)^1</f>
        <v/>
      </c>
      <c r="P9" s="5">
        <f>'Hypotheses'!$C$4*$B9*'Hypotheses'!D$18*(1+'Hypotheses'!$C$13)^1</f>
        <v/>
      </c>
      <c r="Q9" s="5">
        <f>'Hypotheses'!$C$4*$B9*'Hypotheses'!E$18*(1+'Hypotheses'!$C$13)^1</f>
        <v/>
      </c>
      <c r="R9" s="5">
        <f>'Hypotheses'!$C$4*$B9*'Hypotheses'!F$18*(1+'Hypotheses'!$C$13)^1</f>
        <v/>
      </c>
      <c r="S9" s="5">
        <f>'Hypotheses'!$C$4*$B9*'Hypotheses'!G$18*(1+'Hypotheses'!$C$13)^1</f>
        <v/>
      </c>
      <c r="T9" s="5">
        <f>'Hypotheses'!$C$4*$B9*'Hypotheses'!H$18*(1+'Hypotheses'!$C$13)^1</f>
        <v/>
      </c>
      <c r="U9" s="5">
        <f>'Hypotheses'!$C$4*$B9*'Hypotheses'!I$18*(1+'Hypotheses'!$C$13)^1</f>
        <v/>
      </c>
      <c r="V9" s="5">
        <f>'Hypotheses'!$C$4*$B9*'Hypotheses'!J$18*(1+'Hypotheses'!$C$13)^1</f>
        <v/>
      </c>
      <c r="W9" s="5">
        <f>'Hypotheses'!$C$4*$B9*'Hypotheses'!K$18*(1+'Hypotheses'!$C$13)^1</f>
        <v/>
      </c>
      <c r="X9" s="5">
        <f>'Hypotheses'!$C$4*$B9*'Hypotheses'!L$18*(1+'Hypotheses'!$C$13)^1</f>
        <v/>
      </c>
      <c r="Y9" s="5">
        <f>'Hypotheses'!$C$4*$B9*'Hypotheses'!M$18*(1+'Hypotheses'!$C$13)^1</f>
        <v/>
      </c>
      <c r="Z9" s="5">
        <f>'Hypotheses'!$C$4*$B9*'Hypotheses'!N$18*(1+'Hypotheses'!$C$13)^1</f>
        <v/>
      </c>
      <c r="AA9" s="5">
        <f>'Hypotheses'!$C$4*$B9*'Hypotheses'!C$18*(1+'Hypotheses'!$C$13)^2</f>
        <v/>
      </c>
      <c r="AB9" s="5">
        <f>'Hypotheses'!$C$4*$B9*'Hypotheses'!D$18*(1+'Hypotheses'!$C$13)^2</f>
        <v/>
      </c>
      <c r="AC9" s="5">
        <f>'Hypotheses'!$C$4*$B9*'Hypotheses'!E$18*(1+'Hypotheses'!$C$13)^2</f>
        <v/>
      </c>
      <c r="AD9" s="5">
        <f>'Hypotheses'!$C$4*$B9*'Hypotheses'!F$18*(1+'Hypotheses'!$C$13)^2</f>
        <v/>
      </c>
      <c r="AE9" s="5">
        <f>'Hypotheses'!$C$4*$B9*'Hypotheses'!G$18*(1+'Hypotheses'!$C$13)^2</f>
        <v/>
      </c>
      <c r="AF9" s="5">
        <f>'Hypotheses'!$C$4*$B9*'Hypotheses'!H$18*(1+'Hypotheses'!$C$13)^2</f>
        <v/>
      </c>
      <c r="AG9" s="5">
        <f>'Hypotheses'!$C$4*$B9*'Hypotheses'!I$18*(1+'Hypotheses'!$C$13)^2</f>
        <v/>
      </c>
      <c r="AH9" s="5">
        <f>'Hypotheses'!$C$4*$B9*'Hypotheses'!J$18*(1+'Hypotheses'!$C$13)^2</f>
        <v/>
      </c>
      <c r="AI9" s="5">
        <f>'Hypotheses'!$C$4*$B9*'Hypotheses'!K$18*(1+'Hypotheses'!$C$13)^2</f>
        <v/>
      </c>
      <c r="AJ9" s="5">
        <f>'Hypotheses'!$C$4*$B9*'Hypotheses'!L$18*(1+'Hypotheses'!$C$13)^2</f>
        <v/>
      </c>
      <c r="AK9" s="5">
        <f>'Hypotheses'!$C$4*$B9*'Hypotheses'!M$18*(1+'Hypotheses'!$C$13)^2</f>
        <v/>
      </c>
      <c r="AL9" s="5">
        <f>'Hypotheses'!$C$4*$B9*'Hypotheses'!N$18*(1+'Hypotheses'!$C$13)^2</f>
        <v/>
      </c>
    </row>
    <row r="10" ht="20" customHeight="1">
      <c r="A10" s="7" t="inlineStr">
        <is>
          <t>TOTAL CA HT</t>
        </is>
      </c>
      <c r="B10" s="7" t="n"/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  <c r="G10" s="7">
        <f>SUM(G5:G9)</f>
        <v/>
      </c>
      <c r="H10" s="7">
        <f>SUM(H5:H9)</f>
        <v/>
      </c>
      <c r="I10" s="7">
        <f>SUM(I5:I9)</f>
        <v/>
      </c>
      <c r="J10" s="7">
        <f>SUM(J5:J9)</f>
        <v/>
      </c>
      <c r="K10" s="7">
        <f>SUM(K5:K9)</f>
        <v/>
      </c>
      <c r="L10" s="7">
        <f>SUM(L5:L9)</f>
        <v/>
      </c>
      <c r="M10" s="7">
        <f>SUM(M5:M9)</f>
        <v/>
      </c>
      <c r="N10" s="7">
        <f>SUM(N5:N9)</f>
        <v/>
      </c>
      <c r="O10" s="7">
        <f>SUM(O5:O9)</f>
        <v/>
      </c>
      <c r="P10" s="7">
        <f>SUM(P5:P9)</f>
        <v/>
      </c>
      <c r="Q10" s="7">
        <f>SUM(Q5:Q9)</f>
        <v/>
      </c>
      <c r="R10" s="7">
        <f>SUM(R5:R9)</f>
        <v/>
      </c>
      <c r="S10" s="7">
        <f>SUM(S5:S9)</f>
        <v/>
      </c>
      <c r="T10" s="7">
        <f>SUM(T5:T9)</f>
        <v/>
      </c>
      <c r="U10" s="7">
        <f>SUM(U5:U9)</f>
        <v/>
      </c>
      <c r="V10" s="7">
        <f>SUM(V5:V9)</f>
        <v/>
      </c>
      <c r="W10" s="7">
        <f>SUM(W5:W9)</f>
        <v/>
      </c>
      <c r="X10" s="7">
        <f>SUM(X5:X9)</f>
        <v/>
      </c>
      <c r="Y10" s="7">
        <f>SUM(Y5:Y9)</f>
        <v/>
      </c>
      <c r="Z10" s="7">
        <f>SUM(Z5:Z9)</f>
        <v/>
      </c>
      <c r="AA10" s="7">
        <f>SUM(AA5:AA9)</f>
        <v/>
      </c>
      <c r="AB10" s="7">
        <f>SUM(AB5:AB9)</f>
        <v/>
      </c>
      <c r="AC10" s="7">
        <f>SUM(AC5:AC9)</f>
        <v/>
      </c>
      <c r="AD10" s="7">
        <f>SUM(AD5:AD9)</f>
        <v/>
      </c>
      <c r="AE10" s="7">
        <f>SUM(AE5:AE9)</f>
        <v/>
      </c>
      <c r="AF10" s="7">
        <f>SUM(AF5:AF9)</f>
        <v/>
      </c>
      <c r="AG10" s="7">
        <f>SUM(AG5:AG9)</f>
        <v/>
      </c>
      <c r="AH10" s="7">
        <f>SUM(AH5:AH9)</f>
        <v/>
      </c>
      <c r="AI10" s="7">
        <f>SUM(AI5:AI9)</f>
        <v/>
      </c>
      <c r="AJ10" s="7">
        <f>SUM(AJ5:AJ9)</f>
        <v/>
      </c>
      <c r="AK10" s="7">
        <f>SUM(AK5:AK9)</f>
        <v/>
      </c>
      <c r="AL10" s="7">
        <f>SUM(AL5:AL9)</f>
        <v/>
      </c>
    </row>
    <row r="11" ht="20" customHeight="1">
      <c r="A11" s="7" t="inlineStr">
        <is>
          <t>Control sum revenue mix</t>
        </is>
      </c>
      <c r="B11" s="8">
        <f>SUM(B5:B9)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</row>
    <row r="12" ht="20" customHeight="1">
      <c r="A12" s="7" t="inlineStr">
        <is>
          <t>TVA collectee sur les ventes</t>
        </is>
      </c>
      <c r="B12" s="7" t="n"/>
      <c r="C12" s="7">
        <f>C10*'Hypotheses'!$C$5</f>
        <v/>
      </c>
      <c r="D12" s="7">
        <f>D10*'Hypotheses'!$C$5</f>
        <v/>
      </c>
      <c r="E12" s="7">
        <f>E10*'Hypotheses'!$C$5</f>
        <v/>
      </c>
      <c r="F12" s="7">
        <f>F10*'Hypotheses'!$C$5</f>
        <v/>
      </c>
      <c r="G12" s="7">
        <f>G10*'Hypotheses'!$C$5</f>
        <v/>
      </c>
      <c r="H12" s="7">
        <f>H10*'Hypotheses'!$C$5</f>
        <v/>
      </c>
      <c r="I12" s="7">
        <f>I10*'Hypotheses'!$C$5</f>
        <v/>
      </c>
      <c r="J12" s="7">
        <f>J10*'Hypotheses'!$C$5</f>
        <v/>
      </c>
      <c r="K12" s="7">
        <f>K10*'Hypotheses'!$C$5</f>
        <v/>
      </c>
      <c r="L12" s="7">
        <f>L10*'Hypotheses'!$C$5</f>
        <v/>
      </c>
      <c r="M12" s="7">
        <f>M10*'Hypotheses'!$C$5</f>
        <v/>
      </c>
      <c r="N12" s="7">
        <f>N10*'Hypotheses'!$C$5</f>
        <v/>
      </c>
      <c r="O12" s="7">
        <f>O10*'Hypotheses'!$C$5</f>
        <v/>
      </c>
      <c r="P12" s="7">
        <f>P10*'Hypotheses'!$C$5</f>
        <v/>
      </c>
      <c r="Q12" s="7">
        <f>Q10*'Hypotheses'!$C$5</f>
        <v/>
      </c>
      <c r="R12" s="7">
        <f>R10*'Hypotheses'!$C$5</f>
        <v/>
      </c>
      <c r="S12" s="7">
        <f>S10*'Hypotheses'!$C$5</f>
        <v/>
      </c>
      <c r="T12" s="7">
        <f>T10*'Hypotheses'!$C$5</f>
        <v/>
      </c>
      <c r="U12" s="7">
        <f>U10*'Hypotheses'!$C$5</f>
        <v/>
      </c>
      <c r="V12" s="7">
        <f>V10*'Hypotheses'!$C$5</f>
        <v/>
      </c>
      <c r="W12" s="7">
        <f>W10*'Hypotheses'!$C$5</f>
        <v/>
      </c>
      <c r="X12" s="7">
        <f>X10*'Hypotheses'!$C$5</f>
        <v/>
      </c>
      <c r="Y12" s="7">
        <f>Y10*'Hypotheses'!$C$5</f>
        <v/>
      </c>
      <c r="Z12" s="7">
        <f>Z10*'Hypotheses'!$C$5</f>
        <v/>
      </c>
      <c r="AA12" s="7">
        <f>AA10*'Hypotheses'!$C$5</f>
        <v/>
      </c>
      <c r="AB12" s="7">
        <f>AB10*'Hypotheses'!$C$5</f>
        <v/>
      </c>
      <c r="AC12" s="7">
        <f>AC10*'Hypotheses'!$C$5</f>
        <v/>
      </c>
      <c r="AD12" s="7">
        <f>AD10*'Hypotheses'!$C$5</f>
        <v/>
      </c>
      <c r="AE12" s="7">
        <f>AE10*'Hypotheses'!$C$5</f>
        <v/>
      </c>
      <c r="AF12" s="7">
        <f>AF10*'Hypotheses'!$C$5</f>
        <v/>
      </c>
      <c r="AG12" s="7">
        <f>AG10*'Hypotheses'!$C$5</f>
        <v/>
      </c>
      <c r="AH12" s="7">
        <f>AH10*'Hypotheses'!$C$5</f>
        <v/>
      </c>
      <c r="AI12" s="7">
        <f>AI10*'Hypotheses'!$C$5</f>
        <v/>
      </c>
      <c r="AJ12" s="7">
        <f>AJ10*'Hypotheses'!$C$5</f>
        <v/>
      </c>
      <c r="AK12" s="7">
        <f>AK10*'Hypotheses'!$C$5</f>
        <v/>
      </c>
      <c r="AL12" s="7">
        <f>AL10*'Hypotheses'!$C$5</f>
        <v/>
      </c>
    </row>
    <row r="13" ht="20" customHeight="1">
      <c r="A13" s="7" t="inlineStr">
        <is>
          <t>CA TTC encaissable</t>
        </is>
      </c>
      <c r="B13" s="7" t="n"/>
      <c r="C13" s="7">
        <f>C10+C12</f>
        <v/>
      </c>
      <c r="D13" s="7">
        <f>D10+D12</f>
        <v/>
      </c>
      <c r="E13" s="7">
        <f>E10+E12</f>
        <v/>
      </c>
      <c r="F13" s="7">
        <f>F10+F12</f>
        <v/>
      </c>
      <c r="G13" s="7">
        <f>G10+G12</f>
        <v/>
      </c>
      <c r="H13" s="7">
        <f>H10+H12</f>
        <v/>
      </c>
      <c r="I13" s="7">
        <f>I10+I12</f>
        <v/>
      </c>
      <c r="J13" s="7">
        <f>J10+J12</f>
        <v/>
      </c>
      <c r="K13" s="7">
        <f>K10+K12</f>
        <v/>
      </c>
      <c r="L13" s="7">
        <f>L10+L12</f>
        <v/>
      </c>
      <c r="M13" s="7">
        <f>M10+M12</f>
        <v/>
      </c>
      <c r="N13" s="7">
        <f>N10+N12</f>
        <v/>
      </c>
      <c r="O13" s="7">
        <f>O10+O12</f>
        <v/>
      </c>
      <c r="P13" s="7">
        <f>P10+P12</f>
        <v/>
      </c>
      <c r="Q13" s="7">
        <f>Q10+Q12</f>
        <v/>
      </c>
      <c r="R13" s="7">
        <f>R10+R12</f>
        <v/>
      </c>
      <c r="S13" s="7">
        <f>S10+S12</f>
        <v/>
      </c>
      <c r="T13" s="7">
        <f>T10+T12</f>
        <v/>
      </c>
      <c r="U13" s="7">
        <f>U10+U12</f>
        <v/>
      </c>
      <c r="V13" s="7">
        <f>V10+V12</f>
        <v/>
      </c>
      <c r="W13" s="7">
        <f>W10+W12</f>
        <v/>
      </c>
      <c r="X13" s="7">
        <f>X10+X12</f>
        <v/>
      </c>
      <c r="Y13" s="7">
        <f>Y10+Y12</f>
        <v/>
      </c>
      <c r="Z13" s="7">
        <f>Z10+Z12</f>
        <v/>
      </c>
      <c r="AA13" s="7">
        <f>AA10+AA12</f>
        <v/>
      </c>
      <c r="AB13" s="7">
        <f>AB10+AB12</f>
        <v/>
      </c>
      <c r="AC13" s="7">
        <f>AC10+AC12</f>
        <v/>
      </c>
      <c r="AD13" s="7">
        <f>AD10+AD12</f>
        <v/>
      </c>
      <c r="AE13" s="7">
        <f>AE10+AE12</f>
        <v/>
      </c>
      <c r="AF13" s="7">
        <f>AF10+AF12</f>
        <v/>
      </c>
      <c r="AG13" s="7">
        <f>AG10+AG12</f>
        <v/>
      </c>
      <c r="AH13" s="7">
        <f>AH10+AH12</f>
        <v/>
      </c>
      <c r="AI13" s="7">
        <f>AI10+AI12</f>
        <v/>
      </c>
      <c r="AJ13" s="7">
        <f>AJ10+AJ12</f>
        <v/>
      </c>
      <c r="AK13" s="7">
        <f>AK10+AK12</f>
        <v/>
      </c>
      <c r="AL13" s="7">
        <f>AL10+AL12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Boulangerie Artisanale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Wheat flour T55/T65 - market price</t>
        </is>
      </c>
      <c r="C5" s="4" t="n">
        <v>5000</v>
      </c>
      <c r="D5" s="3" t="inlineStr">
        <is>
          <t>kg</t>
        </is>
      </c>
      <c r="E5" s="3">
        <f>AVERAGE(H5:AQ5)</f>
        <v/>
      </c>
      <c r="F5" s="3" t="inlineStr">
        <is>
          <t>Wheat</t>
        </is>
      </c>
      <c r="G5" s="9" t="inlineStr">
        <is>
          <t>INSEE BDM 010002046: Cours des matières premières importées - Blé de force rouge d'hiver, contrat à terme à la 1ère échéance, CME (Chicago Mercantile Exchange) - Prix en cents US par boisseau; normalized to model unit price</t>
        </is>
      </c>
      <c r="H5" s="9" t="n">
        <v>0.5600000000000001</v>
      </c>
      <c r="I5" s="9" t="n">
        <v>0.5668</v>
      </c>
      <c r="J5" s="9" t="n">
        <v>0.5356</v>
      </c>
      <c r="K5" s="9" t="n">
        <v>0.5604</v>
      </c>
      <c r="L5" s="9" t="n">
        <v>0.592</v>
      </c>
      <c r="M5" s="9" t="n">
        <v>0.5584</v>
      </c>
      <c r="N5" s="9" t="n">
        <v>0.5701000000000001</v>
      </c>
      <c r="O5" s="9" t="n">
        <v>0.6401</v>
      </c>
      <c r="P5" s="9" t="n">
        <v>0.6344</v>
      </c>
      <c r="Q5" s="9" t="n">
        <v>0.6788</v>
      </c>
      <c r="R5" s="9" t="n">
        <v>0.7419</v>
      </c>
      <c r="S5" s="9" t="n">
        <v>0.7376</v>
      </c>
      <c r="T5" s="9" t="n">
        <v>0.7102000000000001</v>
      </c>
      <c r="U5" s="9" t="n">
        <v>0.7503</v>
      </c>
      <c r="V5" s="9" t="n">
        <v>0.9893999999999999</v>
      </c>
      <c r="W5" s="9" t="n">
        <v>1.0118</v>
      </c>
      <c r="X5" s="9" t="n">
        <v>1.0976</v>
      </c>
      <c r="Y5" s="9" t="n">
        <v>0.9787</v>
      </c>
      <c r="Z5" s="9" t="n">
        <v>0.7848000000000001</v>
      </c>
      <c r="AA5" s="9" t="n">
        <v>0.7827</v>
      </c>
      <c r="AB5" s="9" t="n">
        <v>0.8399</v>
      </c>
      <c r="AC5" s="9" t="n">
        <v>0.8657</v>
      </c>
      <c r="AD5" s="9" t="n">
        <v>0.8442</v>
      </c>
      <c r="AE5" s="9" t="n">
        <v>0.7794</v>
      </c>
      <c r="AF5" s="9" t="n">
        <v>0.7595</v>
      </c>
      <c r="AG5" s="9" t="n">
        <v>0.792</v>
      </c>
      <c r="AH5" s="9" t="n">
        <v>0.7463</v>
      </c>
      <c r="AI5" s="9" t="n">
        <v>0.7654</v>
      </c>
      <c r="AJ5" s="9" t="n">
        <v>0.7622</v>
      </c>
      <c r="AK5" s="9" t="n">
        <v>0.7376</v>
      </c>
      <c r="AL5" s="9" t="n">
        <v>0.7582</v>
      </c>
      <c r="AM5" s="9" t="n">
        <v>0.6765</v>
      </c>
      <c r="AN5" s="9" t="n">
        <v>0.6475</v>
      </c>
      <c r="AO5" s="9" t="n">
        <v>0.5998</v>
      </c>
      <c r="AP5" s="9" t="n">
        <v>0.5673</v>
      </c>
      <c r="AQ5" s="9" t="n">
        <v>0.5765</v>
      </c>
    </row>
    <row r="6" ht="20" customHeight="1">
      <c r="A6" s="3" t="inlineStr">
        <is>
          <t>Raw materials</t>
        </is>
      </c>
      <c r="B6" s="3" t="inlineStr">
        <is>
          <t>Cost (Wheat flour T55/T65)</t>
        </is>
      </c>
      <c r="C6" s="4" t="n">
        <v>5000</v>
      </c>
      <c r="D6" s="3" t="inlineStr">
        <is>
          <t>kg</t>
        </is>
      </c>
      <c r="E6" s="5">
        <f>E5</f>
        <v/>
      </c>
      <c r="F6" s="3" t="inlineStr">
        <is>
          <t>Wheat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Tourage butter - market price</t>
        </is>
      </c>
      <c r="C7" s="4" t="n">
        <v>280</v>
      </c>
      <c r="D7" s="3" t="inlineStr">
        <is>
          <t>kg</t>
        </is>
      </c>
      <c r="E7" s="3">
        <f>AVERAGE(H7:AQ7)</f>
        <v/>
      </c>
      <c r="F7" s="3" t="inlineStr">
        <is>
          <t>Fats</t>
        </is>
      </c>
      <c r="G7" s="9" t="inlineStr">
        <is>
          <t>INSEE BDM 010763694: Indice de prix de production de l'industrie française pour le marché français − CPF 10.51 − Beurre conditionné ; normalized to model unit price</t>
        </is>
      </c>
      <c r="H7" s="9" t="n">
        <v>6.2</v>
      </c>
      <c r="I7" s="9" t="n">
        <v>6.2442</v>
      </c>
      <c r="J7" s="9" t="n">
        <v>6.2442</v>
      </c>
      <c r="K7" s="9" t="n">
        <v>6.3264</v>
      </c>
      <c r="L7" s="9" t="n">
        <v>6.3201</v>
      </c>
      <c r="M7" s="9" t="n">
        <v>6.2695</v>
      </c>
      <c r="N7" s="9" t="n">
        <v>6.3454</v>
      </c>
      <c r="O7" s="9" t="n">
        <v>6.3138</v>
      </c>
      <c r="P7" s="9" t="n">
        <v>6.2948</v>
      </c>
      <c r="Q7" s="9" t="n">
        <v>6.3517</v>
      </c>
      <c r="R7" s="9" t="n">
        <v>6.3896</v>
      </c>
      <c r="S7" s="9" t="n">
        <v>6.5413</v>
      </c>
      <c r="T7" s="9" t="n">
        <v>6.6045</v>
      </c>
      <c r="U7" s="9" t="n">
        <v>6.6424</v>
      </c>
      <c r="V7" s="9" t="n">
        <v>6.9268</v>
      </c>
      <c r="W7" s="9" t="n">
        <v>7.1101</v>
      </c>
      <c r="X7" s="9" t="n">
        <v>7.2175</v>
      </c>
      <c r="Y7" s="9" t="n">
        <v>7.2934</v>
      </c>
      <c r="Z7" s="9" t="n">
        <v>7.7295</v>
      </c>
      <c r="AA7" s="9" t="n">
        <v>7.7674</v>
      </c>
      <c r="AB7" s="9" t="n">
        <v>7.8875</v>
      </c>
      <c r="AC7" s="9" t="n">
        <v>7.8495</v>
      </c>
      <c r="AD7" s="9" t="n">
        <v>7.7737</v>
      </c>
      <c r="AE7" s="9" t="n">
        <v>7.9001</v>
      </c>
      <c r="AF7" s="9" t="n">
        <v>7.9633</v>
      </c>
      <c r="AG7" s="9" t="n">
        <v>7.9317</v>
      </c>
      <c r="AH7" s="9" t="n">
        <v>8.190799999999999</v>
      </c>
      <c r="AI7" s="9" t="n">
        <v>8.342499999999999</v>
      </c>
      <c r="AJ7" s="9" t="n">
        <v>8.3299</v>
      </c>
      <c r="AK7" s="9" t="n">
        <v>8.2098</v>
      </c>
      <c r="AL7" s="9" t="n">
        <v>8.1655</v>
      </c>
      <c r="AM7" s="9" t="n">
        <v>8.152900000000001</v>
      </c>
      <c r="AN7" s="9" t="n">
        <v>8.146599999999999</v>
      </c>
      <c r="AO7" s="9" t="n">
        <v>8.146599999999999</v>
      </c>
      <c r="AP7" s="9" t="n">
        <v>8.1655</v>
      </c>
      <c r="AQ7" s="9" t="n">
        <v>8.3299</v>
      </c>
    </row>
    <row r="8" ht="20" customHeight="1">
      <c r="A8" s="3" t="inlineStr">
        <is>
          <t>Raw materials</t>
        </is>
      </c>
      <c r="B8" s="3" t="inlineStr">
        <is>
          <t>Cost (Tourage butter)</t>
        </is>
      </c>
      <c r="C8" s="4" t="n">
        <v>280</v>
      </c>
      <c r="D8" s="3" t="inlineStr">
        <is>
          <t>kg</t>
        </is>
      </c>
      <c r="E8" s="5">
        <f>E7</f>
        <v/>
      </c>
      <c r="F8" s="3" t="inlineStr">
        <is>
          <t>Fats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Incorporation butter - market price</t>
        </is>
      </c>
      <c r="C9" s="4" t="n">
        <v>110</v>
      </c>
      <c r="D9" s="3" t="inlineStr">
        <is>
          <t>kg</t>
        </is>
      </c>
      <c r="E9" s="3">
        <f>AVERAGE(H9:AQ9)</f>
        <v/>
      </c>
      <c r="F9" s="3" t="inlineStr">
        <is>
          <t>Fats</t>
        </is>
      </c>
      <c r="G9" s="9" t="inlineStr">
        <is>
          <t>INSEE BDM 010763694: Indice de prix de production de l'industrie française pour le marché français − CPF 10.51 − Beurre conditionné ; normalized to model unit price</t>
        </is>
      </c>
      <c r="H9" s="9" t="n">
        <v>5.1</v>
      </c>
      <c r="I9" s="9" t="n">
        <v>5.1364</v>
      </c>
      <c r="J9" s="9" t="n">
        <v>5.1364</v>
      </c>
      <c r="K9" s="9" t="n">
        <v>5.204</v>
      </c>
      <c r="L9" s="9" t="n">
        <v>5.1988</v>
      </c>
      <c r="M9" s="9" t="n">
        <v>5.1572</v>
      </c>
      <c r="N9" s="9" t="n">
        <v>5.2196</v>
      </c>
      <c r="O9" s="9" t="n">
        <v>5.1936</v>
      </c>
      <c r="P9" s="9" t="n">
        <v>5.178</v>
      </c>
      <c r="Q9" s="9" t="n">
        <v>5.2248</v>
      </c>
      <c r="R9" s="9" t="n">
        <v>5.256</v>
      </c>
      <c r="S9" s="9" t="n">
        <v>5.3807</v>
      </c>
      <c r="T9" s="9" t="n">
        <v>5.4327</v>
      </c>
      <c r="U9" s="9" t="n">
        <v>5.4639</v>
      </c>
      <c r="V9" s="9" t="n">
        <v>5.6979</v>
      </c>
      <c r="W9" s="9" t="n">
        <v>5.8486</v>
      </c>
      <c r="X9" s="9" t="n">
        <v>5.937</v>
      </c>
      <c r="Y9" s="9" t="n">
        <v>5.9994</v>
      </c>
      <c r="Z9" s="9" t="n">
        <v>6.3581</v>
      </c>
      <c r="AA9" s="9" t="n">
        <v>6.3893</v>
      </c>
      <c r="AB9" s="9" t="n">
        <v>6.4881</v>
      </c>
      <c r="AC9" s="9" t="n">
        <v>6.4569</v>
      </c>
      <c r="AD9" s="9" t="n">
        <v>6.3945</v>
      </c>
      <c r="AE9" s="9" t="n">
        <v>6.4985</v>
      </c>
      <c r="AF9" s="9" t="n">
        <v>6.5505</v>
      </c>
      <c r="AG9" s="9" t="n">
        <v>6.5245</v>
      </c>
      <c r="AH9" s="9" t="n">
        <v>6.7376</v>
      </c>
      <c r="AI9" s="9" t="n">
        <v>6.8624</v>
      </c>
      <c r="AJ9" s="9" t="n">
        <v>6.852</v>
      </c>
      <c r="AK9" s="9" t="n">
        <v>6.7532</v>
      </c>
      <c r="AL9" s="9" t="n">
        <v>6.7168</v>
      </c>
      <c r="AM9" s="9" t="n">
        <v>6.7064</v>
      </c>
      <c r="AN9" s="9" t="n">
        <v>6.7012</v>
      </c>
      <c r="AO9" s="9" t="n">
        <v>6.7012</v>
      </c>
      <c r="AP9" s="9" t="n">
        <v>6.7168</v>
      </c>
      <c r="AQ9" s="9" t="n">
        <v>6.852</v>
      </c>
    </row>
    <row r="10" ht="20" customHeight="1">
      <c r="A10" s="3" t="inlineStr">
        <is>
          <t>Raw materials</t>
        </is>
      </c>
      <c r="B10" s="3" t="inlineStr">
        <is>
          <t>Cost (Incorporation butter)</t>
        </is>
      </c>
      <c r="C10" s="4" t="n">
        <v>110</v>
      </c>
      <c r="D10" s="3" t="inlineStr">
        <is>
          <t>kg</t>
        </is>
      </c>
      <c r="E10" s="5">
        <f>E9</f>
        <v/>
      </c>
      <c r="F10" s="3" t="inlineStr">
        <is>
          <t>Fats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Baker's yeast - market price</t>
        </is>
      </c>
      <c r="C11" s="4" t="n">
        <v>65</v>
      </c>
      <c r="D11" s="3" t="inlineStr">
        <is>
          <t>kg</t>
        </is>
      </c>
      <c r="E11" s="3">
        <f>AVERAGE(H11:AQ11)</f>
        <v/>
      </c>
      <c r="F11" s="3" t="n"/>
      <c r="G11" s="9" t="inlineStr">
        <is>
          <t>INSEE BDM 010763751: Indice de prix de production de l'industrie française pour le marché français − CPF 10.89 − Autres produits alimentaires n.c.a. ; normalized to model unit price</t>
        </is>
      </c>
      <c r="H11" s="9" t="n">
        <v>3.6</v>
      </c>
      <c r="I11" s="9" t="n">
        <v>3.5568</v>
      </c>
      <c r="J11" s="9" t="n">
        <v>3.6072</v>
      </c>
      <c r="K11" s="9" t="n">
        <v>3.5892</v>
      </c>
      <c r="L11" s="9" t="n">
        <v>3.5892</v>
      </c>
      <c r="M11" s="9" t="n">
        <v>3.5928</v>
      </c>
      <c r="N11" s="9" t="n">
        <v>3.5459</v>
      </c>
      <c r="O11" s="9" t="n">
        <v>3.5784</v>
      </c>
      <c r="P11" s="9" t="n">
        <v>3.6072</v>
      </c>
      <c r="Q11" s="9" t="n">
        <v>3.6216</v>
      </c>
      <c r="R11" s="9" t="n">
        <v>3.6685</v>
      </c>
      <c r="S11" s="9" t="n">
        <v>3.6793</v>
      </c>
      <c r="T11" s="9" t="n">
        <v>3.7405</v>
      </c>
      <c r="U11" s="9" t="n">
        <v>3.8018</v>
      </c>
      <c r="V11" s="9" t="n">
        <v>3.964</v>
      </c>
      <c r="W11" s="9" t="n">
        <v>4.5333</v>
      </c>
      <c r="X11" s="9" t="n">
        <v>4.591</v>
      </c>
      <c r="Y11" s="9" t="n">
        <v>4.7063</v>
      </c>
      <c r="Z11" s="9" t="n">
        <v>4.6595</v>
      </c>
      <c r="AA11" s="9" t="n">
        <v>4.7279</v>
      </c>
      <c r="AB11" s="9" t="n">
        <v>4.7856</v>
      </c>
      <c r="AC11" s="9" t="n">
        <v>4.9369</v>
      </c>
      <c r="AD11" s="9" t="n">
        <v>5.0342</v>
      </c>
      <c r="AE11" s="9" t="n">
        <v>5.1243</v>
      </c>
      <c r="AF11" s="9" t="n">
        <v>5.2432</v>
      </c>
      <c r="AG11" s="9" t="n">
        <v>5.2757</v>
      </c>
      <c r="AH11" s="9" t="n">
        <v>5.3946</v>
      </c>
      <c r="AI11" s="9" t="n">
        <v>5.427</v>
      </c>
      <c r="AJ11" s="9" t="n">
        <v>5.3946</v>
      </c>
      <c r="AK11" s="9" t="n">
        <v>5.3838</v>
      </c>
      <c r="AL11" s="9" t="n">
        <v>5.164</v>
      </c>
      <c r="AM11" s="9" t="n">
        <v>5.164</v>
      </c>
      <c r="AN11" s="9" t="n">
        <v>5.1495</v>
      </c>
      <c r="AO11" s="9" t="n">
        <v>5.1387</v>
      </c>
      <c r="AP11" s="9" t="n">
        <v>5.1568</v>
      </c>
      <c r="AQ11" s="9" t="n">
        <v>5.1387</v>
      </c>
    </row>
    <row r="12" ht="20" customHeight="1">
      <c r="A12" s="3" t="inlineStr">
        <is>
          <t>Raw materials</t>
        </is>
      </c>
      <c r="B12" s="3" t="inlineStr">
        <is>
          <t>Cost (Baker's yeast)</t>
        </is>
      </c>
      <c r="C12" s="4" t="n">
        <v>65</v>
      </c>
      <c r="D12" s="3" t="inlineStr">
        <is>
          <t>kg</t>
        </is>
      </c>
      <c r="E12" s="5">
        <f>E11</f>
        <v/>
      </c>
      <c r="F12" s="3" t="n"/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3" t="inlineStr">
        <is>
          <t>Raw materials</t>
        </is>
      </c>
      <c r="B13" s="3" t="inlineStr">
        <is>
          <t>Salt - market price</t>
        </is>
      </c>
      <c r="C13" s="4" t="n">
        <v>55</v>
      </c>
      <c r="D13" s="3" t="inlineStr">
        <is>
          <t>kg</t>
        </is>
      </c>
      <c r="E13" s="3">
        <f>AVERAGE(H13:AQ13)</f>
        <v/>
      </c>
      <c r="F13" s="3" t="n"/>
      <c r="G13" s="9" t="inlineStr">
        <is>
          <t>INSEE BDM 010766282: Indice de prix de production de l'industrie française pour l'ensemble des marchés − CPF 08.93 − Sel et chlorure de sodium pur, eau de mer - Série arrêtée; normalized to model unit price</t>
        </is>
      </c>
      <c r="H13" s="9" t="n">
        <v>0.65</v>
      </c>
      <c r="I13" s="9" t="n">
        <v>0.652</v>
      </c>
      <c r="J13" s="9" t="n">
        <v>0.6514</v>
      </c>
      <c r="K13" s="9" t="n">
        <v>0.6657</v>
      </c>
      <c r="L13" s="9" t="n">
        <v>0.6657</v>
      </c>
      <c r="M13" s="9" t="n">
        <v>0.6657</v>
      </c>
      <c r="N13" s="9" t="n">
        <v>0.6869</v>
      </c>
      <c r="O13" s="9" t="n">
        <v>0.6855</v>
      </c>
      <c r="P13" s="9" t="n">
        <v>0.678</v>
      </c>
      <c r="Q13" s="9" t="n">
        <v>0.7039</v>
      </c>
      <c r="R13" s="9" t="n">
        <v>0.7312</v>
      </c>
      <c r="S13" s="9" t="n">
        <v>0.7565</v>
      </c>
      <c r="T13" s="9" t="n">
        <v>0.8794</v>
      </c>
      <c r="U13" s="9" t="n">
        <v>0.8152</v>
      </c>
      <c r="V13" s="9" t="n">
        <v>0.7408</v>
      </c>
      <c r="W13" s="9" t="n">
        <v>0.8186</v>
      </c>
      <c r="X13" s="9" t="n">
        <v>0.8193</v>
      </c>
      <c r="Y13" s="9" t="n">
        <v>0.8214</v>
      </c>
      <c r="Z13" s="9" t="n">
        <v>0.8439</v>
      </c>
      <c r="AA13" s="9" t="n">
        <v>0.8576</v>
      </c>
      <c r="AB13" s="9" t="n">
        <v>0.8733</v>
      </c>
      <c r="AC13" s="9" t="n">
        <v>0.8958</v>
      </c>
      <c r="AD13" s="9" t="n">
        <v>0.9436</v>
      </c>
      <c r="AE13" s="9" t="n">
        <v>0.9463</v>
      </c>
      <c r="AF13" s="9" t="n">
        <v>0.8733</v>
      </c>
      <c r="AG13" s="9" t="n">
        <v>0.8917</v>
      </c>
      <c r="AH13" s="9" t="n">
        <v>0.8917</v>
      </c>
      <c r="AI13" s="9" t="n">
        <v>0.906</v>
      </c>
      <c r="AJ13" s="9" t="n">
        <v>0.9026</v>
      </c>
      <c r="AK13" s="9" t="n">
        <v>0.876</v>
      </c>
      <c r="AL13" s="9" t="n">
        <v>0.8145</v>
      </c>
      <c r="AM13" s="9" t="n">
        <v>0.8234</v>
      </c>
      <c r="AN13" s="9" t="n">
        <v>0.8139</v>
      </c>
      <c r="AO13" s="9" t="n">
        <v>0.8043</v>
      </c>
      <c r="AP13" s="9" t="n">
        <v>0.8036</v>
      </c>
      <c r="AQ13" s="9" t="n">
        <v>0.8028999999999999</v>
      </c>
    </row>
    <row r="14" ht="20" customHeight="1">
      <c r="A14" s="3" t="inlineStr">
        <is>
          <t>Raw materials</t>
        </is>
      </c>
      <c r="B14" s="3" t="inlineStr">
        <is>
          <t>Cost (Salt)</t>
        </is>
      </c>
      <c r="C14" s="4" t="n">
        <v>55</v>
      </c>
      <c r="D14" s="3" t="inlineStr">
        <is>
          <t>kg</t>
        </is>
      </c>
      <c r="E14" s="5">
        <f>E13</f>
        <v/>
      </c>
      <c r="F14" s="3" t="n"/>
      <c r="G14" s="3" t="inlineStr">
        <is>
          <t>Cost = quantity x seasonality x monthly market price</t>
        </is>
      </c>
      <c r="H14" s="5">
        <f>$C14*'Hypotheses'!C$17*H13</f>
        <v/>
      </c>
      <c r="I14" s="5">
        <f>$C14*'Hypotheses'!D$17*I13</f>
        <v/>
      </c>
      <c r="J14" s="5">
        <f>$C14*'Hypotheses'!E$17*J13</f>
        <v/>
      </c>
      <c r="K14" s="5">
        <f>$C14*'Hypotheses'!F$17*K13</f>
        <v/>
      </c>
      <c r="L14" s="5">
        <f>$C14*'Hypotheses'!G$17*L13</f>
        <v/>
      </c>
      <c r="M14" s="5">
        <f>$C14*'Hypotheses'!H$17*M13</f>
        <v/>
      </c>
      <c r="N14" s="5">
        <f>$C14*'Hypotheses'!I$17*N13</f>
        <v/>
      </c>
      <c r="O14" s="5">
        <f>$C14*'Hypotheses'!J$17*O13</f>
        <v/>
      </c>
      <c r="P14" s="5">
        <f>$C14*'Hypotheses'!K$17*P13</f>
        <v/>
      </c>
      <c r="Q14" s="5">
        <f>$C14*'Hypotheses'!L$17*Q13</f>
        <v/>
      </c>
      <c r="R14" s="5">
        <f>$C14*'Hypotheses'!M$17*R13</f>
        <v/>
      </c>
      <c r="S14" s="5">
        <f>$C14*'Hypotheses'!N$17*S13</f>
        <v/>
      </c>
      <c r="T14" s="5">
        <f>$C14*'Hypotheses'!C$17*T13</f>
        <v/>
      </c>
      <c r="U14" s="5">
        <f>$C14*'Hypotheses'!D$17*U13</f>
        <v/>
      </c>
      <c r="V14" s="5">
        <f>$C14*'Hypotheses'!E$17*V13</f>
        <v/>
      </c>
      <c r="W14" s="5">
        <f>$C14*'Hypotheses'!F$17*W13</f>
        <v/>
      </c>
      <c r="X14" s="5">
        <f>$C14*'Hypotheses'!G$17*X13</f>
        <v/>
      </c>
      <c r="Y14" s="5">
        <f>$C14*'Hypotheses'!H$17*Y13</f>
        <v/>
      </c>
      <c r="Z14" s="5">
        <f>$C14*'Hypotheses'!I$17*Z13</f>
        <v/>
      </c>
      <c r="AA14" s="5">
        <f>$C14*'Hypotheses'!J$17*AA13</f>
        <v/>
      </c>
      <c r="AB14" s="5">
        <f>$C14*'Hypotheses'!K$17*AB13</f>
        <v/>
      </c>
      <c r="AC14" s="5">
        <f>$C14*'Hypotheses'!L$17*AC13</f>
        <v/>
      </c>
      <c r="AD14" s="5">
        <f>$C14*'Hypotheses'!M$17*AD13</f>
        <v/>
      </c>
      <c r="AE14" s="5">
        <f>$C14*'Hypotheses'!N$17*AE13</f>
        <v/>
      </c>
      <c r="AF14" s="5">
        <f>$C14*'Hypotheses'!C$17*AF13</f>
        <v/>
      </c>
      <c r="AG14" s="5">
        <f>$C14*'Hypotheses'!D$17*AG13</f>
        <v/>
      </c>
      <c r="AH14" s="5">
        <f>$C14*'Hypotheses'!E$17*AH13</f>
        <v/>
      </c>
      <c r="AI14" s="5">
        <f>$C14*'Hypotheses'!F$17*AI13</f>
        <v/>
      </c>
      <c r="AJ14" s="5">
        <f>$C14*'Hypotheses'!G$17*AJ13</f>
        <v/>
      </c>
      <c r="AK14" s="5">
        <f>$C14*'Hypotheses'!H$17*AK13</f>
        <v/>
      </c>
      <c r="AL14" s="5">
        <f>$C14*'Hypotheses'!I$17*AL13</f>
        <v/>
      </c>
      <c r="AM14" s="5">
        <f>$C14*'Hypotheses'!J$17*AM13</f>
        <v/>
      </c>
      <c r="AN14" s="5">
        <f>$C14*'Hypotheses'!K$17*AN13</f>
        <v/>
      </c>
      <c r="AO14" s="5">
        <f>$C14*'Hypotheses'!L$17*AO13</f>
        <v/>
      </c>
      <c r="AP14" s="5">
        <f>$C14*'Hypotheses'!M$17*AP13</f>
        <v/>
      </c>
      <c r="AQ14" s="5">
        <f>$C14*'Hypotheses'!N$17*AQ13</f>
        <v/>
      </c>
    </row>
    <row r="15" ht="20" customHeight="1">
      <c r="A15" s="3" t="inlineStr">
        <is>
          <t>Raw materials</t>
        </is>
      </c>
      <c r="B15" s="3" t="inlineStr">
        <is>
          <t>Eggs - market price</t>
        </is>
      </c>
      <c r="C15" s="4" t="n">
        <v>2200</v>
      </c>
      <c r="D15" s="3" t="inlineStr">
        <is>
          <t>unit</t>
        </is>
      </c>
      <c r="E15" s="3">
        <f>AVERAGE(H15:AQ15)</f>
        <v/>
      </c>
      <c r="F15" s="3" t="n"/>
      <c r="G15" s="9" t="inlineStr">
        <is>
          <t>INSEE BDM 010776696: Indice mensuel des prix agricoles à la production (IPPAP) - Oeufs; normalized to model unit price</t>
        </is>
      </c>
      <c r="H15" s="9" t="n">
        <v>0.25</v>
      </c>
      <c r="I15" s="9" t="n">
        <v>0.288</v>
      </c>
      <c r="J15" s="9" t="n">
        <v>0.322</v>
      </c>
      <c r="K15" s="9" t="n">
        <v>0.318</v>
      </c>
      <c r="L15" s="9" t="n">
        <v>0.3223</v>
      </c>
      <c r="M15" s="9" t="n">
        <v>0.3275</v>
      </c>
      <c r="N15" s="9" t="n">
        <v>0.2947</v>
      </c>
      <c r="O15" s="9" t="n">
        <v>0.3297</v>
      </c>
      <c r="P15" s="9" t="n">
        <v>0.3778</v>
      </c>
      <c r="Q15" s="9" t="n">
        <v>0.3857</v>
      </c>
      <c r="R15" s="9" t="n">
        <v>0.382</v>
      </c>
      <c r="S15" s="9" t="n">
        <v>0.4206</v>
      </c>
      <c r="T15" s="9" t="n">
        <v>0.4081</v>
      </c>
      <c r="U15" s="9" t="n">
        <v>0.4145</v>
      </c>
      <c r="V15" s="9" t="n">
        <v>0.4847</v>
      </c>
      <c r="W15" s="9" t="n">
        <v>0.5548</v>
      </c>
      <c r="X15" s="9" t="n">
        <v>0.5561</v>
      </c>
      <c r="Y15" s="9" t="n">
        <v>0.5389</v>
      </c>
      <c r="Z15" s="9" t="n">
        <v>0.5469000000000001</v>
      </c>
      <c r="AA15" s="9" t="n">
        <v>0.5784</v>
      </c>
      <c r="AB15" s="9" t="n">
        <v>0.6118</v>
      </c>
      <c r="AC15" s="9" t="n">
        <v>0.6526</v>
      </c>
      <c r="AD15" s="9" t="n">
        <v>0.6682</v>
      </c>
      <c r="AE15" s="9" t="n">
        <v>0.6777</v>
      </c>
      <c r="AF15" s="9" t="n">
        <v>0.6863</v>
      </c>
      <c r="AG15" s="9" t="n">
        <v>0.6973</v>
      </c>
      <c r="AH15" s="9" t="n">
        <v>0.7252</v>
      </c>
      <c r="AI15" s="9" t="n">
        <v>0.7289</v>
      </c>
      <c r="AJ15" s="9" t="n">
        <v>0.6949</v>
      </c>
      <c r="AK15" s="9" t="n">
        <v>0.598</v>
      </c>
      <c r="AL15" s="9" t="n">
        <v>0.4804</v>
      </c>
      <c r="AM15" s="9" t="n">
        <v>0.4268</v>
      </c>
      <c r="AN15" s="9" t="n">
        <v>0.4767</v>
      </c>
      <c r="AO15" s="9" t="n">
        <v>0.5254</v>
      </c>
      <c r="AP15" s="9" t="n">
        <v>0.5921999999999999</v>
      </c>
      <c r="AQ15" s="9" t="n">
        <v>0.6207</v>
      </c>
    </row>
    <row r="16" ht="20" customHeight="1">
      <c r="A16" s="3" t="inlineStr">
        <is>
          <t>Raw materials</t>
        </is>
      </c>
      <c r="B16" s="3" t="inlineStr">
        <is>
          <t>Cost (Eggs)</t>
        </is>
      </c>
      <c r="C16" s="4" t="n">
        <v>2200</v>
      </c>
      <c r="D16" s="3" t="inlineStr">
        <is>
          <t>unit</t>
        </is>
      </c>
      <c r="E16" s="5">
        <f>E15</f>
        <v/>
      </c>
      <c r="F16" s="3" t="n"/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3" t="inlineStr">
        <is>
          <t>Raw materials</t>
        </is>
      </c>
      <c r="B17" s="3" t="inlineStr">
        <is>
          <t>Cream - market price</t>
        </is>
      </c>
      <c r="C17" s="4" t="n">
        <v>160</v>
      </c>
      <c r="D17" s="3" t="inlineStr">
        <is>
          <t>L</t>
        </is>
      </c>
      <c r="E17" s="3">
        <f>AVERAGE(H17:AQ17)</f>
        <v/>
      </c>
      <c r="F17" s="3" t="inlineStr">
        <is>
          <t>Fats</t>
        </is>
      </c>
      <c r="G17" s="9" t="inlineStr">
        <is>
          <t>INSEE BDM 010763691: Indice de prix de production de l'industrie française pour le marché français − CPF 10.51 − Crème de lait ; normalized to model unit price</t>
        </is>
      </c>
      <c r="H17" s="9" t="n">
        <v>3.6</v>
      </c>
      <c r="I17" s="9" t="n">
        <v>3.5893</v>
      </c>
      <c r="J17" s="9" t="n">
        <v>3.5893</v>
      </c>
      <c r="K17" s="9" t="n">
        <v>3.5857</v>
      </c>
      <c r="L17" s="9" t="n">
        <v>3.5785</v>
      </c>
      <c r="M17" s="9" t="n">
        <v>3.575</v>
      </c>
      <c r="N17" s="9" t="n">
        <v>3.5571</v>
      </c>
      <c r="O17" s="9" t="n">
        <v>3.5821</v>
      </c>
      <c r="P17" s="9" t="n">
        <v>3.5642</v>
      </c>
      <c r="Q17" s="9" t="n">
        <v>3.5785</v>
      </c>
      <c r="R17" s="9" t="n">
        <v>3.5928</v>
      </c>
      <c r="S17" s="9" t="n">
        <v>3.5535</v>
      </c>
      <c r="T17" s="9" t="n">
        <v>3.6322</v>
      </c>
      <c r="U17" s="9" t="n">
        <v>3.6215</v>
      </c>
      <c r="V17" s="9" t="n">
        <v>3.7467</v>
      </c>
      <c r="W17" s="9" t="n">
        <v>3.7646</v>
      </c>
      <c r="X17" s="9" t="n">
        <v>3.7789</v>
      </c>
      <c r="Y17" s="9" t="n">
        <v>3.8505</v>
      </c>
      <c r="Z17" s="9" t="n">
        <v>4.0187</v>
      </c>
      <c r="AA17" s="9" t="n">
        <v>4.1153</v>
      </c>
      <c r="AB17" s="9" t="n">
        <v>4.126</v>
      </c>
      <c r="AC17" s="9" t="n">
        <v>4.1869</v>
      </c>
      <c r="AD17" s="9" t="n">
        <v>4.2012</v>
      </c>
      <c r="AE17" s="9" t="n">
        <v>4.237</v>
      </c>
      <c r="AF17" s="9" t="n">
        <v>4.3264</v>
      </c>
      <c r="AG17" s="9" t="n">
        <v>4.4087</v>
      </c>
      <c r="AH17" s="9" t="n">
        <v>4.6091</v>
      </c>
      <c r="AI17" s="9" t="n">
        <v>4.7058</v>
      </c>
      <c r="AJ17" s="9" t="n">
        <v>4.7416</v>
      </c>
      <c r="AK17" s="9" t="n">
        <v>4.7129</v>
      </c>
      <c r="AL17" s="9" t="n">
        <v>4.6843</v>
      </c>
      <c r="AM17" s="9" t="n">
        <v>4.6592</v>
      </c>
      <c r="AN17" s="9" t="n">
        <v>4.6306</v>
      </c>
      <c r="AO17" s="9" t="n">
        <v>4.7093</v>
      </c>
      <c r="AP17" s="9" t="n">
        <v>4.6592</v>
      </c>
      <c r="AQ17" s="9" t="n">
        <v>4.6628</v>
      </c>
    </row>
    <row r="18" ht="20" customHeight="1">
      <c r="A18" s="3" t="inlineStr">
        <is>
          <t>Raw materials</t>
        </is>
      </c>
      <c r="B18" s="3" t="inlineStr">
        <is>
          <t>Cost (Cream)</t>
        </is>
      </c>
      <c r="C18" s="4" t="n">
        <v>160</v>
      </c>
      <c r="D18" s="3" t="inlineStr">
        <is>
          <t>L</t>
        </is>
      </c>
      <c r="E18" s="5">
        <f>E17</f>
        <v/>
      </c>
      <c r="F18" s="3" t="inlineStr">
        <is>
          <t>Fats</t>
        </is>
      </c>
      <c r="G18" s="3" t="inlineStr">
        <is>
          <t>Cost = quantity x seasonality x monthly market price</t>
        </is>
      </c>
      <c r="H18" s="5">
        <f>$C18*'Hypotheses'!C$17*H17</f>
        <v/>
      </c>
      <c r="I18" s="5">
        <f>$C18*'Hypotheses'!D$17*I17</f>
        <v/>
      </c>
      <c r="J18" s="5">
        <f>$C18*'Hypotheses'!E$17*J17</f>
        <v/>
      </c>
      <c r="K18" s="5">
        <f>$C18*'Hypotheses'!F$17*K17</f>
        <v/>
      </c>
      <c r="L18" s="5">
        <f>$C18*'Hypotheses'!G$17*L17</f>
        <v/>
      </c>
      <c r="M18" s="5">
        <f>$C18*'Hypotheses'!H$17*M17</f>
        <v/>
      </c>
      <c r="N18" s="5">
        <f>$C18*'Hypotheses'!I$17*N17</f>
        <v/>
      </c>
      <c r="O18" s="5">
        <f>$C18*'Hypotheses'!J$17*O17</f>
        <v/>
      </c>
      <c r="P18" s="5">
        <f>$C18*'Hypotheses'!K$17*P17</f>
        <v/>
      </c>
      <c r="Q18" s="5">
        <f>$C18*'Hypotheses'!L$17*Q17</f>
        <v/>
      </c>
      <c r="R18" s="5">
        <f>$C18*'Hypotheses'!M$17*R17</f>
        <v/>
      </c>
      <c r="S18" s="5">
        <f>$C18*'Hypotheses'!N$17*S17</f>
        <v/>
      </c>
      <c r="T18" s="5">
        <f>$C18*'Hypotheses'!C$17*T17</f>
        <v/>
      </c>
      <c r="U18" s="5">
        <f>$C18*'Hypotheses'!D$17*U17</f>
        <v/>
      </c>
      <c r="V18" s="5">
        <f>$C18*'Hypotheses'!E$17*V17</f>
        <v/>
      </c>
      <c r="W18" s="5">
        <f>$C18*'Hypotheses'!F$17*W17</f>
        <v/>
      </c>
      <c r="X18" s="5">
        <f>$C18*'Hypotheses'!G$17*X17</f>
        <v/>
      </c>
      <c r="Y18" s="5">
        <f>$C18*'Hypotheses'!H$17*Y17</f>
        <v/>
      </c>
      <c r="Z18" s="5">
        <f>$C18*'Hypotheses'!I$17*Z17</f>
        <v/>
      </c>
      <c r="AA18" s="5">
        <f>$C18*'Hypotheses'!J$17*AA17</f>
        <v/>
      </c>
      <c r="AB18" s="5">
        <f>$C18*'Hypotheses'!K$17*AB17</f>
        <v/>
      </c>
      <c r="AC18" s="5">
        <f>$C18*'Hypotheses'!L$17*AC17</f>
        <v/>
      </c>
      <c r="AD18" s="5">
        <f>$C18*'Hypotheses'!M$17*AD17</f>
        <v/>
      </c>
      <c r="AE18" s="5">
        <f>$C18*'Hypotheses'!N$17*AE17</f>
        <v/>
      </c>
      <c r="AF18" s="5">
        <f>$C18*'Hypotheses'!C$17*AF17</f>
        <v/>
      </c>
      <c r="AG18" s="5">
        <f>$C18*'Hypotheses'!D$17*AG17</f>
        <v/>
      </c>
      <c r="AH18" s="5">
        <f>$C18*'Hypotheses'!E$17*AH17</f>
        <v/>
      </c>
      <c r="AI18" s="5">
        <f>$C18*'Hypotheses'!F$17*AI17</f>
        <v/>
      </c>
      <c r="AJ18" s="5">
        <f>$C18*'Hypotheses'!G$17*AJ17</f>
        <v/>
      </c>
      <c r="AK18" s="5">
        <f>$C18*'Hypotheses'!H$17*AK17</f>
        <v/>
      </c>
      <c r="AL18" s="5">
        <f>$C18*'Hypotheses'!I$17*AL17</f>
        <v/>
      </c>
      <c r="AM18" s="5">
        <f>$C18*'Hypotheses'!J$17*AM17</f>
        <v/>
      </c>
      <c r="AN18" s="5">
        <f>$C18*'Hypotheses'!K$17*AN17</f>
        <v/>
      </c>
      <c r="AO18" s="5">
        <f>$C18*'Hypotheses'!L$17*AO17</f>
        <v/>
      </c>
      <c r="AP18" s="5">
        <f>$C18*'Hypotheses'!M$17*AP17</f>
        <v/>
      </c>
      <c r="AQ18" s="5">
        <f>$C18*'Hypotheses'!N$17*AQ17</f>
        <v/>
      </c>
    </row>
    <row r="19" ht="20" customHeight="1">
      <c r="A19" s="3" t="inlineStr">
        <is>
          <t>Raw materials</t>
        </is>
      </c>
      <c r="B19" s="3" t="inlineStr">
        <is>
          <t>Packaging - market price</t>
        </is>
      </c>
      <c r="C19" s="4" t="n">
        <v>13000</v>
      </c>
      <c r="D19" s="3" t="inlineStr">
        <is>
          <t>unit</t>
        </is>
      </c>
      <c r="E19" s="3">
        <f>AVERAGE(H19:AQ19)</f>
        <v/>
      </c>
      <c r="F19" s="3" t="inlineStr">
        <is>
          <t>Packaging</t>
        </is>
      </c>
      <c r="G19" s="9" t="inlineStr">
        <is>
          <t>INSEE BDM 010763805: Indice de prix de production de l'industrie française pour le marché français − CPF 17.21 − Papier et carton ondulés et emballages en papier ou en carton ; normalized to model unit price</t>
        </is>
      </c>
      <c r="H19" s="9" t="n">
        <v>0.06</v>
      </c>
      <c r="I19" s="9" t="n">
        <v>0.0605</v>
      </c>
      <c r="J19" s="9" t="n">
        <v>0.0603</v>
      </c>
      <c r="K19" s="9" t="n">
        <v>0.0612</v>
      </c>
      <c r="L19" s="9" t="n">
        <v>0.0616</v>
      </c>
      <c r="M19" s="9" t="n">
        <v>0.0621</v>
      </c>
      <c r="N19" s="9" t="n">
        <v>0.0633</v>
      </c>
      <c r="O19" s="9" t="n">
        <v>0.0639</v>
      </c>
      <c r="P19" s="9" t="n">
        <v>0.06569999999999999</v>
      </c>
      <c r="Q19" s="9" t="n">
        <v>0.0663</v>
      </c>
      <c r="R19" s="9" t="n">
        <v>0.0669</v>
      </c>
      <c r="S19" s="9" t="n">
        <v>0.0677</v>
      </c>
      <c r="T19" s="9" t="n">
        <v>0.0699</v>
      </c>
      <c r="U19" s="9" t="n">
        <v>0.0712</v>
      </c>
      <c r="V19" s="9" t="n">
        <v>0.0727</v>
      </c>
      <c r="W19" s="9" t="n">
        <v>0.0755</v>
      </c>
      <c r="X19" s="9" t="n">
        <v>0.0781</v>
      </c>
      <c r="Y19" s="9" t="n">
        <v>0.0798</v>
      </c>
      <c r="Z19" s="9" t="n">
        <v>0.0808</v>
      </c>
      <c r="AA19" s="9" t="n">
        <v>0.0813</v>
      </c>
      <c r="AB19" s="9" t="n">
        <v>0.08160000000000001</v>
      </c>
      <c r="AC19" s="9" t="n">
        <v>0.0827</v>
      </c>
      <c r="AD19" s="9" t="n">
        <v>0.08110000000000001</v>
      </c>
      <c r="AE19" s="9" t="n">
        <v>0.0809</v>
      </c>
      <c r="AF19" s="9" t="n">
        <v>0.0815</v>
      </c>
      <c r="AG19" s="9" t="n">
        <v>0.082</v>
      </c>
      <c r="AH19" s="9" t="n">
        <v>0.0801</v>
      </c>
      <c r="AI19" s="9" t="n">
        <v>0.0805</v>
      </c>
      <c r="AJ19" s="9" t="n">
        <v>0.079</v>
      </c>
      <c r="AK19" s="9" t="n">
        <v>0.0779</v>
      </c>
      <c r="AL19" s="9" t="n">
        <v>0.07679999999999999</v>
      </c>
      <c r="AM19" s="9" t="n">
        <v>0.0745</v>
      </c>
      <c r="AN19" s="9" t="n">
        <v>0.07389999999999999</v>
      </c>
      <c r="AO19" s="9" t="n">
        <v>0.07389999999999999</v>
      </c>
      <c r="AP19" s="9" t="n">
        <v>0.0732</v>
      </c>
      <c r="AQ19" s="9" t="n">
        <v>0.073</v>
      </c>
    </row>
    <row r="20" ht="20" customHeight="1">
      <c r="A20" s="3" t="inlineStr">
        <is>
          <t>Raw materials</t>
        </is>
      </c>
      <c r="B20" s="3" t="inlineStr">
        <is>
          <t>Cost (Packaging)</t>
        </is>
      </c>
      <c r="C20" s="4" t="n">
        <v>13000</v>
      </c>
      <c r="D20" s="3" t="inlineStr">
        <is>
          <t>unit</t>
        </is>
      </c>
      <c r="E20" s="5">
        <f>E19</f>
        <v/>
      </c>
      <c r="F20" s="3" t="inlineStr">
        <is>
          <t>Packaging</t>
        </is>
      </c>
      <c r="G20" s="3" t="inlineStr">
        <is>
          <t>Cost = quantity x seasonality x monthly market price</t>
        </is>
      </c>
      <c r="H20" s="5">
        <f>$C20*'Hypotheses'!C$17*H19</f>
        <v/>
      </c>
      <c r="I20" s="5">
        <f>$C20*'Hypotheses'!D$17*I19</f>
        <v/>
      </c>
      <c r="J20" s="5">
        <f>$C20*'Hypotheses'!E$17*J19</f>
        <v/>
      </c>
      <c r="K20" s="5">
        <f>$C20*'Hypotheses'!F$17*K19</f>
        <v/>
      </c>
      <c r="L20" s="5">
        <f>$C20*'Hypotheses'!G$17*L19</f>
        <v/>
      </c>
      <c r="M20" s="5">
        <f>$C20*'Hypotheses'!H$17*M19</f>
        <v/>
      </c>
      <c r="N20" s="5">
        <f>$C20*'Hypotheses'!I$17*N19</f>
        <v/>
      </c>
      <c r="O20" s="5">
        <f>$C20*'Hypotheses'!J$17*O19</f>
        <v/>
      </c>
      <c r="P20" s="5">
        <f>$C20*'Hypotheses'!K$17*P19</f>
        <v/>
      </c>
      <c r="Q20" s="5">
        <f>$C20*'Hypotheses'!L$17*Q19</f>
        <v/>
      </c>
      <c r="R20" s="5">
        <f>$C20*'Hypotheses'!M$17*R19</f>
        <v/>
      </c>
      <c r="S20" s="5">
        <f>$C20*'Hypotheses'!N$17*S19</f>
        <v/>
      </c>
      <c r="T20" s="5">
        <f>$C20*'Hypotheses'!C$17*T19</f>
        <v/>
      </c>
      <c r="U20" s="5">
        <f>$C20*'Hypotheses'!D$17*U19</f>
        <v/>
      </c>
      <c r="V20" s="5">
        <f>$C20*'Hypotheses'!E$17*V19</f>
        <v/>
      </c>
      <c r="W20" s="5">
        <f>$C20*'Hypotheses'!F$17*W19</f>
        <v/>
      </c>
      <c r="X20" s="5">
        <f>$C20*'Hypotheses'!G$17*X19</f>
        <v/>
      </c>
      <c r="Y20" s="5">
        <f>$C20*'Hypotheses'!H$17*Y19</f>
        <v/>
      </c>
      <c r="Z20" s="5">
        <f>$C20*'Hypotheses'!I$17*Z19</f>
        <v/>
      </c>
      <c r="AA20" s="5">
        <f>$C20*'Hypotheses'!J$17*AA19</f>
        <v/>
      </c>
      <c r="AB20" s="5">
        <f>$C20*'Hypotheses'!K$17*AB19</f>
        <v/>
      </c>
      <c r="AC20" s="5">
        <f>$C20*'Hypotheses'!L$17*AC19</f>
        <v/>
      </c>
      <c r="AD20" s="5">
        <f>$C20*'Hypotheses'!M$17*AD19</f>
        <v/>
      </c>
      <c r="AE20" s="5">
        <f>$C20*'Hypotheses'!N$17*AE19</f>
        <v/>
      </c>
      <c r="AF20" s="5">
        <f>$C20*'Hypotheses'!C$17*AF19</f>
        <v/>
      </c>
      <c r="AG20" s="5">
        <f>$C20*'Hypotheses'!D$17*AG19</f>
        <v/>
      </c>
      <c r="AH20" s="5">
        <f>$C20*'Hypotheses'!E$17*AH19</f>
        <v/>
      </c>
      <c r="AI20" s="5">
        <f>$C20*'Hypotheses'!F$17*AI19</f>
        <v/>
      </c>
      <c r="AJ20" s="5">
        <f>$C20*'Hypotheses'!G$17*AJ19</f>
        <v/>
      </c>
      <c r="AK20" s="5">
        <f>$C20*'Hypotheses'!H$17*AK19</f>
        <v/>
      </c>
      <c r="AL20" s="5">
        <f>$C20*'Hypotheses'!I$17*AL19</f>
        <v/>
      </c>
      <c r="AM20" s="5">
        <f>$C20*'Hypotheses'!J$17*AM19</f>
        <v/>
      </c>
      <c r="AN20" s="5">
        <f>$C20*'Hypotheses'!K$17*AN19</f>
        <v/>
      </c>
      <c r="AO20" s="5">
        <f>$C20*'Hypotheses'!L$17*AO19</f>
        <v/>
      </c>
      <c r="AP20" s="5">
        <f>$C20*'Hypotheses'!M$17*AP19</f>
        <v/>
      </c>
      <c r="AQ20" s="5">
        <f>$C20*'Hypotheses'!N$17*AQ19</f>
        <v/>
      </c>
    </row>
    <row r="21" ht="20" customHeight="1">
      <c r="A21" s="10" t="inlineStr">
        <is>
          <t>SOUS-TOTAL Raw materials</t>
        </is>
      </c>
      <c r="B21" s="10" t="n"/>
      <c r="C21" s="10" t="n"/>
      <c r="D21" s="10" t="n"/>
      <c r="E21" s="10" t="n"/>
      <c r="F21" s="10" t="n"/>
      <c r="G21" s="10" t="n"/>
      <c r="H21" s="10">
        <f>SUM(H6,H8,H10,H12,H14,H16,H18,H20)</f>
        <v/>
      </c>
      <c r="I21" s="10">
        <f>SUM(I6,I8,I10,I12,I14,I16,I18,I20)</f>
        <v/>
      </c>
      <c r="J21" s="10">
        <f>SUM(J6,J8,J10,J12,J14,J16,J18,J20)</f>
        <v/>
      </c>
      <c r="K21" s="10">
        <f>SUM(K6,K8,K10,K12,K14,K16,K18,K20)</f>
        <v/>
      </c>
      <c r="L21" s="10">
        <f>SUM(L6,L8,L10,L12,L14,L16,L18,L20)</f>
        <v/>
      </c>
      <c r="M21" s="10">
        <f>SUM(M6,M8,M10,M12,M14,M16,M18,M20)</f>
        <v/>
      </c>
      <c r="N21" s="10">
        <f>SUM(N6,N8,N10,N12,N14,N16,N18,N20)</f>
        <v/>
      </c>
      <c r="O21" s="10">
        <f>SUM(O6,O8,O10,O12,O14,O16,O18,O20)</f>
        <v/>
      </c>
      <c r="P21" s="10">
        <f>SUM(P6,P8,P10,P12,P14,P16,P18,P20)</f>
        <v/>
      </c>
      <c r="Q21" s="10">
        <f>SUM(Q6,Q8,Q10,Q12,Q14,Q16,Q18,Q20)</f>
        <v/>
      </c>
      <c r="R21" s="10">
        <f>SUM(R6,R8,R10,R12,R14,R16,R18,R20)</f>
        <v/>
      </c>
      <c r="S21" s="10">
        <f>SUM(S6,S8,S10,S12,S14,S16,S18,S20)</f>
        <v/>
      </c>
      <c r="T21" s="10">
        <f>SUM(T6,T8,T10,T12,T14,T16,T18,T20)</f>
        <v/>
      </c>
      <c r="U21" s="10">
        <f>SUM(U6,U8,U10,U12,U14,U16,U18,U20)</f>
        <v/>
      </c>
      <c r="V21" s="10">
        <f>SUM(V6,V8,V10,V12,V14,V16,V18,V20)</f>
        <v/>
      </c>
      <c r="W21" s="10">
        <f>SUM(W6,W8,W10,W12,W14,W16,W18,W20)</f>
        <v/>
      </c>
      <c r="X21" s="10">
        <f>SUM(X6,X8,X10,X12,X14,X16,X18,X20)</f>
        <v/>
      </c>
      <c r="Y21" s="10">
        <f>SUM(Y6,Y8,Y10,Y12,Y14,Y16,Y18,Y20)</f>
        <v/>
      </c>
      <c r="Z21" s="10">
        <f>SUM(Z6,Z8,Z10,Z12,Z14,Z16,Z18,Z20)</f>
        <v/>
      </c>
      <c r="AA21" s="10">
        <f>SUM(AA6,AA8,AA10,AA12,AA14,AA16,AA18,AA20)</f>
        <v/>
      </c>
      <c r="AB21" s="10">
        <f>SUM(AB6,AB8,AB10,AB12,AB14,AB16,AB18,AB20)</f>
        <v/>
      </c>
      <c r="AC21" s="10">
        <f>SUM(AC6,AC8,AC10,AC12,AC14,AC16,AC18,AC20)</f>
        <v/>
      </c>
      <c r="AD21" s="10">
        <f>SUM(AD6,AD8,AD10,AD12,AD14,AD16,AD18,AD20)</f>
        <v/>
      </c>
      <c r="AE21" s="10">
        <f>SUM(AE6,AE8,AE10,AE12,AE14,AE16,AE18,AE20)</f>
        <v/>
      </c>
      <c r="AF21" s="10">
        <f>SUM(AF6,AF8,AF10,AF12,AF14,AF16,AF18,AF20)</f>
        <v/>
      </c>
      <c r="AG21" s="10">
        <f>SUM(AG6,AG8,AG10,AG12,AG14,AG16,AG18,AG20)</f>
        <v/>
      </c>
      <c r="AH21" s="10">
        <f>SUM(AH6,AH8,AH10,AH12,AH14,AH16,AH18,AH20)</f>
        <v/>
      </c>
      <c r="AI21" s="10">
        <f>SUM(AI6,AI8,AI10,AI12,AI14,AI16,AI18,AI20)</f>
        <v/>
      </c>
      <c r="AJ21" s="10">
        <f>SUM(AJ6,AJ8,AJ10,AJ12,AJ14,AJ16,AJ18,AJ20)</f>
        <v/>
      </c>
      <c r="AK21" s="10">
        <f>SUM(AK6,AK8,AK10,AK12,AK14,AK16,AK18,AK20)</f>
        <v/>
      </c>
      <c r="AL21" s="10">
        <f>SUM(AL6,AL8,AL10,AL12,AL14,AL16,AL18,AL20)</f>
        <v/>
      </c>
      <c r="AM21" s="10">
        <f>SUM(AM6,AM8,AM10,AM12,AM14,AM16,AM18,AM20)</f>
        <v/>
      </c>
      <c r="AN21" s="10">
        <f>SUM(AN6,AN8,AN10,AN12,AN14,AN16,AN18,AN20)</f>
        <v/>
      </c>
      <c r="AO21" s="10">
        <f>SUM(AO6,AO8,AO10,AO12,AO14,AO16,AO18,AO20)</f>
        <v/>
      </c>
      <c r="AP21" s="10">
        <f>SUM(AP6,AP8,AP10,AP12,AP14,AP16,AP18,AP20)</f>
        <v/>
      </c>
      <c r="AQ21" s="10">
        <f>SUM(AQ6,AQ8,AQ10,AQ12,AQ14,AQ16,AQ18,AQ20)</f>
        <v/>
      </c>
    </row>
    <row r="22" ht="20" customHeight="1">
      <c r="A22" s="3" t="inlineStr">
        <is>
          <t>Energy</t>
        </is>
      </c>
      <c r="B22" s="3" t="inlineStr">
        <is>
          <t>Electricity for ovens and refrigeration - market price</t>
        </is>
      </c>
      <c r="C22" s="4" t="n">
        <v>5800</v>
      </c>
      <c r="D22" s="3" t="inlineStr">
        <is>
          <t>kWh</t>
        </is>
      </c>
      <c r="E22" s="3">
        <f>AVERAGE(H22:AQ22)</f>
        <v/>
      </c>
      <c r="F22" s="3" t="inlineStr">
        <is>
          <t>Electricity</t>
        </is>
      </c>
      <c r="G22" s="9" t="inlineStr">
        <is>
          <t>INSEE BDM 010777317: Indice mensuel des prix d'achat des moyens de production agricole (IPAMPA) - Electricité; normalized to model unit price</t>
        </is>
      </c>
      <c r="H22" s="9" t="n">
        <v>0.17</v>
      </c>
      <c r="I22" s="9" t="n">
        <v>0.1725</v>
      </c>
      <c r="J22" s="9" t="n">
        <v>0.1725</v>
      </c>
      <c r="K22" s="9" t="n">
        <v>0.1725</v>
      </c>
      <c r="L22" s="9" t="n">
        <v>0.1727</v>
      </c>
      <c r="M22" s="9" t="n">
        <v>0.1727</v>
      </c>
      <c r="N22" s="9" t="n">
        <v>0.1727</v>
      </c>
      <c r="O22" s="9" t="n">
        <v>0.1737</v>
      </c>
      <c r="P22" s="9" t="n">
        <v>0.1737</v>
      </c>
      <c r="Q22" s="9" t="n">
        <v>0.1742</v>
      </c>
      <c r="R22" s="9" t="n">
        <v>0.1754</v>
      </c>
      <c r="S22" s="9" t="n">
        <v>0.175</v>
      </c>
      <c r="T22" s="9" t="n">
        <v>0.1766</v>
      </c>
      <c r="U22" s="9" t="n">
        <v>0.1809</v>
      </c>
      <c r="V22" s="9" t="n">
        <v>0.1829</v>
      </c>
      <c r="W22" s="9" t="n">
        <v>0.1845</v>
      </c>
      <c r="X22" s="9" t="n">
        <v>0.1838</v>
      </c>
      <c r="Y22" s="9" t="n">
        <v>0.1858</v>
      </c>
      <c r="Z22" s="9" t="n">
        <v>0.187</v>
      </c>
      <c r="AA22" s="9" t="n">
        <v>0.1872</v>
      </c>
      <c r="AB22" s="9" t="n">
        <v>0.1922</v>
      </c>
      <c r="AC22" s="9" t="n">
        <v>0.1895</v>
      </c>
      <c r="AD22" s="9" t="n">
        <v>0.1927</v>
      </c>
      <c r="AE22" s="9" t="n">
        <v>0.1878</v>
      </c>
      <c r="AF22" s="9" t="n">
        <v>0.1821</v>
      </c>
      <c r="AG22" s="9" t="n">
        <v>0.1993</v>
      </c>
      <c r="AH22" s="9" t="n">
        <v>0.2031</v>
      </c>
      <c r="AI22" s="9" t="n">
        <v>0.2051</v>
      </c>
      <c r="AJ22" s="9" t="n">
        <v>0.2046</v>
      </c>
      <c r="AK22" s="9" t="n">
        <v>0.2045</v>
      </c>
      <c r="AL22" s="9" t="n">
        <v>0.2045</v>
      </c>
      <c r="AM22" s="9" t="n">
        <v>0.2208</v>
      </c>
      <c r="AN22" s="9" t="n">
        <v>0.2231</v>
      </c>
      <c r="AO22" s="9" t="n">
        <v>0.2245</v>
      </c>
      <c r="AP22" s="9" t="n">
        <v>0.2236</v>
      </c>
      <c r="AQ22" s="9" t="n">
        <v>0.2235</v>
      </c>
    </row>
    <row r="23" ht="20" customHeight="1">
      <c r="A23" s="3" t="inlineStr">
        <is>
          <t>Energy</t>
        </is>
      </c>
      <c r="B23" s="3" t="inlineStr">
        <is>
          <t>Cost (Electricity for ovens and refrigeration)</t>
        </is>
      </c>
      <c r="C23" s="4" t="n">
        <v>5800</v>
      </c>
      <c r="D23" s="3" t="inlineStr">
        <is>
          <t>kWh</t>
        </is>
      </c>
      <c r="E23" s="5">
        <f>E22</f>
        <v/>
      </c>
      <c r="F23" s="3" t="inlineStr">
        <is>
          <t>Electricity</t>
        </is>
      </c>
      <c r="G23" s="3" t="inlineStr">
        <is>
          <t>Cost = quantity x seasonality x monthly market price</t>
        </is>
      </c>
      <c r="H23" s="5">
        <f>$C23*'Hypotheses'!C$17*H22</f>
        <v/>
      </c>
      <c r="I23" s="5">
        <f>$C23*'Hypotheses'!D$17*I22</f>
        <v/>
      </c>
      <c r="J23" s="5">
        <f>$C23*'Hypotheses'!E$17*J22</f>
        <v/>
      </c>
      <c r="K23" s="5">
        <f>$C23*'Hypotheses'!F$17*K22</f>
        <v/>
      </c>
      <c r="L23" s="5">
        <f>$C23*'Hypotheses'!G$17*L22</f>
        <v/>
      </c>
      <c r="M23" s="5">
        <f>$C23*'Hypotheses'!H$17*M22</f>
        <v/>
      </c>
      <c r="N23" s="5">
        <f>$C23*'Hypotheses'!I$17*N22</f>
        <v/>
      </c>
      <c r="O23" s="5">
        <f>$C23*'Hypotheses'!J$17*O22</f>
        <v/>
      </c>
      <c r="P23" s="5">
        <f>$C23*'Hypotheses'!K$17*P22</f>
        <v/>
      </c>
      <c r="Q23" s="5">
        <f>$C23*'Hypotheses'!L$17*Q22</f>
        <v/>
      </c>
      <c r="R23" s="5">
        <f>$C23*'Hypotheses'!M$17*R22</f>
        <v/>
      </c>
      <c r="S23" s="5">
        <f>$C23*'Hypotheses'!N$17*S22</f>
        <v/>
      </c>
      <c r="T23" s="5">
        <f>$C23*'Hypotheses'!C$17*T22</f>
        <v/>
      </c>
      <c r="U23" s="5">
        <f>$C23*'Hypotheses'!D$17*U22</f>
        <v/>
      </c>
      <c r="V23" s="5">
        <f>$C23*'Hypotheses'!E$17*V22</f>
        <v/>
      </c>
      <c r="W23" s="5">
        <f>$C23*'Hypotheses'!F$17*W22</f>
        <v/>
      </c>
      <c r="X23" s="5">
        <f>$C23*'Hypotheses'!G$17*X22</f>
        <v/>
      </c>
      <c r="Y23" s="5">
        <f>$C23*'Hypotheses'!H$17*Y22</f>
        <v/>
      </c>
      <c r="Z23" s="5">
        <f>$C23*'Hypotheses'!I$17*Z22</f>
        <v/>
      </c>
      <c r="AA23" s="5">
        <f>$C23*'Hypotheses'!J$17*AA22</f>
        <v/>
      </c>
      <c r="AB23" s="5">
        <f>$C23*'Hypotheses'!K$17*AB22</f>
        <v/>
      </c>
      <c r="AC23" s="5">
        <f>$C23*'Hypotheses'!L$17*AC22</f>
        <v/>
      </c>
      <c r="AD23" s="5">
        <f>$C23*'Hypotheses'!M$17*AD22</f>
        <v/>
      </c>
      <c r="AE23" s="5">
        <f>$C23*'Hypotheses'!N$17*AE22</f>
        <v/>
      </c>
      <c r="AF23" s="5">
        <f>$C23*'Hypotheses'!C$17*AF22</f>
        <v/>
      </c>
      <c r="AG23" s="5">
        <f>$C23*'Hypotheses'!D$17*AG22</f>
        <v/>
      </c>
      <c r="AH23" s="5">
        <f>$C23*'Hypotheses'!E$17*AH22</f>
        <v/>
      </c>
      <c r="AI23" s="5">
        <f>$C23*'Hypotheses'!F$17*AI22</f>
        <v/>
      </c>
      <c r="AJ23" s="5">
        <f>$C23*'Hypotheses'!G$17*AJ22</f>
        <v/>
      </c>
      <c r="AK23" s="5">
        <f>$C23*'Hypotheses'!H$17*AK22</f>
        <v/>
      </c>
      <c r="AL23" s="5">
        <f>$C23*'Hypotheses'!I$17*AL22</f>
        <v/>
      </c>
      <c r="AM23" s="5">
        <f>$C23*'Hypotheses'!J$17*AM22</f>
        <v/>
      </c>
      <c r="AN23" s="5">
        <f>$C23*'Hypotheses'!K$17*AN22</f>
        <v/>
      </c>
      <c r="AO23" s="5">
        <f>$C23*'Hypotheses'!L$17*AO22</f>
        <v/>
      </c>
      <c r="AP23" s="5">
        <f>$C23*'Hypotheses'!M$17*AP22</f>
        <v/>
      </c>
      <c r="AQ23" s="5">
        <f>$C23*'Hypotheses'!N$17*AQ22</f>
        <v/>
      </c>
    </row>
    <row r="24" ht="20" customHeight="1">
      <c r="A24" s="3" t="inlineStr">
        <is>
          <t>Energy</t>
        </is>
      </c>
      <c r="B24" s="3" t="inlineStr">
        <is>
          <t>Gas for heating - market price</t>
        </is>
      </c>
      <c r="C24" s="4" t="n">
        <v>2600</v>
      </c>
      <c r="D24" s="3" t="inlineStr">
        <is>
          <t>kWh</t>
        </is>
      </c>
      <c r="E24" s="3">
        <f>AVERAGE(H24:AQ24)</f>
        <v/>
      </c>
      <c r="F24" s="3" t="inlineStr">
        <is>
          <t>Gas</t>
        </is>
      </c>
      <c r="G24" s="9" t="inlineStr">
        <is>
          <t>INSEE BDM 010767333: Gaz naturel TTF, contrats à terme à la première échéance aux Pays-Bas - ICE Futures Europe - Prix en euros par mégawattheure; normalized to model unit price</t>
        </is>
      </c>
      <c r="H24" s="9" t="n">
        <v>0.1</v>
      </c>
      <c r="I24" s="9" t="n">
        <v>0.0853</v>
      </c>
      <c r="J24" s="9" t="n">
        <v>0.0863</v>
      </c>
      <c r="K24" s="9" t="n">
        <v>0.1</v>
      </c>
      <c r="L24" s="9" t="n">
        <v>0.1225</v>
      </c>
      <c r="M24" s="9" t="n">
        <v>0.1431</v>
      </c>
      <c r="N24" s="9" t="n">
        <v>0.177</v>
      </c>
      <c r="O24" s="9" t="n">
        <v>0.2191</v>
      </c>
      <c r="P24" s="9" t="n">
        <v>0.3245</v>
      </c>
      <c r="Q24" s="9" t="n">
        <v>0.4475</v>
      </c>
      <c r="R24" s="9" t="n">
        <v>0.4049</v>
      </c>
      <c r="S24" s="9" t="n">
        <v>0.5627</v>
      </c>
      <c r="T24" s="9" t="n">
        <v>0.4176</v>
      </c>
      <c r="U24" s="9" t="n">
        <v>0.4015</v>
      </c>
      <c r="V24" s="9" t="n">
        <v>0.6435999999999999</v>
      </c>
      <c r="W24" s="9" t="n">
        <v>0.499</v>
      </c>
      <c r="X24" s="9" t="n">
        <v>0.4613</v>
      </c>
      <c r="Y24" s="9" t="n">
        <v>0.5309</v>
      </c>
      <c r="Z24" s="9" t="n">
        <v>0.8431</v>
      </c>
      <c r="AA24" s="9" t="n">
        <v>1.1569</v>
      </c>
      <c r="AB24" s="9" t="n">
        <v>0.9975000000000001</v>
      </c>
      <c r="AC24" s="9" t="n">
        <v>0.6642</v>
      </c>
      <c r="AD24" s="9" t="n">
        <v>0.5858</v>
      </c>
      <c r="AE24" s="9" t="n">
        <v>0.5696</v>
      </c>
      <c r="AF24" s="9" t="n">
        <v>0.3132</v>
      </c>
      <c r="AG24" s="9" t="n">
        <v>0.2578</v>
      </c>
      <c r="AH24" s="9" t="n">
        <v>0.2157</v>
      </c>
      <c r="AI24" s="9" t="n">
        <v>0.2064</v>
      </c>
      <c r="AJ24" s="9" t="n">
        <v>0.1554</v>
      </c>
      <c r="AK24" s="9" t="n">
        <v>0.1598</v>
      </c>
      <c r="AL24" s="9" t="n">
        <v>0.1446</v>
      </c>
      <c r="AM24" s="9" t="n">
        <v>0.1716</v>
      </c>
      <c r="AN24" s="9" t="n">
        <v>0.1809</v>
      </c>
      <c r="AO24" s="9" t="n">
        <v>0.2309</v>
      </c>
      <c r="AP24" s="9" t="n">
        <v>0.224</v>
      </c>
      <c r="AQ24" s="9" t="n">
        <v>0.1765</v>
      </c>
    </row>
    <row r="25" ht="20" customHeight="1">
      <c r="A25" s="3" t="inlineStr">
        <is>
          <t>Energy</t>
        </is>
      </c>
      <c r="B25" s="3" t="inlineStr">
        <is>
          <t>Cost (Gas for heating)</t>
        </is>
      </c>
      <c r="C25" s="4" t="n">
        <v>2600</v>
      </c>
      <c r="D25" s="3" t="inlineStr">
        <is>
          <t>kWh</t>
        </is>
      </c>
      <c r="E25" s="5">
        <f>E24</f>
        <v/>
      </c>
      <c r="F25" s="3" t="inlineStr">
        <is>
          <t>Gas</t>
        </is>
      </c>
      <c r="G25" s="3" t="inlineStr">
        <is>
          <t>Cost = quantity x seasonality x monthly market price</t>
        </is>
      </c>
      <c r="H25" s="5">
        <f>$C25*'Hypotheses'!C$17*H24</f>
        <v/>
      </c>
      <c r="I25" s="5">
        <f>$C25*'Hypotheses'!D$17*I24</f>
        <v/>
      </c>
      <c r="J25" s="5">
        <f>$C25*'Hypotheses'!E$17*J24</f>
        <v/>
      </c>
      <c r="K25" s="5">
        <f>$C25*'Hypotheses'!F$17*K24</f>
        <v/>
      </c>
      <c r="L25" s="5">
        <f>$C25*'Hypotheses'!G$17*L24</f>
        <v/>
      </c>
      <c r="M25" s="5">
        <f>$C25*'Hypotheses'!H$17*M24</f>
        <v/>
      </c>
      <c r="N25" s="5">
        <f>$C25*'Hypotheses'!I$17*N24</f>
        <v/>
      </c>
      <c r="O25" s="5">
        <f>$C25*'Hypotheses'!J$17*O24</f>
        <v/>
      </c>
      <c r="P25" s="5">
        <f>$C25*'Hypotheses'!K$17*P24</f>
        <v/>
      </c>
      <c r="Q25" s="5">
        <f>$C25*'Hypotheses'!L$17*Q24</f>
        <v/>
      </c>
      <c r="R25" s="5">
        <f>$C25*'Hypotheses'!M$17*R24</f>
        <v/>
      </c>
      <c r="S25" s="5">
        <f>$C25*'Hypotheses'!N$17*S24</f>
        <v/>
      </c>
      <c r="T25" s="5">
        <f>$C25*'Hypotheses'!C$17*T24</f>
        <v/>
      </c>
      <c r="U25" s="5">
        <f>$C25*'Hypotheses'!D$17*U24</f>
        <v/>
      </c>
      <c r="V25" s="5">
        <f>$C25*'Hypotheses'!E$17*V24</f>
        <v/>
      </c>
      <c r="W25" s="5">
        <f>$C25*'Hypotheses'!F$17*W24</f>
        <v/>
      </c>
      <c r="X25" s="5">
        <f>$C25*'Hypotheses'!G$17*X24</f>
        <v/>
      </c>
      <c r="Y25" s="5">
        <f>$C25*'Hypotheses'!H$17*Y24</f>
        <v/>
      </c>
      <c r="Z25" s="5">
        <f>$C25*'Hypotheses'!I$17*Z24</f>
        <v/>
      </c>
      <c r="AA25" s="5">
        <f>$C25*'Hypotheses'!J$17*AA24</f>
        <v/>
      </c>
      <c r="AB25" s="5">
        <f>$C25*'Hypotheses'!K$17*AB24</f>
        <v/>
      </c>
      <c r="AC25" s="5">
        <f>$C25*'Hypotheses'!L$17*AC24</f>
        <v/>
      </c>
      <c r="AD25" s="5">
        <f>$C25*'Hypotheses'!M$17*AD24</f>
        <v/>
      </c>
      <c r="AE25" s="5">
        <f>$C25*'Hypotheses'!N$17*AE24</f>
        <v/>
      </c>
      <c r="AF25" s="5">
        <f>$C25*'Hypotheses'!C$17*AF24</f>
        <v/>
      </c>
      <c r="AG25" s="5">
        <f>$C25*'Hypotheses'!D$17*AG24</f>
        <v/>
      </c>
      <c r="AH25" s="5">
        <f>$C25*'Hypotheses'!E$17*AH24</f>
        <v/>
      </c>
      <c r="AI25" s="5">
        <f>$C25*'Hypotheses'!F$17*AI24</f>
        <v/>
      </c>
      <c r="AJ25" s="5">
        <f>$C25*'Hypotheses'!G$17*AJ24</f>
        <v/>
      </c>
      <c r="AK25" s="5">
        <f>$C25*'Hypotheses'!H$17*AK24</f>
        <v/>
      </c>
      <c r="AL25" s="5">
        <f>$C25*'Hypotheses'!I$17*AL24</f>
        <v/>
      </c>
      <c r="AM25" s="5">
        <f>$C25*'Hypotheses'!J$17*AM24</f>
        <v/>
      </c>
      <c r="AN25" s="5">
        <f>$C25*'Hypotheses'!K$17*AN24</f>
        <v/>
      </c>
      <c r="AO25" s="5">
        <f>$C25*'Hypotheses'!L$17*AO24</f>
        <v/>
      </c>
      <c r="AP25" s="5">
        <f>$C25*'Hypotheses'!M$17*AP24</f>
        <v/>
      </c>
      <c r="AQ25" s="5">
        <f>$C25*'Hypotheses'!N$17*AQ24</f>
        <v/>
      </c>
    </row>
    <row r="26" ht="20" customHeight="1">
      <c r="A26" s="10" t="inlineStr">
        <is>
          <t>SOUS-TOTAL Energy</t>
        </is>
      </c>
      <c r="B26" s="10" t="n"/>
      <c r="C26" s="10" t="n"/>
      <c r="D26" s="10" t="n"/>
      <c r="E26" s="10" t="n"/>
      <c r="F26" s="10" t="n"/>
      <c r="G26" s="10" t="n"/>
      <c r="H26" s="10">
        <f>SUM(H23,H25)</f>
        <v/>
      </c>
      <c r="I26" s="10">
        <f>SUM(I23,I25)</f>
        <v/>
      </c>
      <c r="J26" s="10">
        <f>SUM(J23,J25)</f>
        <v/>
      </c>
      <c r="K26" s="10">
        <f>SUM(K23,K25)</f>
        <v/>
      </c>
      <c r="L26" s="10">
        <f>SUM(L23,L25)</f>
        <v/>
      </c>
      <c r="M26" s="10">
        <f>SUM(M23,M25)</f>
        <v/>
      </c>
      <c r="N26" s="10">
        <f>SUM(N23,N25)</f>
        <v/>
      </c>
      <c r="O26" s="10">
        <f>SUM(O23,O25)</f>
        <v/>
      </c>
      <c r="P26" s="10">
        <f>SUM(P23,P25)</f>
        <v/>
      </c>
      <c r="Q26" s="10">
        <f>SUM(Q23,Q25)</f>
        <v/>
      </c>
      <c r="R26" s="10">
        <f>SUM(R23,R25)</f>
        <v/>
      </c>
      <c r="S26" s="10">
        <f>SUM(S23,S25)</f>
        <v/>
      </c>
      <c r="T26" s="10">
        <f>SUM(T23,T25)</f>
        <v/>
      </c>
      <c r="U26" s="10">
        <f>SUM(U23,U25)</f>
        <v/>
      </c>
      <c r="V26" s="10">
        <f>SUM(V23,V25)</f>
        <v/>
      </c>
      <c r="W26" s="10">
        <f>SUM(W23,W25)</f>
        <v/>
      </c>
      <c r="X26" s="10">
        <f>SUM(X23,X25)</f>
        <v/>
      </c>
      <c r="Y26" s="10">
        <f>SUM(Y23,Y25)</f>
        <v/>
      </c>
      <c r="Z26" s="10">
        <f>SUM(Z23,Z25)</f>
        <v/>
      </c>
      <c r="AA26" s="10">
        <f>SUM(AA23,AA25)</f>
        <v/>
      </c>
      <c r="AB26" s="10">
        <f>SUM(AB23,AB25)</f>
        <v/>
      </c>
      <c r="AC26" s="10">
        <f>SUM(AC23,AC25)</f>
        <v/>
      </c>
      <c r="AD26" s="10">
        <f>SUM(AD23,AD25)</f>
        <v/>
      </c>
      <c r="AE26" s="10">
        <f>SUM(AE23,AE25)</f>
        <v/>
      </c>
      <c r="AF26" s="10">
        <f>SUM(AF23,AF25)</f>
        <v/>
      </c>
      <c r="AG26" s="10">
        <f>SUM(AG23,AG25)</f>
        <v/>
      </c>
      <c r="AH26" s="10">
        <f>SUM(AH23,AH25)</f>
        <v/>
      </c>
      <c r="AI26" s="10">
        <f>SUM(AI23,AI25)</f>
        <v/>
      </c>
      <c r="AJ26" s="10">
        <f>SUM(AJ23,AJ25)</f>
        <v/>
      </c>
      <c r="AK26" s="10">
        <f>SUM(AK23,AK25)</f>
        <v/>
      </c>
      <c r="AL26" s="10">
        <f>SUM(AL23,AL25)</f>
        <v/>
      </c>
      <c r="AM26" s="10">
        <f>SUM(AM23,AM25)</f>
        <v/>
      </c>
      <c r="AN26" s="10">
        <f>SUM(AN23,AN25)</f>
        <v/>
      </c>
      <c r="AO26" s="10">
        <f>SUM(AO23,AO25)</f>
        <v/>
      </c>
      <c r="AP26" s="10">
        <f>SUM(AP23,AP25)</f>
        <v/>
      </c>
      <c r="AQ26" s="10">
        <f>SUM(AQ23,AQ25)</f>
        <v/>
      </c>
    </row>
    <row r="27" ht="20" customHeight="1">
      <c r="A27" s="3" t="inlineStr">
        <is>
          <t>Personnel</t>
        </is>
      </c>
      <c r="B27" s="3" t="inlineStr">
        <is>
          <t>Owner net compensation</t>
        </is>
      </c>
      <c r="C27" s="4" t="n">
        <v>1</v>
      </c>
      <c r="D27" s="3" t="inlineStr">
        <is>
          <t>monthly package</t>
        </is>
      </c>
      <c r="E27" s="4" t="n">
        <v>4200</v>
      </c>
      <c r="F27" s="3" t="n"/>
      <c r="G27" s="9" t="inlineStr">
        <is>
          <t>Fixed owner draw assumption</t>
        </is>
      </c>
      <c r="H27" s="5">
        <f>$C27*1*$E27*(1+'Hypotheses'!$C$14)^0</f>
        <v/>
      </c>
      <c r="I27" s="5">
        <f>$C27*1*$E27*(1+'Hypotheses'!$C$14)^0</f>
        <v/>
      </c>
      <c r="J27" s="5">
        <f>$C27*1*$E27*(1+'Hypotheses'!$C$14)^0</f>
        <v/>
      </c>
      <c r="K27" s="5">
        <f>$C27*1*$E27*(1+'Hypotheses'!$C$14)^0</f>
        <v/>
      </c>
      <c r="L27" s="5">
        <f>$C27*1*$E27*(1+'Hypotheses'!$C$14)^0</f>
        <v/>
      </c>
      <c r="M27" s="5">
        <f>$C27*1*$E27*(1+'Hypotheses'!$C$14)^0</f>
        <v/>
      </c>
      <c r="N27" s="5">
        <f>$C27*1*$E27*(1+'Hypotheses'!$C$14)^0</f>
        <v/>
      </c>
      <c r="O27" s="5">
        <f>$C27*1*$E27*(1+'Hypotheses'!$C$14)^0</f>
        <v/>
      </c>
      <c r="P27" s="5">
        <f>$C27*1*$E27*(1+'Hypotheses'!$C$14)^0</f>
        <v/>
      </c>
      <c r="Q27" s="5">
        <f>$C27*1*$E27*(1+'Hypotheses'!$C$14)^0</f>
        <v/>
      </c>
      <c r="R27" s="5">
        <f>$C27*1*$E27*(1+'Hypotheses'!$C$14)^0</f>
        <v/>
      </c>
      <c r="S27" s="5">
        <f>$C27*1*$E27*(1+'Hypotheses'!$C$14)^0</f>
        <v/>
      </c>
      <c r="T27" s="5">
        <f>$C27*1*$E27*(1+'Hypotheses'!$C$14)^1</f>
        <v/>
      </c>
      <c r="U27" s="5">
        <f>$C27*1*$E27*(1+'Hypotheses'!$C$14)^1</f>
        <v/>
      </c>
      <c r="V27" s="5">
        <f>$C27*1*$E27*(1+'Hypotheses'!$C$14)^1</f>
        <v/>
      </c>
      <c r="W27" s="5">
        <f>$C27*1*$E27*(1+'Hypotheses'!$C$14)^1</f>
        <v/>
      </c>
      <c r="X27" s="5">
        <f>$C27*1*$E27*(1+'Hypotheses'!$C$14)^1</f>
        <v/>
      </c>
      <c r="Y27" s="5">
        <f>$C27*1*$E27*(1+'Hypotheses'!$C$14)^1</f>
        <v/>
      </c>
      <c r="Z27" s="5">
        <f>$C27*1*$E27*(1+'Hypotheses'!$C$14)^1</f>
        <v/>
      </c>
      <c r="AA27" s="5">
        <f>$C27*1*$E27*(1+'Hypotheses'!$C$14)^1</f>
        <v/>
      </c>
      <c r="AB27" s="5">
        <f>$C27*1*$E27*(1+'Hypotheses'!$C$14)^1</f>
        <v/>
      </c>
      <c r="AC27" s="5">
        <f>$C27*1*$E27*(1+'Hypotheses'!$C$14)^1</f>
        <v/>
      </c>
      <c r="AD27" s="5">
        <f>$C27*1*$E27*(1+'Hypotheses'!$C$14)^1</f>
        <v/>
      </c>
      <c r="AE27" s="5">
        <f>$C27*1*$E27*(1+'Hypotheses'!$C$14)^1</f>
        <v/>
      </c>
      <c r="AF27" s="5">
        <f>$C27*1*$E27*(1+'Hypotheses'!$C$14)^2</f>
        <v/>
      </c>
      <c r="AG27" s="5">
        <f>$C27*1*$E27*(1+'Hypotheses'!$C$14)^2</f>
        <v/>
      </c>
      <c r="AH27" s="5">
        <f>$C27*1*$E27*(1+'Hypotheses'!$C$14)^2</f>
        <v/>
      </c>
      <c r="AI27" s="5">
        <f>$C27*1*$E27*(1+'Hypotheses'!$C$14)^2</f>
        <v/>
      </c>
      <c r="AJ27" s="5">
        <f>$C27*1*$E27*(1+'Hypotheses'!$C$14)^2</f>
        <v/>
      </c>
      <c r="AK27" s="5">
        <f>$C27*1*$E27*(1+'Hypotheses'!$C$14)^2</f>
        <v/>
      </c>
      <c r="AL27" s="5">
        <f>$C27*1*$E27*(1+'Hypotheses'!$C$14)^2</f>
        <v/>
      </c>
      <c r="AM27" s="5">
        <f>$C27*1*$E27*(1+'Hypotheses'!$C$14)^2</f>
        <v/>
      </c>
      <c r="AN27" s="5">
        <f>$C27*1*$E27*(1+'Hypotheses'!$C$14)^2</f>
        <v/>
      </c>
      <c r="AO27" s="5">
        <f>$C27*1*$E27*(1+'Hypotheses'!$C$14)^2</f>
        <v/>
      </c>
      <c r="AP27" s="5">
        <f>$C27*1*$E27*(1+'Hypotheses'!$C$14)^2</f>
        <v/>
      </c>
      <c r="AQ27" s="5">
        <f>$C27*1*$E27*(1+'Hypotheses'!$C$14)^2</f>
        <v/>
      </c>
    </row>
    <row r="28" ht="20" customHeight="1">
      <c r="A28" s="3" t="inlineStr">
        <is>
          <t>Personnel</t>
        </is>
      </c>
      <c r="B28" s="3" t="inlineStr">
        <is>
          <t>Employee salary and charges - market price</t>
        </is>
      </c>
      <c r="C28" s="4" t="n">
        <v>1</v>
      </c>
      <c r="D28" s="3" t="inlineStr">
        <is>
          <t>monthly package</t>
        </is>
      </c>
      <c r="E28" s="3">
        <f>AVERAGE(H28:AQ28)</f>
        <v/>
      </c>
      <c r="F28" s="3" t="n"/>
      <c r="G28" s="9" t="inlineStr">
        <is>
          <t>INSEE BDM 010762009: Indice du coût du travail - Coût horaire - Hébergement, restauration (NAF rév. 2 section I) - Base 100 en 2020 ; normalized to model unit price</t>
        </is>
      </c>
      <c r="H28" s="9" t="n">
        <v>5600</v>
      </c>
      <c r="I28" s="9" t="n">
        <v>5600</v>
      </c>
      <c r="J28" s="9" t="n">
        <v>5600</v>
      </c>
      <c r="K28" s="9" t="n">
        <v>5600</v>
      </c>
      <c r="L28" s="9" t="n">
        <v>5600</v>
      </c>
      <c r="M28" s="9" t="n">
        <v>5600</v>
      </c>
      <c r="N28" s="9" t="n">
        <v>5600</v>
      </c>
      <c r="O28" s="9" t="n">
        <v>5600</v>
      </c>
      <c r="P28" s="9" t="n">
        <v>5600</v>
      </c>
      <c r="Q28" s="9" t="n">
        <v>5600</v>
      </c>
      <c r="R28" s="9" t="n">
        <v>5600</v>
      </c>
      <c r="S28" s="9" t="n">
        <v>5600</v>
      </c>
      <c r="T28" s="9" t="n">
        <v>5600</v>
      </c>
      <c r="U28" s="9" t="n">
        <v>5600</v>
      </c>
      <c r="V28" s="9" t="n">
        <v>5600</v>
      </c>
      <c r="W28" s="9" t="n">
        <v>5600</v>
      </c>
      <c r="X28" s="9" t="n">
        <v>5600</v>
      </c>
      <c r="Y28" s="9" t="n">
        <v>5600</v>
      </c>
      <c r="Z28" s="9" t="n">
        <v>5600</v>
      </c>
      <c r="AA28" s="9" t="n">
        <v>5600</v>
      </c>
      <c r="AB28" s="9" t="n">
        <v>5600</v>
      </c>
      <c r="AC28" s="9" t="n">
        <v>5600</v>
      </c>
      <c r="AD28" s="9" t="n">
        <v>5600</v>
      </c>
      <c r="AE28" s="9" t="n">
        <v>5600</v>
      </c>
      <c r="AF28" s="9" t="n">
        <v>5600</v>
      </c>
      <c r="AG28" s="9" t="n">
        <v>5600</v>
      </c>
      <c r="AH28" s="9" t="n">
        <v>5600</v>
      </c>
      <c r="AI28" s="9" t="n">
        <v>5600</v>
      </c>
      <c r="AJ28" s="9" t="n">
        <v>5600</v>
      </c>
      <c r="AK28" s="9" t="n">
        <v>5600</v>
      </c>
      <c r="AL28" s="9" t="n">
        <v>5600</v>
      </c>
      <c r="AM28" s="9" t="n">
        <v>5600</v>
      </c>
      <c r="AN28" s="9" t="n">
        <v>5600</v>
      </c>
      <c r="AO28" s="9" t="n">
        <v>5600</v>
      </c>
      <c r="AP28" s="9" t="n">
        <v>5600</v>
      </c>
      <c r="AQ28" s="9" t="n">
        <v>5600</v>
      </c>
    </row>
    <row r="29" ht="20" customHeight="1">
      <c r="A29" s="3" t="inlineStr">
        <is>
          <t>Personnel</t>
        </is>
      </c>
      <c r="B29" s="3" t="inlineStr">
        <is>
          <t>Cost (Employee salary and charges)</t>
        </is>
      </c>
      <c r="C29" s="4" t="n">
        <v>1</v>
      </c>
      <c r="D29" s="3" t="inlineStr">
        <is>
          <t>monthly package</t>
        </is>
      </c>
      <c r="E29" s="5">
        <f>E28</f>
        <v/>
      </c>
      <c r="F29" s="3" t="n"/>
      <c r="G29" s="3" t="inlineStr">
        <is>
          <t>Cost = quantity x seasonality x monthly market price</t>
        </is>
      </c>
      <c r="H29" s="5">
        <f>$C29*H28</f>
        <v/>
      </c>
      <c r="I29" s="5">
        <f>$C29*I28</f>
        <v/>
      </c>
      <c r="J29" s="5">
        <f>$C29*J28</f>
        <v/>
      </c>
      <c r="K29" s="5">
        <f>$C29*K28</f>
        <v/>
      </c>
      <c r="L29" s="5">
        <f>$C29*L28</f>
        <v/>
      </c>
      <c r="M29" s="5">
        <f>$C29*M28</f>
        <v/>
      </c>
      <c r="N29" s="5">
        <f>$C29*N28</f>
        <v/>
      </c>
      <c r="O29" s="5">
        <f>$C29*O28</f>
        <v/>
      </c>
      <c r="P29" s="5">
        <f>$C29*P28</f>
        <v/>
      </c>
      <c r="Q29" s="5">
        <f>$C29*Q28</f>
        <v/>
      </c>
      <c r="R29" s="5">
        <f>$C29*R28</f>
        <v/>
      </c>
      <c r="S29" s="5">
        <f>$C29*S28</f>
        <v/>
      </c>
      <c r="T29" s="5">
        <f>$C29*T28</f>
        <v/>
      </c>
      <c r="U29" s="5">
        <f>$C29*U28</f>
        <v/>
      </c>
      <c r="V29" s="5">
        <f>$C29*V28</f>
        <v/>
      </c>
      <c r="W29" s="5">
        <f>$C29*W28</f>
        <v/>
      </c>
      <c r="X29" s="5">
        <f>$C29*X28</f>
        <v/>
      </c>
      <c r="Y29" s="5">
        <f>$C29*Y28</f>
        <v/>
      </c>
      <c r="Z29" s="5">
        <f>$C29*Z28</f>
        <v/>
      </c>
      <c r="AA29" s="5">
        <f>$C29*AA28</f>
        <v/>
      </c>
      <c r="AB29" s="5">
        <f>$C29*AB28</f>
        <v/>
      </c>
      <c r="AC29" s="5">
        <f>$C29*AC28</f>
        <v/>
      </c>
      <c r="AD29" s="5">
        <f>$C29*AD28</f>
        <v/>
      </c>
      <c r="AE29" s="5">
        <f>$C29*AE28</f>
        <v/>
      </c>
      <c r="AF29" s="5">
        <f>$C29*AF28</f>
        <v/>
      </c>
      <c r="AG29" s="5">
        <f>$C29*AG28</f>
        <v/>
      </c>
      <c r="AH29" s="5">
        <f>$C29*AH28</f>
        <v/>
      </c>
      <c r="AI29" s="5">
        <f>$C29*AI28</f>
        <v/>
      </c>
      <c r="AJ29" s="5">
        <f>$C29*AJ28</f>
        <v/>
      </c>
      <c r="AK29" s="5">
        <f>$C29*AK28</f>
        <v/>
      </c>
      <c r="AL29" s="5">
        <f>$C29*AL28</f>
        <v/>
      </c>
      <c r="AM29" s="5">
        <f>$C29*AM28</f>
        <v/>
      </c>
      <c r="AN29" s="5">
        <f>$C29*AN28</f>
        <v/>
      </c>
      <c r="AO29" s="5">
        <f>$C29*AO28</f>
        <v/>
      </c>
      <c r="AP29" s="5">
        <f>$C29*AP28</f>
        <v/>
      </c>
      <c r="AQ29" s="5">
        <f>$C29*AQ28</f>
        <v/>
      </c>
    </row>
    <row r="30" ht="20" customHeight="1">
      <c r="A30" s="10" t="inlineStr">
        <is>
          <t>SOUS-TOTAL Personnel</t>
        </is>
      </c>
      <c r="B30" s="10" t="n"/>
      <c r="C30" s="10" t="n"/>
      <c r="D30" s="10" t="n"/>
      <c r="E30" s="10" t="n"/>
      <c r="F30" s="10" t="n"/>
      <c r="G30" s="10" t="n"/>
      <c r="H30" s="10">
        <f>SUM(H27,H29)</f>
        <v/>
      </c>
      <c r="I30" s="10">
        <f>SUM(I27,I29)</f>
        <v/>
      </c>
      <c r="J30" s="10">
        <f>SUM(J27,J29)</f>
        <v/>
      </c>
      <c r="K30" s="10">
        <f>SUM(K27,K29)</f>
        <v/>
      </c>
      <c r="L30" s="10">
        <f>SUM(L27,L29)</f>
        <v/>
      </c>
      <c r="M30" s="10">
        <f>SUM(M27,M29)</f>
        <v/>
      </c>
      <c r="N30" s="10">
        <f>SUM(N27,N29)</f>
        <v/>
      </c>
      <c r="O30" s="10">
        <f>SUM(O27,O29)</f>
        <v/>
      </c>
      <c r="P30" s="10">
        <f>SUM(P27,P29)</f>
        <v/>
      </c>
      <c r="Q30" s="10">
        <f>SUM(Q27,Q29)</f>
        <v/>
      </c>
      <c r="R30" s="10">
        <f>SUM(R27,R29)</f>
        <v/>
      </c>
      <c r="S30" s="10">
        <f>SUM(S27,S29)</f>
        <v/>
      </c>
      <c r="T30" s="10">
        <f>SUM(T27,T29)</f>
        <v/>
      </c>
      <c r="U30" s="10">
        <f>SUM(U27,U29)</f>
        <v/>
      </c>
      <c r="V30" s="10">
        <f>SUM(V27,V29)</f>
        <v/>
      </c>
      <c r="W30" s="10">
        <f>SUM(W27,W29)</f>
        <v/>
      </c>
      <c r="X30" s="10">
        <f>SUM(X27,X29)</f>
        <v/>
      </c>
      <c r="Y30" s="10">
        <f>SUM(Y27,Y29)</f>
        <v/>
      </c>
      <c r="Z30" s="10">
        <f>SUM(Z27,Z29)</f>
        <v/>
      </c>
      <c r="AA30" s="10">
        <f>SUM(AA27,AA29)</f>
        <v/>
      </c>
      <c r="AB30" s="10">
        <f>SUM(AB27,AB29)</f>
        <v/>
      </c>
      <c r="AC30" s="10">
        <f>SUM(AC27,AC29)</f>
        <v/>
      </c>
      <c r="AD30" s="10">
        <f>SUM(AD27,AD29)</f>
        <v/>
      </c>
      <c r="AE30" s="10">
        <f>SUM(AE27,AE29)</f>
        <v/>
      </c>
      <c r="AF30" s="10">
        <f>SUM(AF27,AF29)</f>
        <v/>
      </c>
      <c r="AG30" s="10">
        <f>SUM(AG27,AG29)</f>
        <v/>
      </c>
      <c r="AH30" s="10">
        <f>SUM(AH27,AH29)</f>
        <v/>
      </c>
      <c r="AI30" s="10">
        <f>SUM(AI27,AI29)</f>
        <v/>
      </c>
      <c r="AJ30" s="10">
        <f>SUM(AJ27,AJ29)</f>
        <v/>
      </c>
      <c r="AK30" s="10">
        <f>SUM(AK27,AK29)</f>
        <v/>
      </c>
      <c r="AL30" s="10">
        <f>SUM(AL27,AL29)</f>
        <v/>
      </c>
      <c r="AM30" s="10">
        <f>SUM(AM27,AM29)</f>
        <v/>
      </c>
      <c r="AN30" s="10">
        <f>SUM(AN27,AN29)</f>
        <v/>
      </c>
      <c r="AO30" s="10">
        <f>SUM(AO27,AO29)</f>
        <v/>
      </c>
      <c r="AP30" s="10">
        <f>SUM(AP27,AP29)</f>
        <v/>
      </c>
      <c r="AQ30" s="10">
        <f>SUM(AQ27,AQ29)</f>
        <v/>
      </c>
    </row>
    <row r="31" ht="20" customHeight="1">
      <c r="A31" s="3" t="inlineStr">
        <is>
          <t>Fixed costs</t>
        </is>
      </c>
      <c r="B31" s="3" t="inlineStr">
        <is>
          <t>Commercial rent - market price</t>
        </is>
      </c>
      <c r="C31" s="4" t="n">
        <v>1</v>
      </c>
      <c r="D31" s="3" t="inlineStr">
        <is>
          <t>monthly package</t>
        </is>
      </c>
      <c r="E31" s="3">
        <f>AVERAGE(H31:AQ31)</f>
        <v/>
      </c>
      <c r="F31" s="3" t="n"/>
      <c r="G31" s="9" t="inlineStr">
        <is>
          <t>INSEE BDM 001532540: Indice des loyers commerciaux (ILC) - Base 100 au 1er trimestre 2008; normalized to model unit price</t>
        </is>
      </c>
      <c r="H31" s="9" t="n">
        <v>3200</v>
      </c>
      <c r="I31" s="9" t="n">
        <v>3200</v>
      </c>
      <c r="J31" s="9" t="n">
        <v>3200</v>
      </c>
      <c r="K31" s="9" t="n">
        <v>3200</v>
      </c>
      <c r="L31" s="9" t="n">
        <v>3200</v>
      </c>
      <c r="M31" s="9" t="n">
        <v>3200</v>
      </c>
      <c r="N31" s="9" t="n">
        <v>3200</v>
      </c>
      <c r="O31" s="9" t="n">
        <v>3200</v>
      </c>
      <c r="P31" s="9" t="n">
        <v>3200</v>
      </c>
      <c r="Q31" s="9" t="n">
        <v>3200</v>
      </c>
      <c r="R31" s="9" t="n">
        <v>3200</v>
      </c>
      <c r="S31" s="9" t="n">
        <v>3200</v>
      </c>
      <c r="T31" s="9" t="n">
        <v>3200</v>
      </c>
      <c r="U31" s="9" t="n">
        <v>3200</v>
      </c>
      <c r="V31" s="9" t="n">
        <v>3200</v>
      </c>
      <c r="W31" s="9" t="n">
        <v>3200</v>
      </c>
      <c r="X31" s="9" t="n">
        <v>3200</v>
      </c>
      <c r="Y31" s="9" t="n">
        <v>3200</v>
      </c>
      <c r="Z31" s="9" t="n">
        <v>3200</v>
      </c>
      <c r="AA31" s="9" t="n">
        <v>3200</v>
      </c>
      <c r="AB31" s="9" t="n">
        <v>3200</v>
      </c>
      <c r="AC31" s="9" t="n">
        <v>3200</v>
      </c>
      <c r="AD31" s="9" t="n">
        <v>3200</v>
      </c>
      <c r="AE31" s="9" t="n">
        <v>3200</v>
      </c>
      <c r="AF31" s="9" t="n">
        <v>3200</v>
      </c>
      <c r="AG31" s="9" t="n">
        <v>3200</v>
      </c>
      <c r="AH31" s="9" t="n">
        <v>3200</v>
      </c>
      <c r="AI31" s="9" t="n">
        <v>3200</v>
      </c>
      <c r="AJ31" s="9" t="n">
        <v>3200</v>
      </c>
      <c r="AK31" s="9" t="n">
        <v>3200</v>
      </c>
      <c r="AL31" s="9" t="n">
        <v>3200</v>
      </c>
      <c r="AM31" s="9" t="n">
        <v>3200</v>
      </c>
      <c r="AN31" s="9" t="n">
        <v>3200</v>
      </c>
      <c r="AO31" s="9" t="n">
        <v>3200</v>
      </c>
      <c r="AP31" s="9" t="n">
        <v>3200</v>
      </c>
      <c r="AQ31" s="9" t="n">
        <v>3200</v>
      </c>
    </row>
    <row r="32" ht="20" customHeight="1">
      <c r="A32" s="3" t="inlineStr">
        <is>
          <t>Fixed costs</t>
        </is>
      </c>
      <c r="B32" s="3" t="inlineStr">
        <is>
          <t>Cost (Commercial rent)</t>
        </is>
      </c>
      <c r="C32" s="4" t="n">
        <v>1</v>
      </c>
      <c r="D32" s="3" t="inlineStr">
        <is>
          <t>monthly package</t>
        </is>
      </c>
      <c r="E32" s="5">
        <f>E31</f>
        <v/>
      </c>
      <c r="F32" s="3" t="n"/>
      <c r="G32" s="3" t="inlineStr">
        <is>
          <t>Cost = quantity x seasonality x monthly market price</t>
        </is>
      </c>
      <c r="H32" s="5">
        <f>$C32*H31</f>
        <v/>
      </c>
      <c r="I32" s="5">
        <f>$C32*I31</f>
        <v/>
      </c>
      <c r="J32" s="5">
        <f>$C32*J31</f>
        <v/>
      </c>
      <c r="K32" s="5">
        <f>$C32*K31</f>
        <v/>
      </c>
      <c r="L32" s="5">
        <f>$C32*L31</f>
        <v/>
      </c>
      <c r="M32" s="5">
        <f>$C32*M31</f>
        <v/>
      </c>
      <c r="N32" s="5">
        <f>$C32*N31</f>
        <v/>
      </c>
      <c r="O32" s="5">
        <f>$C32*O31</f>
        <v/>
      </c>
      <c r="P32" s="5">
        <f>$C32*P31</f>
        <v/>
      </c>
      <c r="Q32" s="5">
        <f>$C32*Q31</f>
        <v/>
      </c>
      <c r="R32" s="5">
        <f>$C32*R31</f>
        <v/>
      </c>
      <c r="S32" s="5">
        <f>$C32*S31</f>
        <v/>
      </c>
      <c r="T32" s="5">
        <f>$C32*T31</f>
        <v/>
      </c>
      <c r="U32" s="5">
        <f>$C32*U31</f>
        <v/>
      </c>
      <c r="V32" s="5">
        <f>$C32*V31</f>
        <v/>
      </c>
      <c r="W32" s="5">
        <f>$C32*W31</f>
        <v/>
      </c>
      <c r="X32" s="5">
        <f>$C32*X31</f>
        <v/>
      </c>
      <c r="Y32" s="5">
        <f>$C32*Y31</f>
        <v/>
      </c>
      <c r="Z32" s="5">
        <f>$C32*Z31</f>
        <v/>
      </c>
      <c r="AA32" s="5">
        <f>$C32*AA31</f>
        <v/>
      </c>
      <c r="AB32" s="5">
        <f>$C32*AB31</f>
        <v/>
      </c>
      <c r="AC32" s="5">
        <f>$C32*AC31</f>
        <v/>
      </c>
      <c r="AD32" s="5">
        <f>$C32*AD31</f>
        <v/>
      </c>
      <c r="AE32" s="5">
        <f>$C32*AE31</f>
        <v/>
      </c>
      <c r="AF32" s="5">
        <f>$C32*AF31</f>
        <v/>
      </c>
      <c r="AG32" s="5">
        <f>$C32*AG31</f>
        <v/>
      </c>
      <c r="AH32" s="5">
        <f>$C32*AH31</f>
        <v/>
      </c>
      <c r="AI32" s="5">
        <f>$C32*AI31</f>
        <v/>
      </c>
      <c r="AJ32" s="5">
        <f>$C32*AJ31</f>
        <v/>
      </c>
      <c r="AK32" s="5">
        <f>$C32*AK31</f>
        <v/>
      </c>
      <c r="AL32" s="5">
        <f>$C32*AL31</f>
        <v/>
      </c>
      <c r="AM32" s="5">
        <f>$C32*AM31</f>
        <v/>
      </c>
      <c r="AN32" s="5">
        <f>$C32*AN31</f>
        <v/>
      </c>
      <c r="AO32" s="5">
        <f>$C32*AO31</f>
        <v/>
      </c>
      <c r="AP32" s="5">
        <f>$C32*AP31</f>
        <v/>
      </c>
      <c r="AQ32" s="5">
        <f>$C32*AQ31</f>
        <v/>
      </c>
    </row>
    <row r="33" ht="20" customHeight="1">
      <c r="A33" s="3" t="inlineStr">
        <is>
          <t>Fixed costs</t>
        </is>
      </c>
      <c r="B33" s="3" t="inlineStr">
        <is>
          <t>Insurance</t>
        </is>
      </c>
      <c r="C33" s="4" t="n">
        <v>1</v>
      </c>
      <c r="D33" s="3" t="inlineStr">
        <is>
          <t>monthly package</t>
        </is>
      </c>
      <c r="E33" s="4" t="n">
        <v>250</v>
      </c>
      <c r="F33" s="3" t="n"/>
      <c r="G33" s="9" t="inlineStr">
        <is>
          <t>Professional insurance estimate</t>
        </is>
      </c>
      <c r="H33" s="5">
        <f>$C33*1*$E33*(1+'Hypotheses'!$C$14)^0</f>
        <v/>
      </c>
      <c r="I33" s="5">
        <f>$C33*1*$E33*(1+'Hypotheses'!$C$14)^0</f>
        <v/>
      </c>
      <c r="J33" s="5">
        <f>$C33*1*$E33*(1+'Hypotheses'!$C$14)^0</f>
        <v/>
      </c>
      <c r="K33" s="5">
        <f>$C33*1*$E33*(1+'Hypotheses'!$C$14)^0</f>
        <v/>
      </c>
      <c r="L33" s="5">
        <f>$C33*1*$E33*(1+'Hypotheses'!$C$14)^0</f>
        <v/>
      </c>
      <c r="M33" s="5">
        <f>$C33*1*$E33*(1+'Hypotheses'!$C$14)^0</f>
        <v/>
      </c>
      <c r="N33" s="5">
        <f>$C33*1*$E33*(1+'Hypotheses'!$C$14)^0</f>
        <v/>
      </c>
      <c r="O33" s="5">
        <f>$C33*1*$E33*(1+'Hypotheses'!$C$14)^0</f>
        <v/>
      </c>
      <c r="P33" s="5">
        <f>$C33*1*$E33*(1+'Hypotheses'!$C$14)^0</f>
        <v/>
      </c>
      <c r="Q33" s="5">
        <f>$C33*1*$E33*(1+'Hypotheses'!$C$14)^0</f>
        <v/>
      </c>
      <c r="R33" s="5">
        <f>$C33*1*$E33*(1+'Hypotheses'!$C$14)^0</f>
        <v/>
      </c>
      <c r="S33" s="5">
        <f>$C33*1*$E33*(1+'Hypotheses'!$C$14)^0</f>
        <v/>
      </c>
      <c r="T33" s="5">
        <f>$C33*1*$E33*(1+'Hypotheses'!$C$14)^1</f>
        <v/>
      </c>
      <c r="U33" s="5">
        <f>$C33*1*$E33*(1+'Hypotheses'!$C$14)^1</f>
        <v/>
      </c>
      <c r="V33" s="5">
        <f>$C33*1*$E33*(1+'Hypotheses'!$C$14)^1</f>
        <v/>
      </c>
      <c r="W33" s="5">
        <f>$C33*1*$E33*(1+'Hypotheses'!$C$14)^1</f>
        <v/>
      </c>
      <c r="X33" s="5">
        <f>$C33*1*$E33*(1+'Hypotheses'!$C$14)^1</f>
        <v/>
      </c>
      <c r="Y33" s="5">
        <f>$C33*1*$E33*(1+'Hypotheses'!$C$14)^1</f>
        <v/>
      </c>
      <c r="Z33" s="5">
        <f>$C33*1*$E33*(1+'Hypotheses'!$C$14)^1</f>
        <v/>
      </c>
      <c r="AA33" s="5">
        <f>$C33*1*$E33*(1+'Hypotheses'!$C$14)^1</f>
        <v/>
      </c>
      <c r="AB33" s="5">
        <f>$C33*1*$E33*(1+'Hypotheses'!$C$14)^1</f>
        <v/>
      </c>
      <c r="AC33" s="5">
        <f>$C33*1*$E33*(1+'Hypotheses'!$C$14)^1</f>
        <v/>
      </c>
      <c r="AD33" s="5">
        <f>$C33*1*$E33*(1+'Hypotheses'!$C$14)^1</f>
        <v/>
      </c>
      <c r="AE33" s="5">
        <f>$C33*1*$E33*(1+'Hypotheses'!$C$14)^1</f>
        <v/>
      </c>
      <c r="AF33" s="5">
        <f>$C33*1*$E33*(1+'Hypotheses'!$C$14)^2</f>
        <v/>
      </c>
      <c r="AG33" s="5">
        <f>$C33*1*$E33*(1+'Hypotheses'!$C$14)^2</f>
        <v/>
      </c>
      <c r="AH33" s="5">
        <f>$C33*1*$E33*(1+'Hypotheses'!$C$14)^2</f>
        <v/>
      </c>
      <c r="AI33" s="5">
        <f>$C33*1*$E33*(1+'Hypotheses'!$C$14)^2</f>
        <v/>
      </c>
      <c r="AJ33" s="5">
        <f>$C33*1*$E33*(1+'Hypotheses'!$C$14)^2</f>
        <v/>
      </c>
      <c r="AK33" s="5">
        <f>$C33*1*$E33*(1+'Hypotheses'!$C$14)^2</f>
        <v/>
      </c>
      <c r="AL33" s="5">
        <f>$C33*1*$E33*(1+'Hypotheses'!$C$14)^2</f>
        <v/>
      </c>
      <c r="AM33" s="5">
        <f>$C33*1*$E33*(1+'Hypotheses'!$C$14)^2</f>
        <v/>
      </c>
      <c r="AN33" s="5">
        <f>$C33*1*$E33*(1+'Hypotheses'!$C$14)^2</f>
        <v/>
      </c>
      <c r="AO33" s="5">
        <f>$C33*1*$E33*(1+'Hypotheses'!$C$14)^2</f>
        <v/>
      </c>
      <c r="AP33" s="5">
        <f>$C33*1*$E33*(1+'Hypotheses'!$C$14)^2</f>
        <v/>
      </c>
      <c r="AQ33" s="5">
        <f>$C33*1*$E33*(1+'Hypotheses'!$C$14)^2</f>
        <v/>
      </c>
    </row>
    <row r="34" ht="20" customHeight="1">
      <c r="A34" s="3" t="inlineStr">
        <is>
          <t>Fixed costs</t>
        </is>
      </c>
      <c r="B34" s="3" t="inlineStr">
        <is>
          <t>Maintenance - market price</t>
        </is>
      </c>
      <c r="C34" s="4" t="n">
        <v>1</v>
      </c>
      <c r="D34" s="3" t="inlineStr">
        <is>
          <t>monthly package</t>
        </is>
      </c>
      <c r="E34" s="3">
        <f>AVERAGE(H34:AQ34)</f>
        <v/>
      </c>
      <c r="F34" s="3" t="n"/>
      <c r="G34" s="9" t="inlineStr">
        <is>
          <t>INSEE BDM 010777481: Indice mensuel des prix d'achat des moyens de production agricole (IPAMPA) - Entretien et réparation; normalized to model unit price</t>
        </is>
      </c>
      <c r="H34" s="9" t="n">
        <v>350</v>
      </c>
      <c r="I34" s="9" t="n">
        <v>350.3435</v>
      </c>
      <c r="J34" s="9" t="n">
        <v>351.7174</v>
      </c>
      <c r="K34" s="9" t="n">
        <v>350.6869</v>
      </c>
      <c r="L34" s="9" t="n">
        <v>351.3739</v>
      </c>
      <c r="M34" s="9" t="n">
        <v>352.4043</v>
      </c>
      <c r="N34" s="9" t="n">
        <v>353.7782</v>
      </c>
      <c r="O34" s="9" t="n">
        <v>353.7782</v>
      </c>
      <c r="P34" s="9" t="n">
        <v>354.4652</v>
      </c>
      <c r="Q34" s="9" t="n">
        <v>355.8391</v>
      </c>
      <c r="R34" s="9" t="n">
        <v>356.8695</v>
      </c>
      <c r="S34" s="9" t="n">
        <v>357.8999</v>
      </c>
      <c r="T34" s="9" t="n">
        <v>361.6781</v>
      </c>
      <c r="U34" s="9" t="n">
        <v>363.052</v>
      </c>
      <c r="V34" s="9" t="n">
        <v>365.1129</v>
      </c>
      <c r="W34" s="9" t="n">
        <v>367.5172</v>
      </c>
      <c r="X34" s="9" t="n">
        <v>369.9215</v>
      </c>
      <c r="Y34" s="9" t="n">
        <v>373.3562</v>
      </c>
      <c r="Z34" s="9" t="n">
        <v>376.4475</v>
      </c>
      <c r="AA34" s="9" t="n">
        <v>378.8518</v>
      </c>
      <c r="AB34" s="9" t="n">
        <v>380.5692</v>
      </c>
      <c r="AC34" s="9" t="n">
        <v>381.9431</v>
      </c>
      <c r="AD34" s="9" t="n">
        <v>383.317</v>
      </c>
      <c r="AE34" s="9" t="n">
        <v>384.6909</v>
      </c>
      <c r="AF34" s="9" t="n">
        <v>392.2473</v>
      </c>
      <c r="AG34" s="9" t="n">
        <v>396.0255</v>
      </c>
      <c r="AH34" s="9" t="n">
        <v>398.0864</v>
      </c>
      <c r="AI34" s="9" t="n">
        <v>400.1472</v>
      </c>
      <c r="AJ34" s="9" t="n">
        <v>401.1776</v>
      </c>
      <c r="AK34" s="9" t="n">
        <v>401.8646</v>
      </c>
      <c r="AL34" s="9" t="n">
        <v>402.895</v>
      </c>
      <c r="AM34" s="9" t="n">
        <v>403.9254</v>
      </c>
      <c r="AN34" s="9" t="n">
        <v>405.9863</v>
      </c>
      <c r="AO34" s="9" t="n">
        <v>408.0471</v>
      </c>
      <c r="AP34" s="9" t="n">
        <v>409.0775</v>
      </c>
      <c r="AQ34" s="9" t="n">
        <v>410.1079</v>
      </c>
    </row>
    <row r="35" ht="20" customHeight="1">
      <c r="A35" s="3" t="inlineStr">
        <is>
          <t>Fixed costs</t>
        </is>
      </c>
      <c r="B35" s="3" t="inlineStr">
        <is>
          <t>Cost (Maintenance)</t>
        </is>
      </c>
      <c r="C35" s="4" t="n">
        <v>1</v>
      </c>
      <c r="D35" s="3" t="inlineStr">
        <is>
          <t>monthly package</t>
        </is>
      </c>
      <c r="E35" s="5">
        <f>E34</f>
        <v/>
      </c>
      <c r="F35" s="3" t="n"/>
      <c r="G35" s="3" t="inlineStr">
        <is>
          <t>Cost = quantity x seasonality x monthly market price</t>
        </is>
      </c>
      <c r="H35" s="5">
        <f>$C35*H34</f>
        <v/>
      </c>
      <c r="I35" s="5">
        <f>$C35*I34</f>
        <v/>
      </c>
      <c r="J35" s="5">
        <f>$C35*J34</f>
        <v/>
      </c>
      <c r="K35" s="5">
        <f>$C35*K34</f>
        <v/>
      </c>
      <c r="L35" s="5">
        <f>$C35*L34</f>
        <v/>
      </c>
      <c r="M35" s="5">
        <f>$C35*M34</f>
        <v/>
      </c>
      <c r="N35" s="5">
        <f>$C35*N34</f>
        <v/>
      </c>
      <c r="O35" s="5">
        <f>$C35*O34</f>
        <v/>
      </c>
      <c r="P35" s="5">
        <f>$C35*P34</f>
        <v/>
      </c>
      <c r="Q35" s="5">
        <f>$C35*Q34</f>
        <v/>
      </c>
      <c r="R35" s="5">
        <f>$C35*R34</f>
        <v/>
      </c>
      <c r="S35" s="5">
        <f>$C35*S34</f>
        <v/>
      </c>
      <c r="T35" s="5">
        <f>$C35*T34</f>
        <v/>
      </c>
      <c r="U35" s="5">
        <f>$C35*U34</f>
        <v/>
      </c>
      <c r="V35" s="5">
        <f>$C35*V34</f>
        <v/>
      </c>
      <c r="W35" s="5">
        <f>$C35*W34</f>
        <v/>
      </c>
      <c r="X35" s="5">
        <f>$C35*X34</f>
        <v/>
      </c>
      <c r="Y35" s="5">
        <f>$C35*Y34</f>
        <v/>
      </c>
      <c r="Z35" s="5">
        <f>$C35*Z34</f>
        <v/>
      </c>
      <c r="AA35" s="5">
        <f>$C35*AA34</f>
        <v/>
      </c>
      <c r="AB35" s="5">
        <f>$C35*AB34</f>
        <v/>
      </c>
      <c r="AC35" s="5">
        <f>$C35*AC34</f>
        <v/>
      </c>
      <c r="AD35" s="5">
        <f>$C35*AD34</f>
        <v/>
      </c>
      <c r="AE35" s="5">
        <f>$C35*AE34</f>
        <v/>
      </c>
      <c r="AF35" s="5">
        <f>$C35*AF34</f>
        <v/>
      </c>
      <c r="AG35" s="5">
        <f>$C35*AG34</f>
        <v/>
      </c>
      <c r="AH35" s="5">
        <f>$C35*AH34</f>
        <v/>
      </c>
      <c r="AI35" s="5">
        <f>$C35*AI34</f>
        <v/>
      </c>
      <c r="AJ35" s="5">
        <f>$C35*AJ34</f>
        <v/>
      </c>
      <c r="AK35" s="5">
        <f>$C35*AK34</f>
        <v/>
      </c>
      <c r="AL35" s="5">
        <f>$C35*AL34</f>
        <v/>
      </c>
      <c r="AM35" s="5">
        <f>$C35*AM34</f>
        <v/>
      </c>
      <c r="AN35" s="5">
        <f>$C35*AN34</f>
        <v/>
      </c>
      <c r="AO35" s="5">
        <f>$C35*AO34</f>
        <v/>
      </c>
      <c r="AP35" s="5">
        <f>$C35*AP34</f>
        <v/>
      </c>
      <c r="AQ35" s="5">
        <f>$C35*AQ34</f>
        <v/>
      </c>
    </row>
    <row r="36" ht="20" customHeight="1">
      <c r="A36" s="3" t="inlineStr">
        <is>
          <t>Fixed costs</t>
        </is>
      </c>
      <c r="B36" s="3" t="inlineStr">
        <is>
          <t>Accountant - market price</t>
        </is>
      </c>
      <c r="C36" s="4" t="n">
        <v>1</v>
      </c>
      <c r="D36" s="3" t="inlineStr">
        <is>
          <t>monthly package</t>
        </is>
      </c>
      <c r="E36" s="3">
        <f>AVERAGE(H36:AQ36)</f>
        <v/>
      </c>
      <c r="F36" s="3" t="n"/>
      <c r="G36" s="9" t="inlineStr">
        <is>
          <t>INSEE BDM 010766437: Indices des prix de production des services français aux entreprises françaises (BtoB) − CPF 69.20 − Services comptables, d'audits, et de conseil fiscal ; normalized to model unit price</t>
        </is>
      </c>
      <c r="H36" s="9" t="n">
        <v>500</v>
      </c>
      <c r="I36" s="9" t="n">
        <v>500</v>
      </c>
      <c r="J36" s="9" t="n">
        <v>500</v>
      </c>
      <c r="K36" s="9" t="n">
        <v>500</v>
      </c>
      <c r="L36" s="9" t="n">
        <v>500</v>
      </c>
      <c r="M36" s="9" t="n">
        <v>500</v>
      </c>
      <c r="N36" s="9" t="n">
        <v>500</v>
      </c>
      <c r="O36" s="9" t="n">
        <v>500</v>
      </c>
      <c r="P36" s="9" t="n">
        <v>500</v>
      </c>
      <c r="Q36" s="9" t="n">
        <v>500</v>
      </c>
      <c r="R36" s="9" t="n">
        <v>500</v>
      </c>
      <c r="S36" s="9" t="n">
        <v>500</v>
      </c>
      <c r="T36" s="9" t="n">
        <v>500</v>
      </c>
      <c r="U36" s="9" t="n">
        <v>500</v>
      </c>
      <c r="V36" s="9" t="n">
        <v>500</v>
      </c>
      <c r="W36" s="9" t="n">
        <v>500</v>
      </c>
      <c r="X36" s="9" t="n">
        <v>500</v>
      </c>
      <c r="Y36" s="9" t="n">
        <v>500</v>
      </c>
      <c r="Z36" s="9" t="n">
        <v>500</v>
      </c>
      <c r="AA36" s="9" t="n">
        <v>500</v>
      </c>
      <c r="AB36" s="9" t="n">
        <v>500</v>
      </c>
      <c r="AC36" s="9" t="n">
        <v>500</v>
      </c>
      <c r="AD36" s="9" t="n">
        <v>500</v>
      </c>
      <c r="AE36" s="9" t="n">
        <v>500</v>
      </c>
      <c r="AF36" s="9" t="n">
        <v>500</v>
      </c>
      <c r="AG36" s="9" t="n">
        <v>500</v>
      </c>
      <c r="AH36" s="9" t="n">
        <v>500</v>
      </c>
      <c r="AI36" s="9" t="n">
        <v>500</v>
      </c>
      <c r="AJ36" s="9" t="n">
        <v>500</v>
      </c>
      <c r="AK36" s="9" t="n">
        <v>500</v>
      </c>
      <c r="AL36" s="9" t="n">
        <v>500</v>
      </c>
      <c r="AM36" s="9" t="n">
        <v>500</v>
      </c>
      <c r="AN36" s="9" t="n">
        <v>500</v>
      </c>
      <c r="AO36" s="9" t="n">
        <v>500</v>
      </c>
      <c r="AP36" s="9" t="n">
        <v>500</v>
      </c>
      <c r="AQ36" s="9" t="n">
        <v>500</v>
      </c>
    </row>
    <row r="37" ht="20" customHeight="1">
      <c r="A37" s="3" t="inlineStr">
        <is>
          <t>Fixed costs</t>
        </is>
      </c>
      <c r="B37" s="3" t="inlineStr">
        <is>
          <t>Cost (Accountant)</t>
        </is>
      </c>
      <c r="C37" s="4" t="n">
        <v>1</v>
      </c>
      <c r="D37" s="3" t="inlineStr">
        <is>
          <t>monthly package</t>
        </is>
      </c>
      <c r="E37" s="5">
        <f>E36</f>
        <v/>
      </c>
      <c r="F37" s="3" t="n"/>
      <c r="G37" s="3" t="inlineStr">
        <is>
          <t>Cost = quantity x seasonality x monthly market price</t>
        </is>
      </c>
      <c r="H37" s="5">
        <f>$C37*H36</f>
        <v/>
      </c>
      <c r="I37" s="5">
        <f>$C37*I36</f>
        <v/>
      </c>
      <c r="J37" s="5">
        <f>$C37*J36</f>
        <v/>
      </c>
      <c r="K37" s="5">
        <f>$C37*K36</f>
        <v/>
      </c>
      <c r="L37" s="5">
        <f>$C37*L36</f>
        <v/>
      </c>
      <c r="M37" s="5">
        <f>$C37*M36</f>
        <v/>
      </c>
      <c r="N37" s="5">
        <f>$C37*N36</f>
        <v/>
      </c>
      <c r="O37" s="5">
        <f>$C37*O36</f>
        <v/>
      </c>
      <c r="P37" s="5">
        <f>$C37*P36</f>
        <v/>
      </c>
      <c r="Q37" s="5">
        <f>$C37*Q36</f>
        <v/>
      </c>
      <c r="R37" s="5">
        <f>$C37*R36</f>
        <v/>
      </c>
      <c r="S37" s="5">
        <f>$C37*S36</f>
        <v/>
      </c>
      <c r="T37" s="5">
        <f>$C37*T36</f>
        <v/>
      </c>
      <c r="U37" s="5">
        <f>$C37*U36</f>
        <v/>
      </c>
      <c r="V37" s="5">
        <f>$C37*V36</f>
        <v/>
      </c>
      <c r="W37" s="5">
        <f>$C37*W36</f>
        <v/>
      </c>
      <c r="X37" s="5">
        <f>$C37*X36</f>
        <v/>
      </c>
      <c r="Y37" s="5">
        <f>$C37*Y36</f>
        <v/>
      </c>
      <c r="Z37" s="5">
        <f>$C37*Z36</f>
        <v/>
      </c>
      <c r="AA37" s="5">
        <f>$C37*AA36</f>
        <v/>
      </c>
      <c r="AB37" s="5">
        <f>$C37*AB36</f>
        <v/>
      </c>
      <c r="AC37" s="5">
        <f>$C37*AC36</f>
        <v/>
      </c>
      <c r="AD37" s="5">
        <f>$C37*AD36</f>
        <v/>
      </c>
      <c r="AE37" s="5">
        <f>$C37*AE36</f>
        <v/>
      </c>
      <c r="AF37" s="5">
        <f>$C37*AF36</f>
        <v/>
      </c>
      <c r="AG37" s="5">
        <f>$C37*AG36</f>
        <v/>
      </c>
      <c r="AH37" s="5">
        <f>$C37*AH36</f>
        <v/>
      </c>
      <c r="AI37" s="5">
        <f>$C37*AI36</f>
        <v/>
      </c>
      <c r="AJ37" s="5">
        <f>$C37*AJ36</f>
        <v/>
      </c>
      <c r="AK37" s="5">
        <f>$C37*AK36</f>
        <v/>
      </c>
      <c r="AL37" s="5">
        <f>$C37*AL36</f>
        <v/>
      </c>
      <c r="AM37" s="5">
        <f>$C37*AM36</f>
        <v/>
      </c>
      <c r="AN37" s="5">
        <f>$C37*AN36</f>
        <v/>
      </c>
      <c r="AO37" s="5">
        <f>$C37*AO36</f>
        <v/>
      </c>
      <c r="AP37" s="5">
        <f>$C37*AP36</f>
        <v/>
      </c>
      <c r="AQ37" s="5">
        <f>$C37*AQ36</f>
        <v/>
      </c>
    </row>
    <row r="38" ht="20" customHeight="1">
      <c r="A38" s="3" t="inlineStr">
        <is>
          <t>Fixed costs</t>
        </is>
      </c>
      <c r="B38" s="3" t="inlineStr">
        <is>
          <t>Water - market price</t>
        </is>
      </c>
      <c r="C38" s="4" t="n">
        <v>1</v>
      </c>
      <c r="D38" s="3" t="inlineStr">
        <is>
          <t>monthly package</t>
        </is>
      </c>
      <c r="E38" s="3">
        <f>AVERAGE(H38:AQ38)</f>
        <v/>
      </c>
      <c r="F38" s="3" t="n"/>
      <c r="G38" s="9" t="inlineStr">
        <is>
          <t>INSEE BDM 001634676: Prix moyens mensuels de vente au détail en métropole - Distribution de 120 m3 d'eau (abonnement inclus TTC), y.c. organismes publics (préservation des ressources, pollution et taxe VNF); normalized to model unit price</t>
        </is>
      </c>
      <c r="H38" s="9" t="n">
        <v>150</v>
      </c>
      <c r="I38" s="9" t="n">
        <v>150.1463</v>
      </c>
      <c r="J38" s="9" t="n">
        <v>150.286</v>
      </c>
      <c r="K38" s="9" t="n">
        <v>150.5787</v>
      </c>
      <c r="L38" s="9" t="n">
        <v>150.7316</v>
      </c>
      <c r="M38" s="9" t="n">
        <v>150.9777</v>
      </c>
      <c r="N38" s="9" t="n">
        <v>150.9844</v>
      </c>
      <c r="O38" s="9" t="n">
        <v>151.0908</v>
      </c>
      <c r="P38" s="9" t="n">
        <v>151.2172</v>
      </c>
      <c r="Q38" s="9" t="n">
        <v>151.1906</v>
      </c>
      <c r="R38" s="9" t="n">
        <v>151.4234</v>
      </c>
      <c r="S38" s="9" t="n">
        <v>151.4234</v>
      </c>
      <c r="T38" s="9" t="n">
        <v>151.9488</v>
      </c>
      <c r="U38" s="9" t="n">
        <v>152.6073</v>
      </c>
      <c r="V38" s="9" t="n">
        <v>152.9931</v>
      </c>
      <c r="W38" s="9" t="n">
        <v>153.2458</v>
      </c>
      <c r="X38" s="9" t="n">
        <v>153.186</v>
      </c>
      <c r="Y38" s="9" t="n">
        <v>153.2126</v>
      </c>
      <c r="Z38" s="9" t="n">
        <v>153.1926</v>
      </c>
      <c r="AA38" s="9" t="n">
        <v>153.585</v>
      </c>
      <c r="AB38" s="9" t="n">
        <v>153.6449</v>
      </c>
      <c r="AC38" s="9" t="n">
        <v>153.6582</v>
      </c>
      <c r="AD38" s="9" t="n">
        <v>153.8112</v>
      </c>
      <c r="AE38" s="9" t="n">
        <v>153.8112</v>
      </c>
      <c r="AF38" s="9" t="n">
        <v>154.6626</v>
      </c>
      <c r="AG38" s="9" t="n">
        <v>156.3719</v>
      </c>
      <c r="AH38" s="9" t="n">
        <v>157.7222</v>
      </c>
      <c r="AI38" s="9" t="n">
        <v>158.9726</v>
      </c>
      <c r="AJ38" s="9" t="n">
        <v>159.0724</v>
      </c>
      <c r="AK38" s="9" t="n">
        <v>159.3185</v>
      </c>
      <c r="AL38" s="9" t="n">
        <v>159.6045</v>
      </c>
      <c r="AM38" s="9" t="n">
        <v>159.8173</v>
      </c>
      <c r="AN38" s="9" t="n">
        <v>160.1033</v>
      </c>
      <c r="AO38" s="9" t="n">
        <v>160.1831</v>
      </c>
      <c r="AP38" s="9" t="n">
        <v>160.2563</v>
      </c>
      <c r="AQ38" s="9" t="n">
        <v>160.3162</v>
      </c>
    </row>
    <row r="39" ht="20" customHeight="1">
      <c r="A39" s="3" t="inlineStr">
        <is>
          <t>Fixed costs</t>
        </is>
      </c>
      <c r="B39" s="3" t="inlineStr">
        <is>
          <t>Cost (Water)</t>
        </is>
      </c>
      <c r="C39" s="4" t="n">
        <v>1</v>
      </c>
      <c r="D39" s="3" t="inlineStr">
        <is>
          <t>monthly package</t>
        </is>
      </c>
      <c r="E39" s="5">
        <f>E38</f>
        <v/>
      </c>
      <c r="F39" s="3" t="n"/>
      <c r="G39" s="3" t="inlineStr">
        <is>
          <t>Cost = quantity x seasonality x monthly market price</t>
        </is>
      </c>
      <c r="H39" s="5">
        <f>$C39*H38</f>
        <v/>
      </c>
      <c r="I39" s="5">
        <f>$C39*I38</f>
        <v/>
      </c>
      <c r="J39" s="5">
        <f>$C39*J38</f>
        <v/>
      </c>
      <c r="K39" s="5">
        <f>$C39*K38</f>
        <v/>
      </c>
      <c r="L39" s="5">
        <f>$C39*L38</f>
        <v/>
      </c>
      <c r="M39" s="5">
        <f>$C39*M38</f>
        <v/>
      </c>
      <c r="N39" s="5">
        <f>$C39*N38</f>
        <v/>
      </c>
      <c r="O39" s="5">
        <f>$C39*O38</f>
        <v/>
      </c>
      <c r="P39" s="5">
        <f>$C39*P38</f>
        <v/>
      </c>
      <c r="Q39" s="5">
        <f>$C39*Q38</f>
        <v/>
      </c>
      <c r="R39" s="5">
        <f>$C39*R38</f>
        <v/>
      </c>
      <c r="S39" s="5">
        <f>$C39*S38</f>
        <v/>
      </c>
      <c r="T39" s="5">
        <f>$C39*T38</f>
        <v/>
      </c>
      <c r="U39" s="5">
        <f>$C39*U38</f>
        <v/>
      </c>
      <c r="V39" s="5">
        <f>$C39*V38</f>
        <v/>
      </c>
      <c r="W39" s="5">
        <f>$C39*W38</f>
        <v/>
      </c>
      <c r="X39" s="5">
        <f>$C39*X38</f>
        <v/>
      </c>
      <c r="Y39" s="5">
        <f>$C39*Y38</f>
        <v/>
      </c>
      <c r="Z39" s="5">
        <f>$C39*Z38</f>
        <v/>
      </c>
      <c r="AA39" s="5">
        <f>$C39*AA38</f>
        <v/>
      </c>
      <c r="AB39" s="5">
        <f>$C39*AB38</f>
        <v/>
      </c>
      <c r="AC39" s="5">
        <f>$C39*AC38</f>
        <v/>
      </c>
      <c r="AD39" s="5">
        <f>$C39*AD38</f>
        <v/>
      </c>
      <c r="AE39" s="5">
        <f>$C39*AE38</f>
        <v/>
      </c>
      <c r="AF39" s="5">
        <f>$C39*AF38</f>
        <v/>
      </c>
      <c r="AG39" s="5">
        <f>$C39*AG38</f>
        <v/>
      </c>
      <c r="AH39" s="5">
        <f>$C39*AH38</f>
        <v/>
      </c>
      <c r="AI39" s="5">
        <f>$C39*AI38</f>
        <v/>
      </c>
      <c r="AJ39" s="5">
        <f>$C39*AJ38</f>
        <v/>
      </c>
      <c r="AK39" s="5">
        <f>$C39*AK38</f>
        <v/>
      </c>
      <c r="AL39" s="5">
        <f>$C39*AL38</f>
        <v/>
      </c>
      <c r="AM39" s="5">
        <f>$C39*AM38</f>
        <v/>
      </c>
      <c r="AN39" s="5">
        <f>$C39*AN38</f>
        <v/>
      </c>
      <c r="AO39" s="5">
        <f>$C39*AO38</f>
        <v/>
      </c>
      <c r="AP39" s="5">
        <f>$C39*AP38</f>
        <v/>
      </c>
      <c r="AQ39" s="5">
        <f>$C39*AQ38</f>
        <v/>
      </c>
    </row>
    <row r="40" ht="20" customHeight="1">
      <c r="A40" s="3" t="inlineStr">
        <is>
          <t>Fixed costs</t>
        </is>
      </c>
      <c r="B40" s="3" t="inlineStr">
        <is>
          <t>Bank fees and payment terminal</t>
        </is>
      </c>
      <c r="C40" s="4" t="n">
        <v>1</v>
      </c>
      <c r="D40" s="3" t="inlineStr">
        <is>
          <t>monthly package</t>
        </is>
      </c>
      <c r="E40" s="4" t="n">
        <v>150</v>
      </c>
      <c r="F40" s="3" t="n"/>
      <c r="G40" s="9" t="inlineStr">
        <is>
          <t>Bank tariff estimate</t>
        </is>
      </c>
      <c r="H40" s="5">
        <f>$C40*1*$E40*(1+'Hypotheses'!$C$14)^0</f>
        <v/>
      </c>
      <c r="I40" s="5">
        <f>$C40*1*$E40*(1+'Hypotheses'!$C$14)^0</f>
        <v/>
      </c>
      <c r="J40" s="5">
        <f>$C40*1*$E40*(1+'Hypotheses'!$C$14)^0</f>
        <v/>
      </c>
      <c r="K40" s="5">
        <f>$C40*1*$E40*(1+'Hypotheses'!$C$14)^0</f>
        <v/>
      </c>
      <c r="L40" s="5">
        <f>$C40*1*$E40*(1+'Hypotheses'!$C$14)^0</f>
        <v/>
      </c>
      <c r="M40" s="5">
        <f>$C40*1*$E40*(1+'Hypotheses'!$C$14)^0</f>
        <v/>
      </c>
      <c r="N40" s="5">
        <f>$C40*1*$E40*(1+'Hypotheses'!$C$14)^0</f>
        <v/>
      </c>
      <c r="O40" s="5">
        <f>$C40*1*$E40*(1+'Hypotheses'!$C$14)^0</f>
        <v/>
      </c>
      <c r="P40" s="5">
        <f>$C40*1*$E40*(1+'Hypotheses'!$C$14)^0</f>
        <v/>
      </c>
      <c r="Q40" s="5">
        <f>$C40*1*$E40*(1+'Hypotheses'!$C$14)^0</f>
        <v/>
      </c>
      <c r="R40" s="5">
        <f>$C40*1*$E40*(1+'Hypotheses'!$C$14)^0</f>
        <v/>
      </c>
      <c r="S40" s="5">
        <f>$C40*1*$E40*(1+'Hypotheses'!$C$14)^0</f>
        <v/>
      </c>
      <c r="T40" s="5">
        <f>$C40*1*$E40*(1+'Hypotheses'!$C$14)^1</f>
        <v/>
      </c>
      <c r="U40" s="5">
        <f>$C40*1*$E40*(1+'Hypotheses'!$C$14)^1</f>
        <v/>
      </c>
      <c r="V40" s="5">
        <f>$C40*1*$E40*(1+'Hypotheses'!$C$14)^1</f>
        <v/>
      </c>
      <c r="W40" s="5">
        <f>$C40*1*$E40*(1+'Hypotheses'!$C$14)^1</f>
        <v/>
      </c>
      <c r="X40" s="5">
        <f>$C40*1*$E40*(1+'Hypotheses'!$C$14)^1</f>
        <v/>
      </c>
      <c r="Y40" s="5">
        <f>$C40*1*$E40*(1+'Hypotheses'!$C$14)^1</f>
        <v/>
      </c>
      <c r="Z40" s="5">
        <f>$C40*1*$E40*(1+'Hypotheses'!$C$14)^1</f>
        <v/>
      </c>
      <c r="AA40" s="5">
        <f>$C40*1*$E40*(1+'Hypotheses'!$C$14)^1</f>
        <v/>
      </c>
      <c r="AB40" s="5">
        <f>$C40*1*$E40*(1+'Hypotheses'!$C$14)^1</f>
        <v/>
      </c>
      <c r="AC40" s="5">
        <f>$C40*1*$E40*(1+'Hypotheses'!$C$14)^1</f>
        <v/>
      </c>
      <c r="AD40" s="5">
        <f>$C40*1*$E40*(1+'Hypotheses'!$C$14)^1</f>
        <v/>
      </c>
      <c r="AE40" s="5">
        <f>$C40*1*$E40*(1+'Hypotheses'!$C$14)^1</f>
        <v/>
      </c>
      <c r="AF40" s="5">
        <f>$C40*1*$E40*(1+'Hypotheses'!$C$14)^2</f>
        <v/>
      </c>
      <c r="AG40" s="5">
        <f>$C40*1*$E40*(1+'Hypotheses'!$C$14)^2</f>
        <v/>
      </c>
      <c r="AH40" s="5">
        <f>$C40*1*$E40*(1+'Hypotheses'!$C$14)^2</f>
        <v/>
      </c>
      <c r="AI40" s="5">
        <f>$C40*1*$E40*(1+'Hypotheses'!$C$14)^2</f>
        <v/>
      </c>
      <c r="AJ40" s="5">
        <f>$C40*1*$E40*(1+'Hypotheses'!$C$14)^2</f>
        <v/>
      </c>
      <c r="AK40" s="5">
        <f>$C40*1*$E40*(1+'Hypotheses'!$C$14)^2</f>
        <v/>
      </c>
      <c r="AL40" s="5">
        <f>$C40*1*$E40*(1+'Hypotheses'!$C$14)^2</f>
        <v/>
      </c>
      <c r="AM40" s="5">
        <f>$C40*1*$E40*(1+'Hypotheses'!$C$14)^2</f>
        <v/>
      </c>
      <c r="AN40" s="5">
        <f>$C40*1*$E40*(1+'Hypotheses'!$C$14)^2</f>
        <v/>
      </c>
      <c r="AO40" s="5">
        <f>$C40*1*$E40*(1+'Hypotheses'!$C$14)^2</f>
        <v/>
      </c>
      <c r="AP40" s="5">
        <f>$C40*1*$E40*(1+'Hypotheses'!$C$14)^2</f>
        <v/>
      </c>
      <c r="AQ40" s="5">
        <f>$C40*1*$E40*(1+'Hypotheses'!$C$14)^2</f>
        <v/>
      </c>
    </row>
    <row r="41" ht="20" customHeight="1">
      <c r="A41" s="10" t="inlineStr">
        <is>
          <t>SOUS-TOTAL Fixed costs</t>
        </is>
      </c>
      <c r="B41" s="10" t="n"/>
      <c r="C41" s="10" t="n"/>
      <c r="D41" s="10" t="n"/>
      <c r="E41" s="10" t="n"/>
      <c r="F41" s="10" t="n"/>
      <c r="G41" s="10" t="n"/>
      <c r="H41" s="10">
        <f>SUM(H32,H33,H35,H37,H39,H40)</f>
        <v/>
      </c>
      <c r="I41" s="10">
        <f>SUM(I32,I33,I35,I37,I39,I40)</f>
        <v/>
      </c>
      <c r="J41" s="10">
        <f>SUM(J32,J33,J35,J37,J39,J40)</f>
        <v/>
      </c>
      <c r="K41" s="10">
        <f>SUM(K32,K33,K35,K37,K39,K40)</f>
        <v/>
      </c>
      <c r="L41" s="10">
        <f>SUM(L32,L33,L35,L37,L39,L40)</f>
        <v/>
      </c>
      <c r="M41" s="10">
        <f>SUM(M32,M33,M35,M37,M39,M40)</f>
        <v/>
      </c>
      <c r="N41" s="10">
        <f>SUM(N32,N33,N35,N37,N39,N40)</f>
        <v/>
      </c>
      <c r="O41" s="10">
        <f>SUM(O32,O33,O35,O37,O39,O40)</f>
        <v/>
      </c>
      <c r="P41" s="10">
        <f>SUM(P32,P33,P35,P37,P39,P40)</f>
        <v/>
      </c>
      <c r="Q41" s="10">
        <f>SUM(Q32,Q33,Q35,Q37,Q39,Q40)</f>
        <v/>
      </c>
      <c r="R41" s="10">
        <f>SUM(R32,R33,R35,R37,R39,R40)</f>
        <v/>
      </c>
      <c r="S41" s="10">
        <f>SUM(S32,S33,S35,S37,S39,S40)</f>
        <v/>
      </c>
      <c r="T41" s="10">
        <f>SUM(T32,T33,T35,T37,T39,T40)</f>
        <v/>
      </c>
      <c r="U41" s="10">
        <f>SUM(U32,U33,U35,U37,U39,U40)</f>
        <v/>
      </c>
      <c r="V41" s="10">
        <f>SUM(V32,V33,V35,V37,V39,V40)</f>
        <v/>
      </c>
      <c r="W41" s="10">
        <f>SUM(W32,W33,W35,W37,W39,W40)</f>
        <v/>
      </c>
      <c r="X41" s="10">
        <f>SUM(X32,X33,X35,X37,X39,X40)</f>
        <v/>
      </c>
      <c r="Y41" s="10">
        <f>SUM(Y32,Y33,Y35,Y37,Y39,Y40)</f>
        <v/>
      </c>
      <c r="Z41" s="10">
        <f>SUM(Z32,Z33,Z35,Z37,Z39,Z40)</f>
        <v/>
      </c>
      <c r="AA41" s="10">
        <f>SUM(AA32,AA33,AA35,AA37,AA39,AA40)</f>
        <v/>
      </c>
      <c r="AB41" s="10">
        <f>SUM(AB32,AB33,AB35,AB37,AB39,AB40)</f>
        <v/>
      </c>
      <c r="AC41" s="10">
        <f>SUM(AC32,AC33,AC35,AC37,AC39,AC40)</f>
        <v/>
      </c>
      <c r="AD41" s="10">
        <f>SUM(AD32,AD33,AD35,AD37,AD39,AD40)</f>
        <v/>
      </c>
      <c r="AE41" s="10">
        <f>SUM(AE32,AE33,AE35,AE37,AE39,AE40)</f>
        <v/>
      </c>
      <c r="AF41" s="10">
        <f>SUM(AF32,AF33,AF35,AF37,AF39,AF40)</f>
        <v/>
      </c>
      <c r="AG41" s="10">
        <f>SUM(AG32,AG33,AG35,AG37,AG39,AG40)</f>
        <v/>
      </c>
      <c r="AH41" s="10">
        <f>SUM(AH32,AH33,AH35,AH37,AH39,AH40)</f>
        <v/>
      </c>
      <c r="AI41" s="10">
        <f>SUM(AI32,AI33,AI35,AI37,AI39,AI40)</f>
        <v/>
      </c>
      <c r="AJ41" s="10">
        <f>SUM(AJ32,AJ33,AJ35,AJ37,AJ39,AJ40)</f>
        <v/>
      </c>
      <c r="AK41" s="10">
        <f>SUM(AK32,AK33,AK35,AK37,AK39,AK40)</f>
        <v/>
      </c>
      <c r="AL41" s="10">
        <f>SUM(AL32,AL33,AL35,AL37,AL39,AL40)</f>
        <v/>
      </c>
      <c r="AM41" s="10">
        <f>SUM(AM32,AM33,AM35,AM37,AM39,AM40)</f>
        <v/>
      </c>
      <c r="AN41" s="10">
        <f>SUM(AN32,AN33,AN35,AN37,AN39,AN40)</f>
        <v/>
      </c>
      <c r="AO41" s="10">
        <f>SUM(AO32,AO33,AO35,AO37,AO39,AO40)</f>
        <v/>
      </c>
      <c r="AP41" s="10">
        <f>SUM(AP32,AP33,AP35,AP37,AP39,AP40)</f>
        <v/>
      </c>
      <c r="AQ41" s="10">
        <f>SUM(AQ32,AQ33,AQ35,AQ37,AQ39,AQ40)</f>
        <v/>
      </c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</row>
    <row r="43" ht="20" customHeight="1">
      <c r="A43" s="10" t="inlineStr">
        <is>
          <t>TOTAL GENERAL DEPENSES</t>
        </is>
      </c>
      <c r="B43" s="10" t="n"/>
      <c r="C43" s="10" t="n"/>
      <c r="D43" s="10" t="n"/>
      <c r="E43" s="10" t="n"/>
      <c r="F43" s="10" t="n"/>
      <c r="G43" s="10" t="n"/>
      <c r="H43" s="10">
        <f>SUM(H21,H26,H30,H41)</f>
        <v/>
      </c>
      <c r="I43" s="10">
        <f>SUM(I21,I26,I30,I41)</f>
        <v/>
      </c>
      <c r="J43" s="10">
        <f>SUM(J21,J26,J30,J41)</f>
        <v/>
      </c>
      <c r="K43" s="10">
        <f>SUM(K21,K26,K30,K41)</f>
        <v/>
      </c>
      <c r="L43" s="10">
        <f>SUM(L21,L26,L30,L41)</f>
        <v/>
      </c>
      <c r="M43" s="10">
        <f>SUM(M21,M26,M30,M41)</f>
        <v/>
      </c>
      <c r="N43" s="10">
        <f>SUM(N21,N26,N30,N41)</f>
        <v/>
      </c>
      <c r="O43" s="10">
        <f>SUM(O21,O26,O30,O41)</f>
        <v/>
      </c>
      <c r="P43" s="10">
        <f>SUM(P21,P26,P30,P41)</f>
        <v/>
      </c>
      <c r="Q43" s="10">
        <f>SUM(Q21,Q26,Q30,Q41)</f>
        <v/>
      </c>
      <c r="R43" s="10">
        <f>SUM(R21,R26,R30,R41)</f>
        <v/>
      </c>
      <c r="S43" s="10">
        <f>SUM(S21,S26,S30,S41)</f>
        <v/>
      </c>
      <c r="T43" s="10">
        <f>SUM(T21,T26,T30,T41)</f>
        <v/>
      </c>
      <c r="U43" s="10">
        <f>SUM(U21,U26,U30,U41)</f>
        <v/>
      </c>
      <c r="V43" s="10">
        <f>SUM(V21,V26,V30,V41)</f>
        <v/>
      </c>
      <c r="W43" s="10">
        <f>SUM(W21,W26,W30,W41)</f>
        <v/>
      </c>
      <c r="X43" s="10">
        <f>SUM(X21,X26,X30,X41)</f>
        <v/>
      </c>
      <c r="Y43" s="10">
        <f>SUM(Y21,Y26,Y30,Y41)</f>
        <v/>
      </c>
      <c r="Z43" s="10">
        <f>SUM(Z21,Z26,Z30,Z41)</f>
        <v/>
      </c>
      <c r="AA43" s="10">
        <f>SUM(AA21,AA26,AA30,AA41)</f>
        <v/>
      </c>
      <c r="AB43" s="10">
        <f>SUM(AB21,AB26,AB30,AB41)</f>
        <v/>
      </c>
      <c r="AC43" s="10">
        <f>SUM(AC21,AC26,AC30,AC41)</f>
        <v/>
      </c>
      <c r="AD43" s="10">
        <f>SUM(AD21,AD26,AD30,AD41)</f>
        <v/>
      </c>
      <c r="AE43" s="10">
        <f>SUM(AE21,AE26,AE30,AE41)</f>
        <v/>
      </c>
      <c r="AF43" s="10">
        <f>SUM(AF21,AF26,AF30,AF41)</f>
        <v/>
      </c>
      <c r="AG43" s="10">
        <f>SUM(AG21,AG26,AG30,AG41)</f>
        <v/>
      </c>
      <c r="AH43" s="10">
        <f>SUM(AH21,AH26,AH30,AH41)</f>
        <v/>
      </c>
      <c r="AI43" s="10">
        <f>SUM(AI21,AI26,AI30,AI41)</f>
        <v/>
      </c>
      <c r="AJ43" s="10">
        <f>SUM(AJ21,AJ26,AJ30,AJ41)</f>
        <v/>
      </c>
      <c r="AK43" s="10">
        <f>SUM(AK21,AK26,AK30,AK41)</f>
        <v/>
      </c>
      <c r="AL43" s="10">
        <f>SUM(AL21,AL26,AL30,AL41)</f>
        <v/>
      </c>
      <c r="AM43" s="10">
        <f>SUM(AM21,AM26,AM30,AM41)</f>
        <v/>
      </c>
      <c r="AN43" s="10">
        <f>SUM(AN21,AN26,AN30,AN41)</f>
        <v/>
      </c>
      <c r="AO43" s="10">
        <f>SUM(AO21,AO26,AO30,AO41)</f>
        <v/>
      </c>
      <c r="AP43" s="10">
        <f>SUM(AP21,AP26,AP30,AP41)</f>
        <v/>
      </c>
      <c r="AQ43" s="10">
        <f>SUM(AQ21,AQ26,AQ30,AQ41)</f>
        <v/>
      </c>
    </row>
    <row r="44" ht="20" customHeight="1">
      <c r="A44" s="3" t="inlineStr">
        <is>
          <t>Total depenses A1 / CA A1</t>
        </is>
      </c>
      <c r="B44" s="3" t="n"/>
      <c r="C44" s="5">
        <f>SUM(H43:S43)/'Hypotheses'!$C$4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Boulangerie Artisanale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'Revenus'!C13*'Hypotheses'!$C$10+0+0</f>
        <v/>
      </c>
      <c r="D7" s="5">
        <f>'Revenus'!D13*'Hypotheses'!$C$10+'Revenus'!C13*'Hypotheses'!$C$11+0</f>
        <v/>
      </c>
      <c r="E7" s="5">
        <f>'Revenus'!E13*'Hypotheses'!$C$10+'Revenus'!D13*'Hypotheses'!$C$11+'Revenus'!C13*'Hypotheses'!$C$12</f>
        <v/>
      </c>
      <c r="F7" s="5">
        <f>'Revenus'!F13*'Hypotheses'!$C$10+'Revenus'!E13*'Hypotheses'!$C$11+'Revenus'!D13*'Hypotheses'!$C$12</f>
        <v/>
      </c>
      <c r="G7" s="5">
        <f>'Revenus'!G13*'Hypotheses'!$C$10+'Revenus'!F13*'Hypotheses'!$C$11+'Revenus'!E13*'Hypotheses'!$C$12</f>
        <v/>
      </c>
      <c r="H7" s="5">
        <f>'Revenus'!H13*'Hypotheses'!$C$10+'Revenus'!G13*'Hypotheses'!$C$11+'Revenus'!F13*'Hypotheses'!$C$12</f>
        <v/>
      </c>
      <c r="I7" s="5">
        <f>'Revenus'!I13*'Hypotheses'!$C$10+'Revenus'!H13*'Hypotheses'!$C$11+'Revenus'!G13*'Hypotheses'!$C$12</f>
        <v/>
      </c>
      <c r="J7" s="5">
        <f>'Revenus'!J13*'Hypotheses'!$C$10+'Revenus'!I13*'Hypotheses'!$C$11+'Revenus'!H13*'Hypotheses'!$C$12</f>
        <v/>
      </c>
      <c r="K7" s="5">
        <f>'Revenus'!K13*'Hypotheses'!$C$10+'Revenus'!J13*'Hypotheses'!$C$11+'Revenus'!I13*'Hypotheses'!$C$12</f>
        <v/>
      </c>
      <c r="L7" s="5">
        <f>'Revenus'!L13*'Hypotheses'!$C$10+'Revenus'!K13*'Hypotheses'!$C$11+'Revenus'!J13*'Hypotheses'!$C$12</f>
        <v/>
      </c>
      <c r="M7" s="5">
        <f>'Revenus'!M13*'Hypotheses'!$C$10+'Revenus'!L13*'Hypotheses'!$C$11+'Revenus'!K13*'Hypotheses'!$C$12</f>
        <v/>
      </c>
      <c r="N7" s="5">
        <f>'Revenus'!N13*'Hypotheses'!$C$10+'Revenus'!M13*'Hypotheses'!$C$11+'Revenus'!L13*'Hypotheses'!$C$12</f>
        <v/>
      </c>
      <c r="O7" s="5">
        <f>'Revenus'!O13*'Hypotheses'!$C$10+'Revenus'!N13*'Hypotheses'!$C$11+'Revenus'!M13*'Hypotheses'!$C$12</f>
        <v/>
      </c>
      <c r="P7" s="5">
        <f>'Revenus'!P13*'Hypotheses'!$C$10+'Revenus'!O13*'Hypotheses'!$C$11+'Revenus'!N13*'Hypotheses'!$C$12</f>
        <v/>
      </c>
      <c r="Q7" s="5">
        <f>'Revenus'!Q13*'Hypotheses'!$C$10+'Revenus'!P13*'Hypotheses'!$C$11+'Revenus'!O13*'Hypotheses'!$C$12</f>
        <v/>
      </c>
      <c r="R7" s="5">
        <f>'Revenus'!R13*'Hypotheses'!$C$10+'Revenus'!Q13*'Hypotheses'!$C$11+'Revenus'!P13*'Hypotheses'!$C$12</f>
        <v/>
      </c>
      <c r="S7" s="5">
        <f>'Revenus'!S13*'Hypotheses'!$C$10+'Revenus'!R13*'Hypotheses'!$C$11+'Revenus'!Q13*'Hypotheses'!$C$12</f>
        <v/>
      </c>
      <c r="T7" s="5">
        <f>'Revenus'!T13*'Hypotheses'!$C$10+'Revenus'!S13*'Hypotheses'!$C$11+'Revenus'!R13*'Hypotheses'!$C$12</f>
        <v/>
      </c>
      <c r="U7" s="5">
        <f>'Revenus'!U13*'Hypotheses'!$C$10+'Revenus'!T13*'Hypotheses'!$C$11+'Revenus'!S13*'Hypotheses'!$C$12</f>
        <v/>
      </c>
      <c r="V7" s="5">
        <f>'Revenus'!V13*'Hypotheses'!$C$10+'Revenus'!U13*'Hypotheses'!$C$11+'Revenus'!T13*'Hypotheses'!$C$12</f>
        <v/>
      </c>
      <c r="W7" s="5">
        <f>'Revenus'!W13*'Hypotheses'!$C$10+'Revenus'!V13*'Hypotheses'!$C$11+'Revenus'!U13*'Hypotheses'!$C$12</f>
        <v/>
      </c>
      <c r="X7" s="5">
        <f>'Revenus'!X13*'Hypotheses'!$C$10+'Revenus'!W13*'Hypotheses'!$C$11+'Revenus'!V13*'Hypotheses'!$C$12</f>
        <v/>
      </c>
      <c r="Y7" s="5">
        <f>'Revenus'!Y13*'Hypotheses'!$C$10+'Revenus'!X13*'Hypotheses'!$C$11+'Revenus'!W13*'Hypotheses'!$C$12</f>
        <v/>
      </c>
      <c r="Z7" s="5">
        <f>'Revenus'!Z13*'Hypotheses'!$C$10+'Revenus'!Y13*'Hypotheses'!$C$11+'Revenus'!X13*'Hypotheses'!$C$12</f>
        <v/>
      </c>
      <c r="AA7" s="5">
        <f>'Revenus'!AA13*'Hypotheses'!$C$10+'Revenus'!Z13*'Hypotheses'!$C$11+'Revenus'!Y13*'Hypotheses'!$C$12</f>
        <v/>
      </c>
      <c r="AB7" s="5">
        <f>'Revenus'!AB13*'Hypotheses'!$C$10+'Revenus'!AA13*'Hypotheses'!$C$11+'Revenus'!Z13*'Hypotheses'!$C$12</f>
        <v/>
      </c>
      <c r="AC7" s="5">
        <f>'Revenus'!AC13*'Hypotheses'!$C$10+'Revenus'!AB13*'Hypotheses'!$C$11+'Revenus'!AA13*'Hypotheses'!$C$12</f>
        <v/>
      </c>
      <c r="AD7" s="5">
        <f>'Revenus'!AD13*'Hypotheses'!$C$10+'Revenus'!AC13*'Hypotheses'!$C$11+'Revenus'!AB13*'Hypotheses'!$C$12</f>
        <v/>
      </c>
      <c r="AE7" s="5">
        <f>'Revenus'!AE13*'Hypotheses'!$C$10+'Revenus'!AD13*'Hypotheses'!$C$11+'Revenus'!AC13*'Hypotheses'!$C$12</f>
        <v/>
      </c>
      <c r="AF7" s="5">
        <f>'Revenus'!AF13*'Hypotheses'!$C$10+'Revenus'!AE13*'Hypotheses'!$C$11+'Revenus'!AD13*'Hypotheses'!$C$12</f>
        <v/>
      </c>
      <c r="AG7" s="5">
        <f>'Revenus'!AG13*'Hypotheses'!$C$10+'Revenus'!AF13*'Hypotheses'!$C$11+'Revenus'!AE13*'Hypotheses'!$C$12</f>
        <v/>
      </c>
      <c r="AH7" s="5">
        <f>'Revenus'!AH13*'Hypotheses'!$C$10+'Revenus'!AG13*'Hypotheses'!$C$11+'Revenus'!AF13*'Hypotheses'!$C$12</f>
        <v/>
      </c>
      <c r="AI7" s="5">
        <f>'Revenus'!AI13*'Hypotheses'!$C$10+'Revenus'!AH13*'Hypotheses'!$C$11+'Revenus'!AG13*'Hypotheses'!$C$12</f>
        <v/>
      </c>
      <c r="AJ7" s="5">
        <f>'Revenus'!AJ13*'Hypotheses'!$C$10+'Revenus'!AI13*'Hypotheses'!$C$11+'Revenus'!AH13*'Hypotheses'!$C$12</f>
        <v/>
      </c>
      <c r="AK7" s="5">
        <f>'Revenus'!AK13*'Hypotheses'!$C$10+'Revenus'!AJ13*'Hypotheses'!$C$11+'Revenus'!AI13*'Hypotheses'!$C$12</f>
        <v/>
      </c>
      <c r="AL7" s="5">
        <f>'Revenus'!AL13*'Hypotheses'!$C$10+'Revenus'!AK13*'Hypotheses'!$C$11+'Revenus'!AJ13*'Hypotheses'!$C$12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detaillees'!H21,'Depenses detaillees'!H26)</f>
        <v/>
      </c>
      <c r="D10" s="5">
        <f>SUM('Depenses detaillees'!I21,'Depenses detaillees'!I26)</f>
        <v/>
      </c>
      <c r="E10" s="5">
        <f>SUM('Depenses detaillees'!J21,'Depenses detaillees'!J26)</f>
        <v/>
      </c>
      <c r="F10" s="5">
        <f>SUM('Depenses detaillees'!K21,'Depenses detaillees'!K26)</f>
        <v/>
      </c>
      <c r="G10" s="5">
        <f>SUM('Depenses detaillees'!L21,'Depenses detaillees'!L26)</f>
        <v/>
      </c>
      <c r="H10" s="5">
        <f>SUM('Depenses detaillees'!M21,'Depenses detaillees'!M26)</f>
        <v/>
      </c>
      <c r="I10" s="5">
        <f>SUM('Depenses detaillees'!N21,'Depenses detaillees'!N26)</f>
        <v/>
      </c>
      <c r="J10" s="5">
        <f>SUM('Depenses detaillees'!O21,'Depenses detaillees'!O26)</f>
        <v/>
      </c>
      <c r="K10" s="5">
        <f>SUM('Depenses detaillees'!P21,'Depenses detaillees'!P26)</f>
        <v/>
      </c>
      <c r="L10" s="5">
        <f>SUM('Depenses detaillees'!Q21,'Depenses detaillees'!Q26)</f>
        <v/>
      </c>
      <c r="M10" s="5">
        <f>SUM('Depenses detaillees'!R21,'Depenses detaillees'!R26)</f>
        <v/>
      </c>
      <c r="N10" s="5">
        <f>SUM('Depenses detaillees'!S21,'Depenses detaillees'!S26)</f>
        <v/>
      </c>
      <c r="O10" s="5">
        <f>SUM('Depenses detaillees'!T21,'Depenses detaillees'!T26)</f>
        <v/>
      </c>
      <c r="P10" s="5">
        <f>SUM('Depenses detaillees'!U21,'Depenses detaillees'!U26)</f>
        <v/>
      </c>
      <c r="Q10" s="5">
        <f>SUM('Depenses detaillees'!V21,'Depenses detaillees'!V26)</f>
        <v/>
      </c>
      <c r="R10" s="5">
        <f>SUM('Depenses detaillees'!W21,'Depenses detaillees'!W26)</f>
        <v/>
      </c>
      <c r="S10" s="5">
        <f>SUM('Depenses detaillees'!X21,'Depenses detaillees'!X26)</f>
        <v/>
      </c>
      <c r="T10" s="5">
        <f>SUM('Depenses detaillees'!Y21,'Depenses detaillees'!Y26)</f>
        <v/>
      </c>
      <c r="U10" s="5">
        <f>SUM('Depenses detaillees'!Z21,'Depenses detaillees'!Z26)</f>
        <v/>
      </c>
      <c r="V10" s="5">
        <f>SUM('Depenses detaillees'!AA21,'Depenses detaillees'!AA26)</f>
        <v/>
      </c>
      <c r="W10" s="5">
        <f>SUM('Depenses detaillees'!AB21,'Depenses detaillees'!AB26)</f>
        <v/>
      </c>
      <c r="X10" s="5">
        <f>SUM('Depenses detaillees'!AC21,'Depenses detaillees'!AC26)</f>
        <v/>
      </c>
      <c r="Y10" s="5">
        <f>SUM('Depenses detaillees'!AD21,'Depenses detaillees'!AD26)</f>
        <v/>
      </c>
      <c r="Z10" s="5">
        <f>SUM('Depenses detaillees'!AE21,'Depenses detaillees'!AE26)</f>
        <v/>
      </c>
      <c r="AA10" s="5">
        <f>SUM('Depenses detaillees'!AF21,'Depenses detaillees'!AF26)</f>
        <v/>
      </c>
      <c r="AB10" s="5">
        <f>SUM('Depenses detaillees'!AG21,'Depenses detaillees'!AG26)</f>
        <v/>
      </c>
      <c r="AC10" s="5">
        <f>SUM('Depenses detaillees'!AH21,'Depenses detaillees'!AH26)</f>
        <v/>
      </c>
      <c r="AD10" s="5">
        <f>SUM('Depenses detaillees'!AI21,'Depenses detaillees'!AI26)</f>
        <v/>
      </c>
      <c r="AE10" s="5">
        <f>SUM('Depenses detaillees'!AJ21,'Depenses detaillees'!AJ26)</f>
        <v/>
      </c>
      <c r="AF10" s="5">
        <f>SUM('Depenses detaillees'!AK21,'Depenses detaillees'!AK26)</f>
        <v/>
      </c>
      <c r="AG10" s="5">
        <f>SUM('Depenses detaillees'!AL21,'Depenses detaillees'!AL26)</f>
        <v/>
      </c>
      <c r="AH10" s="5">
        <f>SUM('Depenses detaillees'!AM21,'Depenses detaillees'!AM26)</f>
        <v/>
      </c>
      <c r="AI10" s="5">
        <f>SUM('Depenses detaillees'!AN21,'Depenses detaillees'!AN26)</f>
        <v/>
      </c>
      <c r="AJ10" s="5">
        <f>SUM('Depenses detaillees'!AO21,'Depenses detaillees'!AO26)</f>
        <v/>
      </c>
      <c r="AK10" s="5">
        <f>SUM('Depenses detaillees'!AP21,'Depenses detaillees'!AP26)</f>
        <v/>
      </c>
      <c r="AL10" s="5">
        <f>SUM('Depenses detaillees'!AQ21,'Depenses detaillees'!AQ26)</f>
        <v/>
      </c>
    </row>
    <row r="11" ht="20" customHeight="1">
      <c r="A11" s="3" t="inlineStr">
        <is>
          <t>Personnel</t>
        </is>
      </c>
      <c r="B11" s="3" t="n"/>
      <c r="C11" s="5">
        <f>SUM('Depenses detaillees'!H30)</f>
        <v/>
      </c>
      <c r="D11" s="5">
        <f>SUM('Depenses detaillees'!I30)</f>
        <v/>
      </c>
      <c r="E11" s="5">
        <f>SUM('Depenses detaillees'!J30)</f>
        <v/>
      </c>
      <c r="F11" s="5">
        <f>SUM('Depenses detaillees'!K30)</f>
        <v/>
      </c>
      <c r="G11" s="5">
        <f>SUM('Depenses detaillees'!L30)</f>
        <v/>
      </c>
      <c r="H11" s="5">
        <f>SUM('Depenses detaillees'!M30)</f>
        <v/>
      </c>
      <c r="I11" s="5">
        <f>SUM('Depenses detaillees'!N30)</f>
        <v/>
      </c>
      <c r="J11" s="5">
        <f>SUM('Depenses detaillees'!O30)</f>
        <v/>
      </c>
      <c r="K11" s="5">
        <f>SUM('Depenses detaillees'!P30)</f>
        <v/>
      </c>
      <c r="L11" s="5">
        <f>SUM('Depenses detaillees'!Q30)</f>
        <v/>
      </c>
      <c r="M11" s="5">
        <f>SUM('Depenses detaillees'!R30)</f>
        <v/>
      </c>
      <c r="N11" s="5">
        <f>SUM('Depenses detaillees'!S30)</f>
        <v/>
      </c>
      <c r="O11" s="5">
        <f>SUM('Depenses detaillees'!T30)</f>
        <v/>
      </c>
      <c r="P11" s="5">
        <f>SUM('Depenses detaillees'!U30)</f>
        <v/>
      </c>
      <c r="Q11" s="5">
        <f>SUM('Depenses detaillees'!V30)</f>
        <v/>
      </c>
      <c r="R11" s="5">
        <f>SUM('Depenses detaillees'!W30)</f>
        <v/>
      </c>
      <c r="S11" s="5">
        <f>SUM('Depenses detaillees'!X30)</f>
        <v/>
      </c>
      <c r="T11" s="5">
        <f>SUM('Depenses detaillees'!Y30)</f>
        <v/>
      </c>
      <c r="U11" s="5">
        <f>SUM('Depenses detaillees'!Z30)</f>
        <v/>
      </c>
      <c r="V11" s="5">
        <f>SUM('Depenses detaillees'!AA30)</f>
        <v/>
      </c>
      <c r="W11" s="5">
        <f>SUM('Depenses detaillees'!AB30)</f>
        <v/>
      </c>
      <c r="X11" s="5">
        <f>SUM('Depenses detaillees'!AC30)</f>
        <v/>
      </c>
      <c r="Y11" s="5">
        <f>SUM('Depenses detaillees'!AD30)</f>
        <v/>
      </c>
      <c r="Z11" s="5">
        <f>SUM('Depenses detaillees'!AE30)</f>
        <v/>
      </c>
      <c r="AA11" s="5">
        <f>SUM('Depenses detaillees'!AF30)</f>
        <v/>
      </c>
      <c r="AB11" s="5">
        <f>SUM('Depenses detaillees'!AG30)</f>
        <v/>
      </c>
      <c r="AC11" s="5">
        <f>SUM('Depenses detaillees'!AH30)</f>
        <v/>
      </c>
      <c r="AD11" s="5">
        <f>SUM('Depenses detaillees'!AI30)</f>
        <v/>
      </c>
      <c r="AE11" s="5">
        <f>SUM('Depenses detaillees'!AJ30)</f>
        <v/>
      </c>
      <c r="AF11" s="5">
        <f>SUM('Depenses detaillees'!AK30)</f>
        <v/>
      </c>
      <c r="AG11" s="5">
        <f>SUM('Depenses detaillees'!AL30)</f>
        <v/>
      </c>
      <c r="AH11" s="5">
        <f>SUM('Depenses detaillees'!AM30)</f>
        <v/>
      </c>
      <c r="AI11" s="5">
        <f>SUM('Depenses detaillees'!AN30)</f>
        <v/>
      </c>
      <c r="AJ11" s="5">
        <f>SUM('Depenses detaillees'!AO30)</f>
        <v/>
      </c>
      <c r="AK11" s="5">
        <f>SUM('Depenses detaillees'!AP30)</f>
        <v/>
      </c>
      <c r="AL11" s="5">
        <f>SUM('Depenses detaillees'!AQ30)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detaillees'!H41)</f>
        <v/>
      </c>
      <c r="D12" s="5">
        <f>SUM('Depenses detaillees'!I41)</f>
        <v/>
      </c>
      <c r="E12" s="5">
        <f>SUM('Depenses detaillees'!J41)</f>
        <v/>
      </c>
      <c r="F12" s="5">
        <f>SUM('Depenses detaillees'!K41)</f>
        <v/>
      </c>
      <c r="G12" s="5">
        <f>SUM('Depenses detaillees'!L41)</f>
        <v/>
      </c>
      <c r="H12" s="5">
        <f>SUM('Depenses detaillees'!M41)</f>
        <v/>
      </c>
      <c r="I12" s="5">
        <f>SUM('Depenses detaillees'!N41)</f>
        <v/>
      </c>
      <c r="J12" s="5">
        <f>SUM('Depenses detaillees'!O41)</f>
        <v/>
      </c>
      <c r="K12" s="5">
        <f>SUM('Depenses detaillees'!P41)</f>
        <v/>
      </c>
      <c r="L12" s="5">
        <f>SUM('Depenses detaillees'!Q41)</f>
        <v/>
      </c>
      <c r="M12" s="5">
        <f>SUM('Depenses detaillees'!R41)</f>
        <v/>
      </c>
      <c r="N12" s="5">
        <f>SUM('Depenses detaillees'!S41)</f>
        <v/>
      </c>
      <c r="O12" s="5">
        <f>SUM('Depenses detaillees'!T41)</f>
        <v/>
      </c>
      <c r="P12" s="5">
        <f>SUM('Depenses detaillees'!U41)</f>
        <v/>
      </c>
      <c r="Q12" s="5">
        <f>SUM('Depenses detaillees'!V41)</f>
        <v/>
      </c>
      <c r="R12" s="5">
        <f>SUM('Depenses detaillees'!W41)</f>
        <v/>
      </c>
      <c r="S12" s="5">
        <f>SUM('Depenses detaillees'!X41)</f>
        <v/>
      </c>
      <c r="T12" s="5">
        <f>SUM('Depenses detaillees'!Y41)</f>
        <v/>
      </c>
      <c r="U12" s="5">
        <f>SUM('Depenses detaillees'!Z41)</f>
        <v/>
      </c>
      <c r="V12" s="5">
        <f>SUM('Depenses detaillees'!AA41)</f>
        <v/>
      </c>
      <c r="W12" s="5">
        <f>SUM('Depenses detaillees'!AB41)</f>
        <v/>
      </c>
      <c r="X12" s="5">
        <f>SUM('Depenses detaillees'!AC41)</f>
        <v/>
      </c>
      <c r="Y12" s="5">
        <f>SUM('Depenses detaillees'!AD41)</f>
        <v/>
      </c>
      <c r="Z12" s="5">
        <f>SUM('Depenses detaillees'!AE41)</f>
        <v/>
      </c>
      <c r="AA12" s="5">
        <f>SUM('Depenses detaillees'!AF41)</f>
        <v/>
      </c>
      <c r="AB12" s="5">
        <f>SUM('Depenses detaillees'!AG41)</f>
        <v/>
      </c>
      <c r="AC12" s="5">
        <f>SUM('Depenses detaillees'!AH41)</f>
        <v/>
      </c>
      <c r="AD12" s="5">
        <f>SUM('Depenses detaillees'!AI41)</f>
        <v/>
      </c>
      <c r="AE12" s="5">
        <f>SUM('Depenses detaillees'!AJ41)</f>
        <v/>
      </c>
      <c r="AF12" s="5">
        <f>SUM('Depenses detaillees'!AK41)</f>
        <v/>
      </c>
      <c r="AG12" s="5">
        <f>SUM('Depenses detaillees'!AL41)</f>
        <v/>
      </c>
      <c r="AH12" s="5">
        <f>SUM('Depenses detaillees'!AM41)</f>
        <v/>
      </c>
      <c r="AI12" s="5">
        <f>SUM('Depenses detaillees'!AN41)</f>
        <v/>
      </c>
      <c r="AJ12" s="5">
        <f>SUM('Depenses detaillees'!AO41)</f>
        <v/>
      </c>
      <c r="AK12" s="5">
        <f>SUM('Depenses detaillees'!AP41)</f>
        <v/>
      </c>
      <c r="AL12" s="5">
        <f>SUM('Depenses detaillees'!AQ41)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'Revenus'!C12</f>
        <v/>
      </c>
      <c r="D20" s="5">
        <f>'Revenus'!D12</f>
        <v/>
      </c>
      <c r="E20" s="5">
        <f>'Revenus'!E12</f>
        <v/>
      </c>
      <c r="F20" s="5">
        <f>'Revenus'!F12</f>
        <v/>
      </c>
      <c r="G20" s="5">
        <f>'Revenus'!G12</f>
        <v/>
      </c>
      <c r="H20" s="5">
        <f>'Revenus'!H12</f>
        <v/>
      </c>
      <c r="I20" s="5">
        <f>'Revenus'!I12</f>
        <v/>
      </c>
      <c r="J20" s="5">
        <f>'Revenus'!J12</f>
        <v/>
      </c>
      <c r="K20" s="5">
        <f>'Revenus'!K12</f>
        <v/>
      </c>
      <c r="L20" s="5">
        <f>'Revenus'!L12</f>
        <v/>
      </c>
      <c r="M20" s="5">
        <f>'Revenus'!M12</f>
        <v/>
      </c>
      <c r="N20" s="5">
        <f>'Revenus'!N12</f>
        <v/>
      </c>
      <c r="O20" s="5">
        <f>'Revenus'!O12</f>
        <v/>
      </c>
      <c r="P20" s="5">
        <f>'Revenus'!P12</f>
        <v/>
      </c>
      <c r="Q20" s="5">
        <f>'Revenus'!Q12</f>
        <v/>
      </c>
      <c r="R20" s="5">
        <f>'Revenus'!R12</f>
        <v/>
      </c>
      <c r="S20" s="5">
        <f>'Revenus'!S12</f>
        <v/>
      </c>
      <c r="T20" s="5">
        <f>'Revenus'!T12</f>
        <v/>
      </c>
      <c r="U20" s="5">
        <f>'Revenus'!U12</f>
        <v/>
      </c>
      <c r="V20" s="5">
        <f>'Revenus'!V12</f>
        <v/>
      </c>
      <c r="W20" s="5">
        <f>'Revenus'!W12</f>
        <v/>
      </c>
      <c r="X20" s="5">
        <f>'Revenus'!X12</f>
        <v/>
      </c>
      <c r="Y20" s="5">
        <f>'Revenus'!Y12</f>
        <v/>
      </c>
      <c r="Z20" s="5">
        <f>'Revenus'!Z12</f>
        <v/>
      </c>
      <c r="AA20" s="5">
        <f>'Revenus'!AA12</f>
        <v/>
      </c>
      <c r="AB20" s="5">
        <f>'Revenus'!AB12</f>
        <v/>
      </c>
      <c r="AC20" s="5">
        <f>'Revenus'!AC12</f>
        <v/>
      </c>
      <c r="AD20" s="5">
        <f>'Revenus'!AD12</f>
        <v/>
      </c>
      <c r="AE20" s="5">
        <f>'Revenus'!AE12</f>
        <v/>
      </c>
      <c r="AF20" s="5">
        <f>'Revenus'!AF12</f>
        <v/>
      </c>
      <c r="AG20" s="5">
        <f>'Revenus'!AG12</f>
        <v/>
      </c>
      <c r="AH20" s="5">
        <f>'Revenus'!AH12</f>
        <v/>
      </c>
      <c r="AI20" s="5">
        <f>'Revenus'!AI12</f>
        <v/>
      </c>
      <c r="AJ20" s="5">
        <f>'Revenus'!AJ12</f>
        <v/>
      </c>
      <c r="AK20" s="5">
        <f>'Revenus'!AK12</f>
        <v/>
      </c>
      <c r="AL20" s="5">
        <f>'Revenus'!AL12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Accountant</t>
        </is>
      </c>
      <c r="B5" s="3" t="n"/>
      <c r="C5" s="3" t="inlineStr">
        <is>
          <t>ACCOUNTING_SERVICES</t>
        </is>
      </c>
      <c r="D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5" s="3" t="inlineStr">
        <is>
          <t>monthly package</t>
        </is>
      </c>
      <c r="F5" s="3" t="n">
        <v>500</v>
      </c>
      <c r="G5" s="3" t="inlineStr">
        <is>
          <t>2021-01</t>
        </is>
      </c>
      <c r="H5" s="3" t="n">
        <v>500</v>
      </c>
    </row>
    <row r="6" ht="20" customHeight="1">
      <c r="A6" s="3" t="inlineStr">
        <is>
          <t>Accountant</t>
        </is>
      </c>
      <c r="B6" s="3" t="n"/>
      <c r="C6" s="3" t="inlineStr">
        <is>
          <t>ACCOUNTING_SERVICES</t>
        </is>
      </c>
      <c r="D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6" s="3" t="inlineStr">
        <is>
          <t>monthly package</t>
        </is>
      </c>
      <c r="F6" s="3" t="n">
        <v>500</v>
      </c>
      <c r="G6" s="3" t="inlineStr">
        <is>
          <t>2021-02</t>
        </is>
      </c>
      <c r="H6" s="3" t="n">
        <v>500</v>
      </c>
    </row>
    <row r="7" ht="20" customHeight="1">
      <c r="A7" s="3" t="inlineStr">
        <is>
          <t>Accountant</t>
        </is>
      </c>
      <c r="B7" s="3" t="n"/>
      <c r="C7" s="3" t="inlineStr">
        <is>
          <t>ACCOUNTING_SERVICES</t>
        </is>
      </c>
      <c r="D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7" s="3" t="inlineStr">
        <is>
          <t>monthly package</t>
        </is>
      </c>
      <c r="F7" s="3" t="n">
        <v>500</v>
      </c>
      <c r="G7" s="3" t="inlineStr">
        <is>
          <t>2021-03</t>
        </is>
      </c>
      <c r="H7" s="3" t="n">
        <v>500</v>
      </c>
    </row>
    <row r="8" ht="20" customHeight="1">
      <c r="A8" s="3" t="inlineStr">
        <is>
          <t>Accountant</t>
        </is>
      </c>
      <c r="B8" s="3" t="n"/>
      <c r="C8" s="3" t="inlineStr">
        <is>
          <t>ACCOUNTING_SERVICES</t>
        </is>
      </c>
      <c r="D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8" s="3" t="inlineStr">
        <is>
          <t>monthly package</t>
        </is>
      </c>
      <c r="F8" s="3" t="n">
        <v>500</v>
      </c>
      <c r="G8" s="3" t="inlineStr">
        <is>
          <t>2021-04</t>
        </is>
      </c>
      <c r="H8" s="3" t="n">
        <v>500</v>
      </c>
    </row>
    <row r="9" ht="20" customHeight="1">
      <c r="A9" s="3" t="inlineStr">
        <is>
          <t>Accountant</t>
        </is>
      </c>
      <c r="B9" s="3" t="n"/>
      <c r="C9" s="3" t="inlineStr">
        <is>
          <t>ACCOUNTING_SERVICES</t>
        </is>
      </c>
      <c r="D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9" s="3" t="inlineStr">
        <is>
          <t>monthly package</t>
        </is>
      </c>
      <c r="F9" s="3" t="n">
        <v>500</v>
      </c>
      <c r="G9" s="3" t="inlineStr">
        <is>
          <t>2021-05</t>
        </is>
      </c>
      <c r="H9" s="3" t="n">
        <v>500</v>
      </c>
    </row>
    <row r="10" ht="20" customHeight="1">
      <c r="A10" s="3" t="inlineStr">
        <is>
          <t>Accountant</t>
        </is>
      </c>
      <c r="B10" s="3" t="n"/>
      <c r="C10" s="3" t="inlineStr">
        <is>
          <t>ACCOUNTING_SERVICES</t>
        </is>
      </c>
      <c r="D1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0" s="3" t="inlineStr">
        <is>
          <t>monthly package</t>
        </is>
      </c>
      <c r="F10" s="3" t="n">
        <v>500</v>
      </c>
      <c r="G10" s="3" t="inlineStr">
        <is>
          <t>2021-06</t>
        </is>
      </c>
      <c r="H10" s="3" t="n">
        <v>500</v>
      </c>
    </row>
    <row r="11" ht="20" customHeight="1">
      <c r="A11" s="3" t="inlineStr">
        <is>
          <t>Accountant</t>
        </is>
      </c>
      <c r="B11" s="3" t="n"/>
      <c r="C11" s="3" t="inlineStr">
        <is>
          <t>ACCOUNTING_SERVICES</t>
        </is>
      </c>
      <c r="D1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1" s="3" t="inlineStr">
        <is>
          <t>monthly package</t>
        </is>
      </c>
      <c r="F11" s="3" t="n">
        <v>500</v>
      </c>
      <c r="G11" s="3" t="inlineStr">
        <is>
          <t>2021-07</t>
        </is>
      </c>
      <c r="H11" s="3" t="n">
        <v>500</v>
      </c>
    </row>
    <row r="12" ht="20" customHeight="1">
      <c r="A12" s="3" t="inlineStr">
        <is>
          <t>Accountant</t>
        </is>
      </c>
      <c r="B12" s="3" t="n"/>
      <c r="C12" s="3" t="inlineStr">
        <is>
          <t>ACCOUNTING_SERVICES</t>
        </is>
      </c>
      <c r="D1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2" s="3" t="inlineStr">
        <is>
          <t>monthly package</t>
        </is>
      </c>
      <c r="F12" s="3" t="n">
        <v>500</v>
      </c>
      <c r="G12" s="3" t="inlineStr">
        <is>
          <t>2021-08</t>
        </is>
      </c>
      <c r="H12" s="3" t="n">
        <v>500</v>
      </c>
    </row>
    <row r="13" ht="20" customHeight="1">
      <c r="A13" s="3" t="inlineStr">
        <is>
          <t>Accountant</t>
        </is>
      </c>
      <c r="B13" s="3" t="n"/>
      <c r="C13" s="3" t="inlineStr">
        <is>
          <t>ACCOUNTING_SERVICES</t>
        </is>
      </c>
      <c r="D1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3" s="3" t="inlineStr">
        <is>
          <t>monthly package</t>
        </is>
      </c>
      <c r="F13" s="3" t="n">
        <v>500</v>
      </c>
      <c r="G13" s="3" t="inlineStr">
        <is>
          <t>2021-09</t>
        </is>
      </c>
      <c r="H13" s="3" t="n">
        <v>500</v>
      </c>
    </row>
    <row r="14" ht="20" customHeight="1">
      <c r="A14" s="3" t="inlineStr">
        <is>
          <t>Accountant</t>
        </is>
      </c>
      <c r="B14" s="3" t="n"/>
      <c r="C14" s="3" t="inlineStr">
        <is>
          <t>ACCOUNTING_SERVICES</t>
        </is>
      </c>
      <c r="D1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4" s="3" t="inlineStr">
        <is>
          <t>monthly package</t>
        </is>
      </c>
      <c r="F14" s="3" t="n">
        <v>500</v>
      </c>
      <c r="G14" s="3" t="inlineStr">
        <is>
          <t>2021-10</t>
        </is>
      </c>
      <c r="H14" s="3" t="n">
        <v>500</v>
      </c>
    </row>
    <row r="15" ht="20" customHeight="1">
      <c r="A15" s="3" t="inlineStr">
        <is>
          <t>Accountant</t>
        </is>
      </c>
      <c r="B15" s="3" t="n"/>
      <c r="C15" s="3" t="inlineStr">
        <is>
          <t>ACCOUNTING_SERVICES</t>
        </is>
      </c>
      <c r="D1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5" s="3" t="inlineStr">
        <is>
          <t>monthly package</t>
        </is>
      </c>
      <c r="F15" s="3" t="n">
        <v>500</v>
      </c>
      <c r="G15" s="3" t="inlineStr">
        <is>
          <t>2021-11</t>
        </is>
      </c>
      <c r="H15" s="3" t="n">
        <v>500</v>
      </c>
    </row>
    <row r="16" ht="20" customHeight="1">
      <c r="A16" s="3" t="inlineStr">
        <is>
          <t>Accountant</t>
        </is>
      </c>
      <c r="B16" s="3" t="n"/>
      <c r="C16" s="3" t="inlineStr">
        <is>
          <t>ACCOUNTING_SERVICES</t>
        </is>
      </c>
      <c r="D1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6" s="3" t="inlineStr">
        <is>
          <t>monthly package</t>
        </is>
      </c>
      <c r="F16" s="3" t="n">
        <v>500</v>
      </c>
      <c r="G16" s="3" t="inlineStr">
        <is>
          <t>2021-12</t>
        </is>
      </c>
      <c r="H16" s="3" t="n">
        <v>500</v>
      </c>
    </row>
    <row r="17" ht="20" customHeight="1">
      <c r="A17" s="3" t="inlineStr">
        <is>
          <t>Accountant</t>
        </is>
      </c>
      <c r="B17" s="3" t="n"/>
      <c r="C17" s="3" t="inlineStr">
        <is>
          <t>ACCOUNTING_SERVICES</t>
        </is>
      </c>
      <c r="D1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7" s="3" t="inlineStr">
        <is>
          <t>monthly package</t>
        </is>
      </c>
      <c r="F17" s="3" t="n">
        <v>500</v>
      </c>
      <c r="G17" s="3" t="inlineStr">
        <is>
          <t>2022-01</t>
        </is>
      </c>
      <c r="H17" s="3" t="n">
        <v>500</v>
      </c>
    </row>
    <row r="18" ht="20" customHeight="1">
      <c r="A18" s="3" t="inlineStr">
        <is>
          <t>Accountant</t>
        </is>
      </c>
      <c r="B18" s="3" t="n"/>
      <c r="C18" s="3" t="inlineStr">
        <is>
          <t>ACCOUNTING_SERVICES</t>
        </is>
      </c>
      <c r="D1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8" s="3" t="inlineStr">
        <is>
          <t>monthly package</t>
        </is>
      </c>
      <c r="F18" s="3" t="n">
        <v>500</v>
      </c>
      <c r="G18" s="3" t="inlineStr">
        <is>
          <t>2022-02</t>
        </is>
      </c>
      <c r="H18" s="3" t="n">
        <v>500</v>
      </c>
    </row>
    <row r="19" ht="20" customHeight="1">
      <c r="A19" s="3" t="inlineStr">
        <is>
          <t>Accountant</t>
        </is>
      </c>
      <c r="B19" s="3" t="n"/>
      <c r="C19" s="3" t="inlineStr">
        <is>
          <t>ACCOUNTING_SERVICES</t>
        </is>
      </c>
      <c r="D1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9" s="3" t="inlineStr">
        <is>
          <t>monthly package</t>
        </is>
      </c>
      <c r="F19" s="3" t="n">
        <v>500</v>
      </c>
      <c r="G19" s="3" t="inlineStr">
        <is>
          <t>2022-03</t>
        </is>
      </c>
      <c r="H19" s="3" t="n">
        <v>500</v>
      </c>
    </row>
    <row r="20" ht="20" customHeight="1">
      <c r="A20" s="3" t="inlineStr">
        <is>
          <t>Accountant</t>
        </is>
      </c>
      <c r="B20" s="3" t="n"/>
      <c r="C20" s="3" t="inlineStr">
        <is>
          <t>ACCOUNTING_SERVICES</t>
        </is>
      </c>
      <c r="D2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0" s="3" t="inlineStr">
        <is>
          <t>monthly package</t>
        </is>
      </c>
      <c r="F20" s="3" t="n">
        <v>500</v>
      </c>
      <c r="G20" s="3" t="inlineStr">
        <is>
          <t>2022-04</t>
        </is>
      </c>
      <c r="H20" s="3" t="n">
        <v>500</v>
      </c>
    </row>
    <row r="21" ht="20" customHeight="1">
      <c r="A21" s="3" t="inlineStr">
        <is>
          <t>Accountant</t>
        </is>
      </c>
      <c r="B21" s="3" t="n"/>
      <c r="C21" s="3" t="inlineStr">
        <is>
          <t>ACCOUNTING_SERVICES</t>
        </is>
      </c>
      <c r="D2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1" s="3" t="inlineStr">
        <is>
          <t>monthly package</t>
        </is>
      </c>
      <c r="F21" s="3" t="n">
        <v>500</v>
      </c>
      <c r="G21" s="3" t="inlineStr">
        <is>
          <t>2022-05</t>
        </is>
      </c>
      <c r="H21" s="3" t="n">
        <v>500</v>
      </c>
    </row>
    <row r="22" ht="20" customHeight="1">
      <c r="A22" s="3" t="inlineStr">
        <is>
          <t>Accountant</t>
        </is>
      </c>
      <c r="B22" s="3" t="n"/>
      <c r="C22" s="3" t="inlineStr">
        <is>
          <t>ACCOUNTING_SERVICES</t>
        </is>
      </c>
      <c r="D2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2" s="3" t="inlineStr">
        <is>
          <t>monthly package</t>
        </is>
      </c>
      <c r="F22" s="3" t="n">
        <v>500</v>
      </c>
      <c r="G22" s="3" t="inlineStr">
        <is>
          <t>2022-06</t>
        </is>
      </c>
      <c r="H22" s="3" t="n">
        <v>500</v>
      </c>
    </row>
    <row r="23" ht="20" customHeight="1">
      <c r="A23" s="3" t="inlineStr">
        <is>
          <t>Accountant</t>
        </is>
      </c>
      <c r="B23" s="3" t="n"/>
      <c r="C23" s="3" t="inlineStr">
        <is>
          <t>ACCOUNTING_SERVICES</t>
        </is>
      </c>
      <c r="D2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3" s="3" t="inlineStr">
        <is>
          <t>monthly package</t>
        </is>
      </c>
      <c r="F23" s="3" t="n">
        <v>500</v>
      </c>
      <c r="G23" s="3" t="inlineStr">
        <is>
          <t>2022-07</t>
        </is>
      </c>
      <c r="H23" s="3" t="n">
        <v>500</v>
      </c>
    </row>
    <row r="24" ht="20" customHeight="1">
      <c r="A24" s="3" t="inlineStr">
        <is>
          <t>Accountant</t>
        </is>
      </c>
      <c r="B24" s="3" t="n"/>
      <c r="C24" s="3" t="inlineStr">
        <is>
          <t>ACCOUNTING_SERVICES</t>
        </is>
      </c>
      <c r="D2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4" s="3" t="inlineStr">
        <is>
          <t>monthly package</t>
        </is>
      </c>
      <c r="F24" s="3" t="n">
        <v>500</v>
      </c>
      <c r="G24" s="3" t="inlineStr">
        <is>
          <t>2022-08</t>
        </is>
      </c>
      <c r="H24" s="3" t="n">
        <v>500</v>
      </c>
    </row>
    <row r="25" ht="20" customHeight="1">
      <c r="A25" s="3" t="inlineStr">
        <is>
          <t>Accountant</t>
        </is>
      </c>
      <c r="B25" s="3" t="n"/>
      <c r="C25" s="3" t="inlineStr">
        <is>
          <t>ACCOUNTING_SERVICES</t>
        </is>
      </c>
      <c r="D2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5" s="3" t="inlineStr">
        <is>
          <t>monthly package</t>
        </is>
      </c>
      <c r="F25" s="3" t="n">
        <v>500</v>
      </c>
      <c r="G25" s="3" t="inlineStr">
        <is>
          <t>2022-09</t>
        </is>
      </c>
      <c r="H25" s="3" t="n">
        <v>500</v>
      </c>
    </row>
    <row r="26" ht="20" customHeight="1">
      <c r="A26" s="3" t="inlineStr">
        <is>
          <t>Accountant</t>
        </is>
      </c>
      <c r="B26" s="3" t="n"/>
      <c r="C26" s="3" t="inlineStr">
        <is>
          <t>ACCOUNTING_SERVICES</t>
        </is>
      </c>
      <c r="D2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6" s="3" t="inlineStr">
        <is>
          <t>monthly package</t>
        </is>
      </c>
      <c r="F26" s="3" t="n">
        <v>500</v>
      </c>
      <c r="G26" s="3" t="inlineStr">
        <is>
          <t>2022-10</t>
        </is>
      </c>
      <c r="H26" s="3" t="n">
        <v>500</v>
      </c>
    </row>
    <row r="27" ht="20" customHeight="1">
      <c r="A27" s="3" t="inlineStr">
        <is>
          <t>Accountant</t>
        </is>
      </c>
      <c r="B27" s="3" t="n"/>
      <c r="C27" s="3" t="inlineStr">
        <is>
          <t>ACCOUNTING_SERVICES</t>
        </is>
      </c>
      <c r="D2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7" s="3" t="inlineStr">
        <is>
          <t>monthly package</t>
        </is>
      </c>
      <c r="F27" s="3" t="n">
        <v>500</v>
      </c>
      <c r="G27" s="3" t="inlineStr">
        <is>
          <t>2022-11</t>
        </is>
      </c>
      <c r="H27" s="3" t="n">
        <v>500</v>
      </c>
    </row>
    <row r="28" ht="20" customHeight="1">
      <c r="A28" s="3" t="inlineStr">
        <is>
          <t>Accountant</t>
        </is>
      </c>
      <c r="B28" s="3" t="n"/>
      <c r="C28" s="3" t="inlineStr">
        <is>
          <t>ACCOUNTING_SERVICES</t>
        </is>
      </c>
      <c r="D2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8" s="3" t="inlineStr">
        <is>
          <t>monthly package</t>
        </is>
      </c>
      <c r="F28" s="3" t="n">
        <v>500</v>
      </c>
      <c r="G28" s="3" t="inlineStr">
        <is>
          <t>2022-12</t>
        </is>
      </c>
      <c r="H28" s="3" t="n">
        <v>500</v>
      </c>
    </row>
    <row r="29" ht="20" customHeight="1">
      <c r="A29" s="3" t="inlineStr">
        <is>
          <t>Accountant</t>
        </is>
      </c>
      <c r="B29" s="3" t="n"/>
      <c r="C29" s="3" t="inlineStr">
        <is>
          <t>ACCOUNTING_SERVICES</t>
        </is>
      </c>
      <c r="D2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9" s="3" t="inlineStr">
        <is>
          <t>monthly package</t>
        </is>
      </c>
      <c r="F29" s="3" t="n">
        <v>500</v>
      </c>
      <c r="G29" s="3" t="inlineStr">
        <is>
          <t>2023-01</t>
        </is>
      </c>
      <c r="H29" s="3" t="n">
        <v>500</v>
      </c>
    </row>
    <row r="30" ht="20" customHeight="1">
      <c r="A30" s="3" t="inlineStr">
        <is>
          <t>Accountant</t>
        </is>
      </c>
      <c r="B30" s="3" t="n"/>
      <c r="C30" s="3" t="inlineStr">
        <is>
          <t>ACCOUNTING_SERVICES</t>
        </is>
      </c>
      <c r="D3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0" s="3" t="inlineStr">
        <is>
          <t>monthly package</t>
        </is>
      </c>
      <c r="F30" s="3" t="n">
        <v>500</v>
      </c>
      <c r="G30" s="3" t="inlineStr">
        <is>
          <t>2023-02</t>
        </is>
      </c>
      <c r="H30" s="3" t="n">
        <v>500</v>
      </c>
    </row>
    <row r="31" ht="20" customHeight="1">
      <c r="A31" s="3" t="inlineStr">
        <is>
          <t>Accountant</t>
        </is>
      </c>
      <c r="B31" s="3" t="n"/>
      <c r="C31" s="3" t="inlineStr">
        <is>
          <t>ACCOUNTING_SERVICES</t>
        </is>
      </c>
      <c r="D3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1" s="3" t="inlineStr">
        <is>
          <t>monthly package</t>
        </is>
      </c>
      <c r="F31" s="3" t="n">
        <v>500</v>
      </c>
      <c r="G31" s="3" t="inlineStr">
        <is>
          <t>2023-03</t>
        </is>
      </c>
      <c r="H31" s="3" t="n">
        <v>500</v>
      </c>
    </row>
    <row r="32" ht="20" customHeight="1">
      <c r="A32" s="3" t="inlineStr">
        <is>
          <t>Accountant</t>
        </is>
      </c>
      <c r="B32" s="3" t="n"/>
      <c r="C32" s="3" t="inlineStr">
        <is>
          <t>ACCOUNTING_SERVICES</t>
        </is>
      </c>
      <c r="D3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2" s="3" t="inlineStr">
        <is>
          <t>monthly package</t>
        </is>
      </c>
      <c r="F32" s="3" t="n">
        <v>500</v>
      </c>
      <c r="G32" s="3" t="inlineStr">
        <is>
          <t>2023-04</t>
        </is>
      </c>
      <c r="H32" s="3" t="n">
        <v>500</v>
      </c>
    </row>
    <row r="33" ht="20" customHeight="1">
      <c r="A33" s="3" t="inlineStr">
        <is>
          <t>Accountant</t>
        </is>
      </c>
      <c r="B33" s="3" t="n"/>
      <c r="C33" s="3" t="inlineStr">
        <is>
          <t>ACCOUNTING_SERVICES</t>
        </is>
      </c>
      <c r="D3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3" s="3" t="inlineStr">
        <is>
          <t>monthly package</t>
        </is>
      </c>
      <c r="F33" s="3" t="n">
        <v>500</v>
      </c>
      <c r="G33" s="3" t="inlineStr">
        <is>
          <t>2023-05</t>
        </is>
      </c>
      <c r="H33" s="3" t="n">
        <v>500</v>
      </c>
    </row>
    <row r="34" ht="20" customHeight="1">
      <c r="A34" s="3" t="inlineStr">
        <is>
          <t>Accountant</t>
        </is>
      </c>
      <c r="B34" s="3" t="n"/>
      <c r="C34" s="3" t="inlineStr">
        <is>
          <t>ACCOUNTING_SERVICES</t>
        </is>
      </c>
      <c r="D3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4" s="3" t="inlineStr">
        <is>
          <t>monthly package</t>
        </is>
      </c>
      <c r="F34" s="3" t="n">
        <v>500</v>
      </c>
      <c r="G34" s="3" t="inlineStr">
        <is>
          <t>2023-06</t>
        </is>
      </c>
      <c r="H34" s="3" t="n">
        <v>500</v>
      </c>
    </row>
    <row r="35" ht="20" customHeight="1">
      <c r="A35" s="3" t="inlineStr">
        <is>
          <t>Accountant</t>
        </is>
      </c>
      <c r="B35" s="3" t="n"/>
      <c r="C35" s="3" t="inlineStr">
        <is>
          <t>ACCOUNTING_SERVICES</t>
        </is>
      </c>
      <c r="D3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5" s="3" t="inlineStr">
        <is>
          <t>monthly package</t>
        </is>
      </c>
      <c r="F35" s="3" t="n">
        <v>500</v>
      </c>
      <c r="G35" s="3" t="inlineStr">
        <is>
          <t>2023-07</t>
        </is>
      </c>
      <c r="H35" s="3" t="n">
        <v>500</v>
      </c>
    </row>
    <row r="36" ht="20" customHeight="1">
      <c r="A36" s="3" t="inlineStr">
        <is>
          <t>Accountant</t>
        </is>
      </c>
      <c r="B36" s="3" t="n"/>
      <c r="C36" s="3" t="inlineStr">
        <is>
          <t>ACCOUNTING_SERVICES</t>
        </is>
      </c>
      <c r="D3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6" s="3" t="inlineStr">
        <is>
          <t>monthly package</t>
        </is>
      </c>
      <c r="F36" s="3" t="n">
        <v>500</v>
      </c>
      <c r="G36" s="3" t="inlineStr">
        <is>
          <t>2023-08</t>
        </is>
      </c>
      <c r="H36" s="3" t="n">
        <v>500</v>
      </c>
    </row>
    <row r="37" ht="20" customHeight="1">
      <c r="A37" s="3" t="inlineStr">
        <is>
          <t>Accountant</t>
        </is>
      </c>
      <c r="B37" s="3" t="n"/>
      <c r="C37" s="3" t="inlineStr">
        <is>
          <t>ACCOUNTING_SERVICES</t>
        </is>
      </c>
      <c r="D3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7" s="3" t="inlineStr">
        <is>
          <t>monthly package</t>
        </is>
      </c>
      <c r="F37" s="3" t="n">
        <v>500</v>
      </c>
      <c r="G37" s="3" t="inlineStr">
        <is>
          <t>2023-09</t>
        </is>
      </c>
      <c r="H37" s="3" t="n">
        <v>500</v>
      </c>
    </row>
    <row r="38" ht="20" customHeight="1">
      <c r="A38" s="3" t="inlineStr">
        <is>
          <t>Accountant</t>
        </is>
      </c>
      <c r="B38" s="3" t="n"/>
      <c r="C38" s="3" t="inlineStr">
        <is>
          <t>ACCOUNTING_SERVICES</t>
        </is>
      </c>
      <c r="D3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8" s="3" t="inlineStr">
        <is>
          <t>monthly package</t>
        </is>
      </c>
      <c r="F38" s="3" t="n">
        <v>500</v>
      </c>
      <c r="G38" s="3" t="inlineStr">
        <is>
          <t>2023-10</t>
        </is>
      </c>
      <c r="H38" s="3" t="n">
        <v>500</v>
      </c>
    </row>
    <row r="39" ht="20" customHeight="1">
      <c r="A39" s="3" t="inlineStr">
        <is>
          <t>Accountant</t>
        </is>
      </c>
      <c r="B39" s="3" t="n"/>
      <c r="C39" s="3" t="inlineStr">
        <is>
          <t>ACCOUNTING_SERVICES</t>
        </is>
      </c>
      <c r="D3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9" s="3" t="inlineStr">
        <is>
          <t>monthly package</t>
        </is>
      </c>
      <c r="F39" s="3" t="n">
        <v>500</v>
      </c>
      <c r="G39" s="3" t="inlineStr">
        <is>
          <t>2023-11</t>
        </is>
      </c>
      <c r="H39" s="3" t="n">
        <v>500</v>
      </c>
    </row>
    <row r="40" ht="20" customHeight="1">
      <c r="A40" s="3" t="inlineStr">
        <is>
          <t>Accountant</t>
        </is>
      </c>
      <c r="B40" s="3" t="n"/>
      <c r="C40" s="3" t="inlineStr">
        <is>
          <t>ACCOUNTING_SERVICES</t>
        </is>
      </c>
      <c r="D4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40" s="3" t="inlineStr">
        <is>
          <t>monthly package</t>
        </is>
      </c>
      <c r="F40" s="3" t="n">
        <v>500</v>
      </c>
      <c r="G40" s="3" t="inlineStr">
        <is>
          <t>2023-12</t>
        </is>
      </c>
      <c r="H40" s="3" t="n">
        <v>500</v>
      </c>
    </row>
    <row r="41" ht="20" customHeight="1">
      <c r="A41" s="3" t="inlineStr">
        <is>
          <t>Incorporation butter</t>
        </is>
      </c>
      <c r="B41" s="3" t="inlineStr">
        <is>
          <t>Fats</t>
        </is>
      </c>
      <c r="C41" s="3" t="inlineStr">
        <is>
          <t>BUTTER</t>
        </is>
      </c>
      <c r="D41" s="3" t="inlineStr">
        <is>
          <t xml:space="preserve">INSEE BDM 010763694: Indice de prix de production de l'industrie française pour le marché français − CPF 10.51 − Beurre conditionné </t>
        </is>
      </c>
      <c r="E41" s="3" t="inlineStr">
        <is>
          <t>kg</t>
        </is>
      </c>
      <c r="F41" s="3" t="n">
        <v>5.1</v>
      </c>
      <c r="G41" s="3" t="inlineStr">
        <is>
          <t>2021-01</t>
        </is>
      </c>
      <c r="H41" s="3" t="n">
        <v>5.1</v>
      </c>
    </row>
    <row r="42" ht="20" customHeight="1">
      <c r="A42" s="3" t="inlineStr">
        <is>
          <t>Incorporation butter</t>
        </is>
      </c>
      <c r="B42" s="3" t="inlineStr">
        <is>
          <t>Fats</t>
        </is>
      </c>
      <c r="C42" s="3" t="inlineStr">
        <is>
          <t>BUTTER</t>
        </is>
      </c>
      <c r="D42" s="3" t="inlineStr">
        <is>
          <t xml:space="preserve">INSEE BDM 010763694: Indice de prix de production de l'industrie française pour le marché français − CPF 10.51 − Beurre conditionné </t>
        </is>
      </c>
      <c r="E42" s="3" t="inlineStr">
        <is>
          <t>kg</t>
        </is>
      </c>
      <c r="F42" s="3" t="n">
        <v>5.1</v>
      </c>
      <c r="G42" s="3" t="inlineStr">
        <is>
          <t>2021-02</t>
        </is>
      </c>
      <c r="H42" s="3" t="n">
        <v>5.1364</v>
      </c>
    </row>
    <row r="43" ht="20" customHeight="1">
      <c r="A43" s="3" t="inlineStr">
        <is>
          <t>Incorporation butter</t>
        </is>
      </c>
      <c r="B43" s="3" t="inlineStr">
        <is>
          <t>Fats</t>
        </is>
      </c>
      <c r="C43" s="3" t="inlineStr">
        <is>
          <t>BUTTER</t>
        </is>
      </c>
      <c r="D43" s="3" t="inlineStr">
        <is>
          <t xml:space="preserve">INSEE BDM 010763694: Indice de prix de production de l'industrie française pour le marché français − CPF 10.51 − Beurre conditionné </t>
        </is>
      </c>
      <c r="E43" s="3" t="inlineStr">
        <is>
          <t>kg</t>
        </is>
      </c>
      <c r="F43" s="3" t="n">
        <v>5.1</v>
      </c>
      <c r="G43" s="3" t="inlineStr">
        <is>
          <t>2021-03</t>
        </is>
      </c>
      <c r="H43" s="3" t="n">
        <v>5.1364</v>
      </c>
    </row>
    <row r="44" ht="20" customHeight="1">
      <c r="A44" s="3" t="inlineStr">
        <is>
          <t>Incorporation butter</t>
        </is>
      </c>
      <c r="B44" s="3" t="inlineStr">
        <is>
          <t>Fats</t>
        </is>
      </c>
      <c r="C44" s="3" t="inlineStr">
        <is>
          <t>BUTTER</t>
        </is>
      </c>
      <c r="D44" s="3" t="inlineStr">
        <is>
          <t xml:space="preserve">INSEE BDM 010763694: Indice de prix de production de l'industrie française pour le marché français − CPF 10.51 − Beurre conditionné </t>
        </is>
      </c>
      <c r="E44" s="3" t="inlineStr">
        <is>
          <t>kg</t>
        </is>
      </c>
      <c r="F44" s="3" t="n">
        <v>5.1</v>
      </c>
      <c r="G44" s="3" t="inlineStr">
        <is>
          <t>2021-04</t>
        </is>
      </c>
      <c r="H44" s="3" t="n">
        <v>5.204</v>
      </c>
    </row>
    <row r="45" ht="20" customHeight="1">
      <c r="A45" s="3" t="inlineStr">
        <is>
          <t>Incorporation butter</t>
        </is>
      </c>
      <c r="B45" s="3" t="inlineStr">
        <is>
          <t>Fats</t>
        </is>
      </c>
      <c r="C45" s="3" t="inlineStr">
        <is>
          <t>BUTTER</t>
        </is>
      </c>
      <c r="D45" s="3" t="inlineStr">
        <is>
          <t xml:space="preserve">INSEE BDM 010763694: Indice de prix de production de l'industrie française pour le marché français − CPF 10.51 − Beurre conditionné </t>
        </is>
      </c>
      <c r="E45" s="3" t="inlineStr">
        <is>
          <t>kg</t>
        </is>
      </c>
      <c r="F45" s="3" t="n">
        <v>5.1</v>
      </c>
      <c r="G45" s="3" t="inlineStr">
        <is>
          <t>2021-05</t>
        </is>
      </c>
      <c r="H45" s="3" t="n">
        <v>5.1988</v>
      </c>
    </row>
    <row r="46" ht="20" customHeight="1">
      <c r="A46" s="3" t="inlineStr">
        <is>
          <t>Incorporation butter</t>
        </is>
      </c>
      <c r="B46" s="3" t="inlineStr">
        <is>
          <t>Fats</t>
        </is>
      </c>
      <c r="C46" s="3" t="inlineStr">
        <is>
          <t>BUTTER</t>
        </is>
      </c>
      <c r="D46" s="3" t="inlineStr">
        <is>
          <t xml:space="preserve">INSEE BDM 010763694: Indice de prix de production de l'industrie française pour le marché français − CPF 10.51 − Beurre conditionné </t>
        </is>
      </c>
      <c r="E46" s="3" t="inlineStr">
        <is>
          <t>kg</t>
        </is>
      </c>
      <c r="F46" s="3" t="n">
        <v>5.1</v>
      </c>
      <c r="G46" s="3" t="inlineStr">
        <is>
          <t>2021-06</t>
        </is>
      </c>
      <c r="H46" s="3" t="n">
        <v>5.1572</v>
      </c>
    </row>
    <row r="47" ht="20" customHeight="1">
      <c r="A47" s="3" t="inlineStr">
        <is>
          <t>Incorporation butter</t>
        </is>
      </c>
      <c r="B47" s="3" t="inlineStr">
        <is>
          <t>Fats</t>
        </is>
      </c>
      <c r="C47" s="3" t="inlineStr">
        <is>
          <t>BUTTER</t>
        </is>
      </c>
      <c r="D47" s="3" t="inlineStr">
        <is>
          <t xml:space="preserve">INSEE BDM 010763694: Indice de prix de production de l'industrie française pour le marché français − CPF 10.51 − Beurre conditionné </t>
        </is>
      </c>
      <c r="E47" s="3" t="inlineStr">
        <is>
          <t>kg</t>
        </is>
      </c>
      <c r="F47" s="3" t="n">
        <v>5.1</v>
      </c>
      <c r="G47" s="3" t="inlineStr">
        <is>
          <t>2021-07</t>
        </is>
      </c>
      <c r="H47" s="3" t="n">
        <v>5.2196</v>
      </c>
    </row>
    <row r="48" ht="20" customHeight="1">
      <c r="A48" s="3" t="inlineStr">
        <is>
          <t>Incorporation butter</t>
        </is>
      </c>
      <c r="B48" s="3" t="inlineStr">
        <is>
          <t>Fats</t>
        </is>
      </c>
      <c r="C48" s="3" t="inlineStr">
        <is>
          <t>BUTTER</t>
        </is>
      </c>
      <c r="D48" s="3" t="inlineStr">
        <is>
          <t xml:space="preserve">INSEE BDM 010763694: Indice de prix de production de l'industrie française pour le marché français − CPF 10.51 − Beurre conditionné </t>
        </is>
      </c>
      <c r="E48" s="3" t="inlineStr">
        <is>
          <t>kg</t>
        </is>
      </c>
      <c r="F48" s="3" t="n">
        <v>5.1</v>
      </c>
      <c r="G48" s="3" t="inlineStr">
        <is>
          <t>2021-08</t>
        </is>
      </c>
      <c r="H48" s="3" t="n">
        <v>5.1936</v>
      </c>
    </row>
    <row r="49" ht="20" customHeight="1">
      <c r="A49" s="3" t="inlineStr">
        <is>
          <t>Incorporation butter</t>
        </is>
      </c>
      <c r="B49" s="3" t="inlineStr">
        <is>
          <t>Fats</t>
        </is>
      </c>
      <c r="C49" s="3" t="inlineStr">
        <is>
          <t>BUTTER</t>
        </is>
      </c>
      <c r="D49" s="3" t="inlineStr">
        <is>
          <t xml:space="preserve">INSEE BDM 010763694: Indice de prix de production de l'industrie française pour le marché français − CPF 10.51 − Beurre conditionné </t>
        </is>
      </c>
      <c r="E49" s="3" t="inlineStr">
        <is>
          <t>kg</t>
        </is>
      </c>
      <c r="F49" s="3" t="n">
        <v>5.1</v>
      </c>
      <c r="G49" s="3" t="inlineStr">
        <is>
          <t>2021-09</t>
        </is>
      </c>
      <c r="H49" s="3" t="n">
        <v>5.178</v>
      </c>
    </row>
    <row r="50" ht="20" customHeight="1">
      <c r="A50" s="3" t="inlineStr">
        <is>
          <t>Incorporation butter</t>
        </is>
      </c>
      <c r="B50" s="3" t="inlineStr">
        <is>
          <t>Fats</t>
        </is>
      </c>
      <c r="C50" s="3" t="inlineStr">
        <is>
          <t>BUTTER</t>
        </is>
      </c>
      <c r="D50" s="3" t="inlineStr">
        <is>
          <t xml:space="preserve">INSEE BDM 010763694: Indice de prix de production de l'industrie française pour le marché français − CPF 10.51 − Beurre conditionné </t>
        </is>
      </c>
      <c r="E50" s="3" t="inlineStr">
        <is>
          <t>kg</t>
        </is>
      </c>
      <c r="F50" s="3" t="n">
        <v>5.1</v>
      </c>
      <c r="G50" s="3" t="inlineStr">
        <is>
          <t>2021-10</t>
        </is>
      </c>
      <c r="H50" s="3" t="n">
        <v>5.2248</v>
      </c>
    </row>
    <row r="51" ht="20" customHeight="1">
      <c r="A51" s="3" t="inlineStr">
        <is>
          <t>Incorporation butter</t>
        </is>
      </c>
      <c r="B51" s="3" t="inlineStr">
        <is>
          <t>Fats</t>
        </is>
      </c>
      <c r="C51" s="3" t="inlineStr">
        <is>
          <t>BUTTER</t>
        </is>
      </c>
      <c r="D51" s="3" t="inlineStr">
        <is>
          <t xml:space="preserve">INSEE BDM 010763694: Indice de prix de production de l'industrie française pour le marché français − CPF 10.51 − Beurre conditionné </t>
        </is>
      </c>
      <c r="E51" s="3" t="inlineStr">
        <is>
          <t>kg</t>
        </is>
      </c>
      <c r="F51" s="3" t="n">
        <v>5.1</v>
      </c>
      <c r="G51" s="3" t="inlineStr">
        <is>
          <t>2021-11</t>
        </is>
      </c>
      <c r="H51" s="3" t="n">
        <v>5.256</v>
      </c>
    </row>
    <row r="52" ht="20" customHeight="1">
      <c r="A52" s="3" t="inlineStr">
        <is>
          <t>Incorporation butter</t>
        </is>
      </c>
      <c r="B52" s="3" t="inlineStr">
        <is>
          <t>Fats</t>
        </is>
      </c>
      <c r="C52" s="3" t="inlineStr">
        <is>
          <t>BUTTER</t>
        </is>
      </c>
      <c r="D52" s="3" t="inlineStr">
        <is>
          <t xml:space="preserve">INSEE BDM 010763694: Indice de prix de production de l'industrie française pour le marché français − CPF 10.51 − Beurre conditionné </t>
        </is>
      </c>
      <c r="E52" s="3" t="inlineStr">
        <is>
          <t>kg</t>
        </is>
      </c>
      <c r="F52" s="3" t="n">
        <v>5.1</v>
      </c>
      <c r="G52" s="3" t="inlineStr">
        <is>
          <t>2021-12</t>
        </is>
      </c>
      <c r="H52" s="3" t="n">
        <v>5.3807</v>
      </c>
    </row>
    <row r="53" ht="20" customHeight="1">
      <c r="A53" s="3" t="inlineStr">
        <is>
          <t>Incorporation butter</t>
        </is>
      </c>
      <c r="B53" s="3" t="inlineStr">
        <is>
          <t>Fats</t>
        </is>
      </c>
      <c r="C53" s="3" t="inlineStr">
        <is>
          <t>BUTTER</t>
        </is>
      </c>
      <c r="D53" s="3" t="inlineStr">
        <is>
          <t xml:space="preserve">INSEE BDM 010763694: Indice de prix de production de l'industrie française pour le marché français − CPF 10.51 − Beurre conditionné </t>
        </is>
      </c>
      <c r="E53" s="3" t="inlineStr">
        <is>
          <t>kg</t>
        </is>
      </c>
      <c r="F53" s="3" t="n">
        <v>5.1</v>
      </c>
      <c r="G53" s="3" t="inlineStr">
        <is>
          <t>2022-01</t>
        </is>
      </c>
      <c r="H53" s="3" t="n">
        <v>5.4327</v>
      </c>
    </row>
    <row r="54" ht="20" customHeight="1">
      <c r="A54" s="3" t="inlineStr">
        <is>
          <t>Incorporation butter</t>
        </is>
      </c>
      <c r="B54" s="3" t="inlineStr">
        <is>
          <t>Fats</t>
        </is>
      </c>
      <c r="C54" s="3" t="inlineStr">
        <is>
          <t>BUTTER</t>
        </is>
      </c>
      <c r="D54" s="3" t="inlineStr">
        <is>
          <t xml:space="preserve">INSEE BDM 010763694: Indice de prix de production de l'industrie française pour le marché français − CPF 10.51 − Beurre conditionné </t>
        </is>
      </c>
      <c r="E54" s="3" t="inlineStr">
        <is>
          <t>kg</t>
        </is>
      </c>
      <c r="F54" s="3" t="n">
        <v>5.1</v>
      </c>
      <c r="G54" s="3" t="inlineStr">
        <is>
          <t>2022-02</t>
        </is>
      </c>
      <c r="H54" s="3" t="n">
        <v>5.4639</v>
      </c>
    </row>
    <row r="55" ht="20" customHeight="1">
      <c r="A55" s="3" t="inlineStr">
        <is>
          <t>Incorporation butter</t>
        </is>
      </c>
      <c r="B55" s="3" t="inlineStr">
        <is>
          <t>Fats</t>
        </is>
      </c>
      <c r="C55" s="3" t="inlineStr">
        <is>
          <t>BUTTER</t>
        </is>
      </c>
      <c r="D55" s="3" t="inlineStr">
        <is>
          <t xml:space="preserve">INSEE BDM 010763694: Indice de prix de production de l'industrie française pour le marché français − CPF 10.51 − Beurre conditionné </t>
        </is>
      </c>
      <c r="E55" s="3" t="inlineStr">
        <is>
          <t>kg</t>
        </is>
      </c>
      <c r="F55" s="3" t="n">
        <v>5.1</v>
      </c>
      <c r="G55" s="3" t="inlineStr">
        <is>
          <t>2022-03</t>
        </is>
      </c>
      <c r="H55" s="3" t="n">
        <v>5.6979</v>
      </c>
    </row>
    <row r="56" ht="20" customHeight="1">
      <c r="A56" s="3" t="inlineStr">
        <is>
          <t>Incorporation butter</t>
        </is>
      </c>
      <c r="B56" s="3" t="inlineStr">
        <is>
          <t>Fats</t>
        </is>
      </c>
      <c r="C56" s="3" t="inlineStr">
        <is>
          <t>BUTTER</t>
        </is>
      </c>
      <c r="D56" s="3" t="inlineStr">
        <is>
          <t xml:space="preserve">INSEE BDM 010763694: Indice de prix de production de l'industrie française pour le marché français − CPF 10.51 − Beurre conditionné </t>
        </is>
      </c>
      <c r="E56" s="3" t="inlineStr">
        <is>
          <t>kg</t>
        </is>
      </c>
      <c r="F56" s="3" t="n">
        <v>5.1</v>
      </c>
      <c r="G56" s="3" t="inlineStr">
        <is>
          <t>2022-04</t>
        </is>
      </c>
      <c r="H56" s="3" t="n">
        <v>5.8486</v>
      </c>
    </row>
    <row r="57" ht="20" customHeight="1">
      <c r="A57" s="3" t="inlineStr">
        <is>
          <t>Incorporation butter</t>
        </is>
      </c>
      <c r="B57" s="3" t="inlineStr">
        <is>
          <t>Fats</t>
        </is>
      </c>
      <c r="C57" s="3" t="inlineStr">
        <is>
          <t>BUTTER</t>
        </is>
      </c>
      <c r="D57" s="3" t="inlineStr">
        <is>
          <t xml:space="preserve">INSEE BDM 010763694: Indice de prix de production de l'industrie française pour le marché français − CPF 10.51 − Beurre conditionné </t>
        </is>
      </c>
      <c r="E57" s="3" t="inlineStr">
        <is>
          <t>kg</t>
        </is>
      </c>
      <c r="F57" s="3" t="n">
        <v>5.1</v>
      </c>
      <c r="G57" s="3" t="inlineStr">
        <is>
          <t>2022-05</t>
        </is>
      </c>
      <c r="H57" s="3" t="n">
        <v>5.937</v>
      </c>
    </row>
    <row r="58" ht="20" customHeight="1">
      <c r="A58" s="3" t="inlineStr">
        <is>
          <t>Incorporation butter</t>
        </is>
      </c>
      <c r="B58" s="3" t="inlineStr">
        <is>
          <t>Fats</t>
        </is>
      </c>
      <c r="C58" s="3" t="inlineStr">
        <is>
          <t>BUTTER</t>
        </is>
      </c>
      <c r="D58" s="3" t="inlineStr">
        <is>
          <t xml:space="preserve">INSEE BDM 010763694: Indice de prix de production de l'industrie française pour le marché français − CPF 10.51 − Beurre conditionné </t>
        </is>
      </c>
      <c r="E58" s="3" t="inlineStr">
        <is>
          <t>kg</t>
        </is>
      </c>
      <c r="F58" s="3" t="n">
        <v>5.1</v>
      </c>
      <c r="G58" s="3" t="inlineStr">
        <is>
          <t>2022-06</t>
        </is>
      </c>
      <c r="H58" s="3" t="n">
        <v>5.9994</v>
      </c>
    </row>
    <row r="59" ht="20" customHeight="1">
      <c r="A59" s="3" t="inlineStr">
        <is>
          <t>Incorporation butter</t>
        </is>
      </c>
      <c r="B59" s="3" t="inlineStr">
        <is>
          <t>Fats</t>
        </is>
      </c>
      <c r="C59" s="3" t="inlineStr">
        <is>
          <t>BUTTER</t>
        </is>
      </c>
      <c r="D59" s="3" t="inlineStr">
        <is>
          <t xml:space="preserve">INSEE BDM 010763694: Indice de prix de production de l'industrie française pour le marché français − CPF 10.51 − Beurre conditionné </t>
        </is>
      </c>
      <c r="E59" s="3" t="inlineStr">
        <is>
          <t>kg</t>
        </is>
      </c>
      <c r="F59" s="3" t="n">
        <v>5.1</v>
      </c>
      <c r="G59" s="3" t="inlineStr">
        <is>
          <t>2022-07</t>
        </is>
      </c>
      <c r="H59" s="3" t="n">
        <v>6.3581</v>
      </c>
    </row>
    <row r="60" ht="20" customHeight="1">
      <c r="A60" s="3" t="inlineStr">
        <is>
          <t>Incorporation butter</t>
        </is>
      </c>
      <c r="B60" s="3" t="inlineStr">
        <is>
          <t>Fats</t>
        </is>
      </c>
      <c r="C60" s="3" t="inlineStr">
        <is>
          <t>BUTTER</t>
        </is>
      </c>
      <c r="D60" s="3" t="inlineStr">
        <is>
          <t xml:space="preserve">INSEE BDM 010763694: Indice de prix de production de l'industrie française pour le marché français − CPF 10.51 − Beurre conditionné </t>
        </is>
      </c>
      <c r="E60" s="3" t="inlineStr">
        <is>
          <t>kg</t>
        </is>
      </c>
      <c r="F60" s="3" t="n">
        <v>5.1</v>
      </c>
      <c r="G60" s="3" t="inlineStr">
        <is>
          <t>2022-08</t>
        </is>
      </c>
      <c r="H60" s="3" t="n">
        <v>6.3893</v>
      </c>
    </row>
    <row r="61" ht="20" customHeight="1">
      <c r="A61" s="3" t="inlineStr">
        <is>
          <t>Incorporation butter</t>
        </is>
      </c>
      <c r="B61" s="3" t="inlineStr">
        <is>
          <t>Fats</t>
        </is>
      </c>
      <c r="C61" s="3" t="inlineStr">
        <is>
          <t>BUTTER</t>
        </is>
      </c>
      <c r="D61" s="3" t="inlineStr">
        <is>
          <t xml:space="preserve">INSEE BDM 010763694: Indice de prix de production de l'industrie française pour le marché français − CPF 10.51 − Beurre conditionné </t>
        </is>
      </c>
      <c r="E61" s="3" t="inlineStr">
        <is>
          <t>kg</t>
        </is>
      </c>
      <c r="F61" s="3" t="n">
        <v>5.1</v>
      </c>
      <c r="G61" s="3" t="inlineStr">
        <is>
          <t>2022-09</t>
        </is>
      </c>
      <c r="H61" s="3" t="n">
        <v>6.4881</v>
      </c>
    </row>
    <row r="62" ht="20" customHeight="1">
      <c r="A62" s="3" t="inlineStr">
        <is>
          <t>Incorporation butter</t>
        </is>
      </c>
      <c r="B62" s="3" t="inlineStr">
        <is>
          <t>Fats</t>
        </is>
      </c>
      <c r="C62" s="3" t="inlineStr">
        <is>
          <t>BUTTER</t>
        </is>
      </c>
      <c r="D62" s="3" t="inlineStr">
        <is>
          <t xml:space="preserve">INSEE BDM 010763694: Indice de prix de production de l'industrie française pour le marché français − CPF 10.51 − Beurre conditionné </t>
        </is>
      </c>
      <c r="E62" s="3" t="inlineStr">
        <is>
          <t>kg</t>
        </is>
      </c>
      <c r="F62" s="3" t="n">
        <v>5.1</v>
      </c>
      <c r="G62" s="3" t="inlineStr">
        <is>
          <t>2022-10</t>
        </is>
      </c>
      <c r="H62" s="3" t="n">
        <v>6.4569</v>
      </c>
    </row>
    <row r="63" ht="20" customHeight="1">
      <c r="A63" s="3" t="inlineStr">
        <is>
          <t>Incorporation butter</t>
        </is>
      </c>
      <c r="B63" s="3" t="inlineStr">
        <is>
          <t>Fats</t>
        </is>
      </c>
      <c r="C63" s="3" t="inlineStr">
        <is>
          <t>BUTTER</t>
        </is>
      </c>
      <c r="D63" s="3" t="inlineStr">
        <is>
          <t xml:space="preserve">INSEE BDM 010763694: Indice de prix de production de l'industrie française pour le marché français − CPF 10.51 − Beurre conditionné </t>
        </is>
      </c>
      <c r="E63" s="3" t="inlineStr">
        <is>
          <t>kg</t>
        </is>
      </c>
      <c r="F63" s="3" t="n">
        <v>5.1</v>
      </c>
      <c r="G63" s="3" t="inlineStr">
        <is>
          <t>2022-11</t>
        </is>
      </c>
      <c r="H63" s="3" t="n">
        <v>6.3945</v>
      </c>
    </row>
    <row r="64" ht="20" customHeight="1">
      <c r="A64" s="3" t="inlineStr">
        <is>
          <t>Incorporation butter</t>
        </is>
      </c>
      <c r="B64" s="3" t="inlineStr">
        <is>
          <t>Fats</t>
        </is>
      </c>
      <c r="C64" s="3" t="inlineStr">
        <is>
          <t>BUTTER</t>
        </is>
      </c>
      <c r="D64" s="3" t="inlineStr">
        <is>
          <t xml:space="preserve">INSEE BDM 010763694: Indice de prix de production de l'industrie française pour le marché français − CPF 10.51 − Beurre conditionné </t>
        </is>
      </c>
      <c r="E64" s="3" t="inlineStr">
        <is>
          <t>kg</t>
        </is>
      </c>
      <c r="F64" s="3" t="n">
        <v>5.1</v>
      </c>
      <c r="G64" s="3" t="inlineStr">
        <is>
          <t>2022-12</t>
        </is>
      </c>
      <c r="H64" s="3" t="n">
        <v>6.4985</v>
      </c>
    </row>
    <row r="65" ht="20" customHeight="1">
      <c r="A65" s="3" t="inlineStr">
        <is>
          <t>Incorporation butter</t>
        </is>
      </c>
      <c r="B65" s="3" t="inlineStr">
        <is>
          <t>Fats</t>
        </is>
      </c>
      <c r="C65" s="3" t="inlineStr">
        <is>
          <t>BUTTER</t>
        </is>
      </c>
      <c r="D65" s="3" t="inlineStr">
        <is>
          <t xml:space="preserve">INSEE BDM 010763694: Indice de prix de production de l'industrie française pour le marché français − CPF 10.51 − Beurre conditionné </t>
        </is>
      </c>
      <c r="E65" s="3" t="inlineStr">
        <is>
          <t>kg</t>
        </is>
      </c>
      <c r="F65" s="3" t="n">
        <v>5.1</v>
      </c>
      <c r="G65" s="3" t="inlineStr">
        <is>
          <t>2023-01</t>
        </is>
      </c>
      <c r="H65" s="3" t="n">
        <v>6.5505</v>
      </c>
    </row>
    <row r="66" ht="20" customHeight="1">
      <c r="A66" s="3" t="inlineStr">
        <is>
          <t>Incorporation butter</t>
        </is>
      </c>
      <c r="B66" s="3" t="inlineStr">
        <is>
          <t>Fats</t>
        </is>
      </c>
      <c r="C66" s="3" t="inlineStr">
        <is>
          <t>BUTTER</t>
        </is>
      </c>
      <c r="D66" s="3" t="inlineStr">
        <is>
          <t xml:space="preserve">INSEE BDM 010763694: Indice de prix de production de l'industrie française pour le marché français − CPF 10.51 − Beurre conditionné </t>
        </is>
      </c>
      <c r="E66" s="3" t="inlineStr">
        <is>
          <t>kg</t>
        </is>
      </c>
      <c r="F66" s="3" t="n">
        <v>5.1</v>
      </c>
      <c r="G66" s="3" t="inlineStr">
        <is>
          <t>2023-02</t>
        </is>
      </c>
      <c r="H66" s="3" t="n">
        <v>6.5245</v>
      </c>
    </row>
    <row r="67" ht="20" customHeight="1">
      <c r="A67" s="3" t="inlineStr">
        <is>
          <t>Incorporation butter</t>
        </is>
      </c>
      <c r="B67" s="3" t="inlineStr">
        <is>
          <t>Fats</t>
        </is>
      </c>
      <c r="C67" s="3" t="inlineStr">
        <is>
          <t>BUTTER</t>
        </is>
      </c>
      <c r="D67" s="3" t="inlineStr">
        <is>
          <t xml:space="preserve">INSEE BDM 010763694: Indice de prix de production de l'industrie française pour le marché français − CPF 10.51 − Beurre conditionné </t>
        </is>
      </c>
      <c r="E67" s="3" t="inlineStr">
        <is>
          <t>kg</t>
        </is>
      </c>
      <c r="F67" s="3" t="n">
        <v>5.1</v>
      </c>
      <c r="G67" s="3" t="inlineStr">
        <is>
          <t>2023-03</t>
        </is>
      </c>
      <c r="H67" s="3" t="n">
        <v>6.7376</v>
      </c>
    </row>
    <row r="68" ht="20" customHeight="1">
      <c r="A68" s="3" t="inlineStr">
        <is>
          <t>Incorporation butter</t>
        </is>
      </c>
      <c r="B68" s="3" t="inlineStr">
        <is>
          <t>Fats</t>
        </is>
      </c>
      <c r="C68" s="3" t="inlineStr">
        <is>
          <t>BUTTER</t>
        </is>
      </c>
      <c r="D68" s="3" t="inlineStr">
        <is>
          <t xml:space="preserve">INSEE BDM 010763694: Indice de prix de production de l'industrie française pour le marché français − CPF 10.51 − Beurre conditionné </t>
        </is>
      </c>
      <c r="E68" s="3" t="inlineStr">
        <is>
          <t>kg</t>
        </is>
      </c>
      <c r="F68" s="3" t="n">
        <v>5.1</v>
      </c>
      <c r="G68" s="3" t="inlineStr">
        <is>
          <t>2023-04</t>
        </is>
      </c>
      <c r="H68" s="3" t="n">
        <v>6.8624</v>
      </c>
    </row>
    <row r="69" ht="20" customHeight="1">
      <c r="A69" s="3" t="inlineStr">
        <is>
          <t>Incorporation butter</t>
        </is>
      </c>
      <c r="B69" s="3" t="inlineStr">
        <is>
          <t>Fats</t>
        </is>
      </c>
      <c r="C69" s="3" t="inlineStr">
        <is>
          <t>BUTTER</t>
        </is>
      </c>
      <c r="D69" s="3" t="inlineStr">
        <is>
          <t xml:space="preserve">INSEE BDM 010763694: Indice de prix de production de l'industrie française pour le marché français − CPF 10.51 − Beurre conditionné </t>
        </is>
      </c>
      <c r="E69" s="3" t="inlineStr">
        <is>
          <t>kg</t>
        </is>
      </c>
      <c r="F69" s="3" t="n">
        <v>5.1</v>
      </c>
      <c r="G69" s="3" t="inlineStr">
        <is>
          <t>2023-05</t>
        </is>
      </c>
      <c r="H69" s="3" t="n">
        <v>6.852</v>
      </c>
    </row>
    <row r="70" ht="20" customHeight="1">
      <c r="A70" s="3" t="inlineStr">
        <is>
          <t>Incorporation butter</t>
        </is>
      </c>
      <c r="B70" s="3" t="inlineStr">
        <is>
          <t>Fats</t>
        </is>
      </c>
      <c r="C70" s="3" t="inlineStr">
        <is>
          <t>BUTTER</t>
        </is>
      </c>
      <c r="D70" s="3" t="inlineStr">
        <is>
          <t xml:space="preserve">INSEE BDM 010763694: Indice de prix de production de l'industrie française pour le marché français − CPF 10.51 − Beurre conditionné </t>
        </is>
      </c>
      <c r="E70" s="3" t="inlineStr">
        <is>
          <t>kg</t>
        </is>
      </c>
      <c r="F70" s="3" t="n">
        <v>5.1</v>
      </c>
      <c r="G70" s="3" t="inlineStr">
        <is>
          <t>2023-06</t>
        </is>
      </c>
      <c r="H70" s="3" t="n">
        <v>6.7532</v>
      </c>
    </row>
    <row r="71" ht="20" customHeight="1">
      <c r="A71" s="3" t="inlineStr">
        <is>
          <t>Incorporation butter</t>
        </is>
      </c>
      <c r="B71" s="3" t="inlineStr">
        <is>
          <t>Fats</t>
        </is>
      </c>
      <c r="C71" s="3" t="inlineStr">
        <is>
          <t>BUTTER</t>
        </is>
      </c>
      <c r="D71" s="3" t="inlineStr">
        <is>
          <t xml:space="preserve">INSEE BDM 010763694: Indice de prix de production de l'industrie française pour le marché français − CPF 10.51 − Beurre conditionné </t>
        </is>
      </c>
      <c r="E71" s="3" t="inlineStr">
        <is>
          <t>kg</t>
        </is>
      </c>
      <c r="F71" s="3" t="n">
        <v>5.1</v>
      </c>
      <c r="G71" s="3" t="inlineStr">
        <is>
          <t>2023-07</t>
        </is>
      </c>
      <c r="H71" s="3" t="n">
        <v>6.7168</v>
      </c>
    </row>
    <row r="72" ht="20" customHeight="1">
      <c r="A72" s="3" t="inlineStr">
        <is>
          <t>Incorporation butter</t>
        </is>
      </c>
      <c r="B72" s="3" t="inlineStr">
        <is>
          <t>Fats</t>
        </is>
      </c>
      <c r="C72" s="3" t="inlineStr">
        <is>
          <t>BUTTER</t>
        </is>
      </c>
      <c r="D72" s="3" t="inlineStr">
        <is>
          <t xml:space="preserve">INSEE BDM 010763694: Indice de prix de production de l'industrie française pour le marché français − CPF 10.51 − Beurre conditionné </t>
        </is>
      </c>
      <c r="E72" s="3" t="inlineStr">
        <is>
          <t>kg</t>
        </is>
      </c>
      <c r="F72" s="3" t="n">
        <v>5.1</v>
      </c>
      <c r="G72" s="3" t="inlineStr">
        <is>
          <t>2023-08</t>
        </is>
      </c>
      <c r="H72" s="3" t="n">
        <v>6.7064</v>
      </c>
    </row>
    <row r="73" ht="20" customHeight="1">
      <c r="A73" s="3" t="inlineStr">
        <is>
          <t>Incorporation butter</t>
        </is>
      </c>
      <c r="B73" s="3" t="inlineStr">
        <is>
          <t>Fats</t>
        </is>
      </c>
      <c r="C73" s="3" t="inlineStr">
        <is>
          <t>BUTTER</t>
        </is>
      </c>
      <c r="D73" s="3" t="inlineStr">
        <is>
          <t xml:space="preserve">INSEE BDM 010763694: Indice de prix de production de l'industrie française pour le marché français − CPF 10.51 − Beurre conditionné </t>
        </is>
      </c>
      <c r="E73" s="3" t="inlineStr">
        <is>
          <t>kg</t>
        </is>
      </c>
      <c r="F73" s="3" t="n">
        <v>5.1</v>
      </c>
      <c r="G73" s="3" t="inlineStr">
        <is>
          <t>2023-09</t>
        </is>
      </c>
      <c r="H73" s="3" t="n">
        <v>6.7012</v>
      </c>
    </row>
    <row r="74" ht="20" customHeight="1">
      <c r="A74" s="3" t="inlineStr">
        <is>
          <t>Incorporation butter</t>
        </is>
      </c>
      <c r="B74" s="3" t="inlineStr">
        <is>
          <t>Fats</t>
        </is>
      </c>
      <c r="C74" s="3" t="inlineStr">
        <is>
          <t>BUTTER</t>
        </is>
      </c>
      <c r="D74" s="3" t="inlineStr">
        <is>
          <t xml:space="preserve">INSEE BDM 010763694: Indice de prix de production de l'industrie française pour le marché français − CPF 10.51 − Beurre conditionné </t>
        </is>
      </c>
      <c r="E74" s="3" t="inlineStr">
        <is>
          <t>kg</t>
        </is>
      </c>
      <c r="F74" s="3" t="n">
        <v>5.1</v>
      </c>
      <c r="G74" s="3" t="inlineStr">
        <is>
          <t>2023-10</t>
        </is>
      </c>
      <c r="H74" s="3" t="n">
        <v>6.7012</v>
      </c>
    </row>
    <row r="75" ht="20" customHeight="1">
      <c r="A75" s="3" t="inlineStr">
        <is>
          <t>Incorporation butter</t>
        </is>
      </c>
      <c r="B75" s="3" t="inlineStr">
        <is>
          <t>Fats</t>
        </is>
      </c>
      <c r="C75" s="3" t="inlineStr">
        <is>
          <t>BUTTER</t>
        </is>
      </c>
      <c r="D75" s="3" t="inlineStr">
        <is>
          <t xml:space="preserve">INSEE BDM 010763694: Indice de prix de production de l'industrie française pour le marché français − CPF 10.51 − Beurre conditionné </t>
        </is>
      </c>
      <c r="E75" s="3" t="inlineStr">
        <is>
          <t>kg</t>
        </is>
      </c>
      <c r="F75" s="3" t="n">
        <v>5.1</v>
      </c>
      <c r="G75" s="3" t="inlineStr">
        <is>
          <t>2023-11</t>
        </is>
      </c>
      <c r="H75" s="3" t="n">
        <v>6.7168</v>
      </c>
    </row>
    <row r="76" ht="20" customHeight="1">
      <c r="A76" s="3" t="inlineStr">
        <is>
          <t>Incorporation butter</t>
        </is>
      </c>
      <c r="B76" s="3" t="inlineStr">
        <is>
          <t>Fats</t>
        </is>
      </c>
      <c r="C76" s="3" t="inlineStr">
        <is>
          <t>BUTTER</t>
        </is>
      </c>
      <c r="D76" s="3" t="inlineStr">
        <is>
          <t xml:space="preserve">INSEE BDM 010763694: Indice de prix de production de l'industrie française pour le marché français − CPF 10.51 − Beurre conditionné </t>
        </is>
      </c>
      <c r="E76" s="3" t="inlineStr">
        <is>
          <t>kg</t>
        </is>
      </c>
      <c r="F76" s="3" t="n">
        <v>5.1</v>
      </c>
      <c r="G76" s="3" t="inlineStr">
        <is>
          <t>2023-12</t>
        </is>
      </c>
      <c r="H76" s="3" t="n">
        <v>6.852</v>
      </c>
    </row>
    <row r="77" ht="20" customHeight="1">
      <c r="A77" s="3" t="inlineStr">
        <is>
          <t>Tourage butter</t>
        </is>
      </c>
      <c r="B77" s="3" t="inlineStr">
        <is>
          <t>Fats</t>
        </is>
      </c>
      <c r="C77" s="3" t="inlineStr">
        <is>
          <t>BUTTER</t>
        </is>
      </c>
      <c r="D77" s="3" t="inlineStr">
        <is>
          <t xml:space="preserve">INSEE BDM 010763694: Indice de prix de production de l'industrie française pour le marché français − CPF 10.51 − Beurre conditionné </t>
        </is>
      </c>
      <c r="E77" s="3" t="inlineStr">
        <is>
          <t>kg</t>
        </is>
      </c>
      <c r="F77" s="3" t="n">
        <v>6.2</v>
      </c>
      <c r="G77" s="3" t="inlineStr">
        <is>
          <t>2021-01</t>
        </is>
      </c>
      <c r="H77" s="3" t="n">
        <v>6.2</v>
      </c>
    </row>
    <row r="78" ht="20" customHeight="1">
      <c r="A78" s="3" t="inlineStr">
        <is>
          <t>Tourage butter</t>
        </is>
      </c>
      <c r="B78" s="3" t="inlineStr">
        <is>
          <t>Fats</t>
        </is>
      </c>
      <c r="C78" s="3" t="inlineStr">
        <is>
          <t>BUTTER</t>
        </is>
      </c>
      <c r="D78" s="3" t="inlineStr">
        <is>
          <t xml:space="preserve">INSEE BDM 010763694: Indice de prix de production de l'industrie française pour le marché français − CPF 10.51 − Beurre conditionné </t>
        </is>
      </c>
      <c r="E78" s="3" t="inlineStr">
        <is>
          <t>kg</t>
        </is>
      </c>
      <c r="F78" s="3" t="n">
        <v>6.2</v>
      </c>
      <c r="G78" s="3" t="inlineStr">
        <is>
          <t>2021-02</t>
        </is>
      </c>
      <c r="H78" s="3" t="n">
        <v>6.2442</v>
      </c>
    </row>
    <row r="79" ht="20" customHeight="1">
      <c r="A79" s="3" t="inlineStr">
        <is>
          <t>Tourage butter</t>
        </is>
      </c>
      <c r="B79" s="3" t="inlineStr">
        <is>
          <t>Fats</t>
        </is>
      </c>
      <c r="C79" s="3" t="inlineStr">
        <is>
          <t>BUTTER</t>
        </is>
      </c>
      <c r="D79" s="3" t="inlineStr">
        <is>
          <t xml:space="preserve">INSEE BDM 010763694: Indice de prix de production de l'industrie française pour le marché français − CPF 10.51 − Beurre conditionné </t>
        </is>
      </c>
      <c r="E79" s="3" t="inlineStr">
        <is>
          <t>kg</t>
        </is>
      </c>
      <c r="F79" s="3" t="n">
        <v>6.2</v>
      </c>
      <c r="G79" s="3" t="inlineStr">
        <is>
          <t>2021-03</t>
        </is>
      </c>
      <c r="H79" s="3" t="n">
        <v>6.2442</v>
      </c>
    </row>
    <row r="80" ht="20" customHeight="1">
      <c r="A80" s="3" t="inlineStr">
        <is>
          <t>Tourage butter</t>
        </is>
      </c>
      <c r="B80" s="3" t="inlineStr">
        <is>
          <t>Fats</t>
        </is>
      </c>
      <c r="C80" s="3" t="inlineStr">
        <is>
          <t>BUTTER</t>
        </is>
      </c>
      <c r="D80" s="3" t="inlineStr">
        <is>
          <t xml:space="preserve">INSEE BDM 010763694: Indice de prix de production de l'industrie française pour le marché français − CPF 10.51 − Beurre conditionné </t>
        </is>
      </c>
      <c r="E80" s="3" t="inlineStr">
        <is>
          <t>kg</t>
        </is>
      </c>
      <c r="F80" s="3" t="n">
        <v>6.2</v>
      </c>
      <c r="G80" s="3" t="inlineStr">
        <is>
          <t>2021-04</t>
        </is>
      </c>
      <c r="H80" s="3" t="n">
        <v>6.3264</v>
      </c>
    </row>
    <row r="81" ht="20" customHeight="1">
      <c r="A81" s="3" t="inlineStr">
        <is>
          <t>Tourage butter</t>
        </is>
      </c>
      <c r="B81" s="3" t="inlineStr">
        <is>
          <t>Fats</t>
        </is>
      </c>
      <c r="C81" s="3" t="inlineStr">
        <is>
          <t>BUTTER</t>
        </is>
      </c>
      <c r="D81" s="3" t="inlineStr">
        <is>
          <t xml:space="preserve">INSEE BDM 010763694: Indice de prix de production de l'industrie française pour le marché français − CPF 10.51 − Beurre conditionné </t>
        </is>
      </c>
      <c r="E81" s="3" t="inlineStr">
        <is>
          <t>kg</t>
        </is>
      </c>
      <c r="F81" s="3" t="n">
        <v>6.2</v>
      </c>
      <c r="G81" s="3" t="inlineStr">
        <is>
          <t>2021-05</t>
        </is>
      </c>
      <c r="H81" s="3" t="n">
        <v>6.3201</v>
      </c>
    </row>
    <row r="82" ht="20" customHeight="1">
      <c r="A82" s="3" t="inlineStr">
        <is>
          <t>Tourage butter</t>
        </is>
      </c>
      <c r="B82" s="3" t="inlineStr">
        <is>
          <t>Fats</t>
        </is>
      </c>
      <c r="C82" s="3" t="inlineStr">
        <is>
          <t>BUTTER</t>
        </is>
      </c>
      <c r="D82" s="3" t="inlineStr">
        <is>
          <t xml:space="preserve">INSEE BDM 010763694: Indice de prix de production de l'industrie française pour le marché français − CPF 10.51 − Beurre conditionné </t>
        </is>
      </c>
      <c r="E82" s="3" t="inlineStr">
        <is>
          <t>kg</t>
        </is>
      </c>
      <c r="F82" s="3" t="n">
        <v>6.2</v>
      </c>
      <c r="G82" s="3" t="inlineStr">
        <is>
          <t>2021-06</t>
        </is>
      </c>
      <c r="H82" s="3" t="n">
        <v>6.2695</v>
      </c>
    </row>
    <row r="83" ht="20" customHeight="1">
      <c r="A83" s="3" t="inlineStr">
        <is>
          <t>Tourage butter</t>
        </is>
      </c>
      <c r="B83" s="3" t="inlineStr">
        <is>
          <t>Fats</t>
        </is>
      </c>
      <c r="C83" s="3" t="inlineStr">
        <is>
          <t>BUTTER</t>
        </is>
      </c>
      <c r="D83" s="3" t="inlineStr">
        <is>
          <t xml:space="preserve">INSEE BDM 010763694: Indice de prix de production de l'industrie française pour le marché français − CPF 10.51 − Beurre conditionné </t>
        </is>
      </c>
      <c r="E83" s="3" t="inlineStr">
        <is>
          <t>kg</t>
        </is>
      </c>
      <c r="F83" s="3" t="n">
        <v>6.2</v>
      </c>
      <c r="G83" s="3" t="inlineStr">
        <is>
          <t>2021-07</t>
        </is>
      </c>
      <c r="H83" s="3" t="n">
        <v>6.3454</v>
      </c>
    </row>
    <row r="84" ht="20" customHeight="1">
      <c r="A84" s="3" t="inlineStr">
        <is>
          <t>Tourage butter</t>
        </is>
      </c>
      <c r="B84" s="3" t="inlineStr">
        <is>
          <t>Fats</t>
        </is>
      </c>
      <c r="C84" s="3" t="inlineStr">
        <is>
          <t>BUTTER</t>
        </is>
      </c>
      <c r="D84" s="3" t="inlineStr">
        <is>
          <t xml:space="preserve">INSEE BDM 010763694: Indice de prix de production de l'industrie française pour le marché français − CPF 10.51 − Beurre conditionné </t>
        </is>
      </c>
      <c r="E84" s="3" t="inlineStr">
        <is>
          <t>kg</t>
        </is>
      </c>
      <c r="F84" s="3" t="n">
        <v>6.2</v>
      </c>
      <c r="G84" s="3" t="inlineStr">
        <is>
          <t>2021-08</t>
        </is>
      </c>
      <c r="H84" s="3" t="n">
        <v>6.3138</v>
      </c>
    </row>
    <row r="85" ht="20" customHeight="1">
      <c r="A85" s="3" t="inlineStr">
        <is>
          <t>Tourage butter</t>
        </is>
      </c>
      <c r="B85" s="3" t="inlineStr">
        <is>
          <t>Fats</t>
        </is>
      </c>
      <c r="C85" s="3" t="inlineStr">
        <is>
          <t>BUTTER</t>
        </is>
      </c>
      <c r="D85" s="3" t="inlineStr">
        <is>
          <t xml:space="preserve">INSEE BDM 010763694: Indice de prix de production de l'industrie française pour le marché français − CPF 10.51 − Beurre conditionné </t>
        </is>
      </c>
      <c r="E85" s="3" t="inlineStr">
        <is>
          <t>kg</t>
        </is>
      </c>
      <c r="F85" s="3" t="n">
        <v>6.2</v>
      </c>
      <c r="G85" s="3" t="inlineStr">
        <is>
          <t>2021-09</t>
        </is>
      </c>
      <c r="H85" s="3" t="n">
        <v>6.2948</v>
      </c>
    </row>
    <row r="86" ht="20" customHeight="1">
      <c r="A86" s="3" t="inlineStr">
        <is>
          <t>Tourage butter</t>
        </is>
      </c>
      <c r="B86" s="3" t="inlineStr">
        <is>
          <t>Fats</t>
        </is>
      </c>
      <c r="C86" s="3" t="inlineStr">
        <is>
          <t>BUTTER</t>
        </is>
      </c>
      <c r="D86" s="3" t="inlineStr">
        <is>
          <t xml:space="preserve">INSEE BDM 010763694: Indice de prix de production de l'industrie française pour le marché français − CPF 10.51 − Beurre conditionné </t>
        </is>
      </c>
      <c r="E86" s="3" t="inlineStr">
        <is>
          <t>kg</t>
        </is>
      </c>
      <c r="F86" s="3" t="n">
        <v>6.2</v>
      </c>
      <c r="G86" s="3" t="inlineStr">
        <is>
          <t>2021-10</t>
        </is>
      </c>
      <c r="H86" s="3" t="n">
        <v>6.3517</v>
      </c>
    </row>
    <row r="87" ht="20" customHeight="1">
      <c r="A87" s="3" t="inlineStr">
        <is>
          <t>Tourage butter</t>
        </is>
      </c>
      <c r="B87" s="3" t="inlineStr">
        <is>
          <t>Fats</t>
        </is>
      </c>
      <c r="C87" s="3" t="inlineStr">
        <is>
          <t>BUTTER</t>
        </is>
      </c>
      <c r="D87" s="3" t="inlineStr">
        <is>
          <t xml:space="preserve">INSEE BDM 010763694: Indice de prix de production de l'industrie française pour le marché français − CPF 10.51 − Beurre conditionné </t>
        </is>
      </c>
      <c r="E87" s="3" t="inlineStr">
        <is>
          <t>kg</t>
        </is>
      </c>
      <c r="F87" s="3" t="n">
        <v>6.2</v>
      </c>
      <c r="G87" s="3" t="inlineStr">
        <is>
          <t>2021-11</t>
        </is>
      </c>
      <c r="H87" s="3" t="n">
        <v>6.3896</v>
      </c>
    </row>
    <row r="88" ht="20" customHeight="1">
      <c r="A88" s="3" t="inlineStr">
        <is>
          <t>Tourage butter</t>
        </is>
      </c>
      <c r="B88" s="3" t="inlineStr">
        <is>
          <t>Fats</t>
        </is>
      </c>
      <c r="C88" s="3" t="inlineStr">
        <is>
          <t>BUTTER</t>
        </is>
      </c>
      <c r="D88" s="3" t="inlineStr">
        <is>
          <t xml:space="preserve">INSEE BDM 010763694: Indice de prix de production de l'industrie française pour le marché français − CPF 10.51 − Beurre conditionné </t>
        </is>
      </c>
      <c r="E88" s="3" t="inlineStr">
        <is>
          <t>kg</t>
        </is>
      </c>
      <c r="F88" s="3" t="n">
        <v>6.2</v>
      </c>
      <c r="G88" s="3" t="inlineStr">
        <is>
          <t>2021-12</t>
        </is>
      </c>
      <c r="H88" s="3" t="n">
        <v>6.5413</v>
      </c>
    </row>
    <row r="89" ht="20" customHeight="1">
      <c r="A89" s="3" t="inlineStr">
        <is>
          <t>Tourage butter</t>
        </is>
      </c>
      <c r="B89" s="3" t="inlineStr">
        <is>
          <t>Fats</t>
        </is>
      </c>
      <c r="C89" s="3" t="inlineStr">
        <is>
          <t>BUTTER</t>
        </is>
      </c>
      <c r="D89" s="3" t="inlineStr">
        <is>
          <t xml:space="preserve">INSEE BDM 010763694: Indice de prix de production de l'industrie française pour le marché français − CPF 10.51 − Beurre conditionné </t>
        </is>
      </c>
      <c r="E89" s="3" t="inlineStr">
        <is>
          <t>kg</t>
        </is>
      </c>
      <c r="F89" s="3" t="n">
        <v>6.2</v>
      </c>
      <c r="G89" s="3" t="inlineStr">
        <is>
          <t>2022-01</t>
        </is>
      </c>
      <c r="H89" s="3" t="n">
        <v>6.6045</v>
      </c>
    </row>
    <row r="90" ht="20" customHeight="1">
      <c r="A90" s="3" t="inlineStr">
        <is>
          <t>Tourage butter</t>
        </is>
      </c>
      <c r="B90" s="3" t="inlineStr">
        <is>
          <t>Fats</t>
        </is>
      </c>
      <c r="C90" s="3" t="inlineStr">
        <is>
          <t>BUTTER</t>
        </is>
      </c>
      <c r="D90" s="3" t="inlineStr">
        <is>
          <t xml:space="preserve">INSEE BDM 010763694: Indice de prix de production de l'industrie française pour le marché français − CPF 10.51 − Beurre conditionné </t>
        </is>
      </c>
      <c r="E90" s="3" t="inlineStr">
        <is>
          <t>kg</t>
        </is>
      </c>
      <c r="F90" s="3" t="n">
        <v>6.2</v>
      </c>
      <c r="G90" s="3" t="inlineStr">
        <is>
          <t>2022-02</t>
        </is>
      </c>
      <c r="H90" s="3" t="n">
        <v>6.6424</v>
      </c>
    </row>
    <row r="91" ht="20" customHeight="1">
      <c r="A91" s="3" t="inlineStr">
        <is>
          <t>Tourage butter</t>
        </is>
      </c>
      <c r="B91" s="3" t="inlineStr">
        <is>
          <t>Fats</t>
        </is>
      </c>
      <c r="C91" s="3" t="inlineStr">
        <is>
          <t>BUTTER</t>
        </is>
      </c>
      <c r="D91" s="3" t="inlineStr">
        <is>
          <t xml:space="preserve">INSEE BDM 010763694: Indice de prix de production de l'industrie française pour le marché français − CPF 10.51 − Beurre conditionné </t>
        </is>
      </c>
      <c r="E91" s="3" t="inlineStr">
        <is>
          <t>kg</t>
        </is>
      </c>
      <c r="F91" s="3" t="n">
        <v>6.2</v>
      </c>
      <c r="G91" s="3" t="inlineStr">
        <is>
          <t>2022-03</t>
        </is>
      </c>
      <c r="H91" s="3" t="n">
        <v>6.9268</v>
      </c>
    </row>
    <row r="92" ht="20" customHeight="1">
      <c r="A92" s="3" t="inlineStr">
        <is>
          <t>Tourage butter</t>
        </is>
      </c>
      <c r="B92" s="3" t="inlineStr">
        <is>
          <t>Fats</t>
        </is>
      </c>
      <c r="C92" s="3" t="inlineStr">
        <is>
          <t>BUTTER</t>
        </is>
      </c>
      <c r="D92" s="3" t="inlineStr">
        <is>
          <t xml:space="preserve">INSEE BDM 010763694: Indice de prix de production de l'industrie française pour le marché français − CPF 10.51 − Beurre conditionné </t>
        </is>
      </c>
      <c r="E92" s="3" t="inlineStr">
        <is>
          <t>kg</t>
        </is>
      </c>
      <c r="F92" s="3" t="n">
        <v>6.2</v>
      </c>
      <c r="G92" s="3" t="inlineStr">
        <is>
          <t>2022-04</t>
        </is>
      </c>
      <c r="H92" s="3" t="n">
        <v>7.1101</v>
      </c>
    </row>
    <row r="93" ht="20" customHeight="1">
      <c r="A93" s="3" t="inlineStr">
        <is>
          <t>Tourage butter</t>
        </is>
      </c>
      <c r="B93" s="3" t="inlineStr">
        <is>
          <t>Fats</t>
        </is>
      </c>
      <c r="C93" s="3" t="inlineStr">
        <is>
          <t>BUTTER</t>
        </is>
      </c>
      <c r="D93" s="3" t="inlineStr">
        <is>
          <t xml:space="preserve">INSEE BDM 010763694: Indice de prix de production de l'industrie française pour le marché français − CPF 10.51 − Beurre conditionné </t>
        </is>
      </c>
      <c r="E93" s="3" t="inlineStr">
        <is>
          <t>kg</t>
        </is>
      </c>
      <c r="F93" s="3" t="n">
        <v>6.2</v>
      </c>
      <c r="G93" s="3" t="inlineStr">
        <is>
          <t>2022-05</t>
        </is>
      </c>
      <c r="H93" s="3" t="n">
        <v>7.2175</v>
      </c>
    </row>
    <row r="94" ht="20" customHeight="1">
      <c r="A94" s="3" t="inlineStr">
        <is>
          <t>Tourage butter</t>
        </is>
      </c>
      <c r="B94" s="3" t="inlineStr">
        <is>
          <t>Fats</t>
        </is>
      </c>
      <c r="C94" s="3" t="inlineStr">
        <is>
          <t>BUTTER</t>
        </is>
      </c>
      <c r="D94" s="3" t="inlineStr">
        <is>
          <t xml:space="preserve">INSEE BDM 010763694: Indice de prix de production de l'industrie française pour le marché français − CPF 10.51 − Beurre conditionné </t>
        </is>
      </c>
      <c r="E94" s="3" t="inlineStr">
        <is>
          <t>kg</t>
        </is>
      </c>
      <c r="F94" s="3" t="n">
        <v>6.2</v>
      </c>
      <c r="G94" s="3" t="inlineStr">
        <is>
          <t>2022-06</t>
        </is>
      </c>
      <c r="H94" s="3" t="n">
        <v>7.2934</v>
      </c>
    </row>
    <row r="95" ht="20" customHeight="1">
      <c r="A95" s="3" t="inlineStr">
        <is>
          <t>Tourage butter</t>
        </is>
      </c>
      <c r="B95" s="3" t="inlineStr">
        <is>
          <t>Fats</t>
        </is>
      </c>
      <c r="C95" s="3" t="inlineStr">
        <is>
          <t>BUTTER</t>
        </is>
      </c>
      <c r="D95" s="3" t="inlineStr">
        <is>
          <t xml:space="preserve">INSEE BDM 010763694: Indice de prix de production de l'industrie française pour le marché français − CPF 10.51 − Beurre conditionné </t>
        </is>
      </c>
      <c r="E95" s="3" t="inlineStr">
        <is>
          <t>kg</t>
        </is>
      </c>
      <c r="F95" s="3" t="n">
        <v>6.2</v>
      </c>
      <c r="G95" s="3" t="inlineStr">
        <is>
          <t>2022-07</t>
        </is>
      </c>
      <c r="H95" s="3" t="n">
        <v>7.7295</v>
      </c>
    </row>
    <row r="96" ht="20" customHeight="1">
      <c r="A96" s="3" t="inlineStr">
        <is>
          <t>Tourage butter</t>
        </is>
      </c>
      <c r="B96" s="3" t="inlineStr">
        <is>
          <t>Fats</t>
        </is>
      </c>
      <c r="C96" s="3" t="inlineStr">
        <is>
          <t>BUTTER</t>
        </is>
      </c>
      <c r="D96" s="3" t="inlineStr">
        <is>
          <t xml:space="preserve">INSEE BDM 010763694: Indice de prix de production de l'industrie française pour le marché français − CPF 10.51 − Beurre conditionné </t>
        </is>
      </c>
      <c r="E96" s="3" t="inlineStr">
        <is>
          <t>kg</t>
        </is>
      </c>
      <c r="F96" s="3" t="n">
        <v>6.2</v>
      </c>
      <c r="G96" s="3" t="inlineStr">
        <is>
          <t>2022-08</t>
        </is>
      </c>
      <c r="H96" s="3" t="n">
        <v>7.7674</v>
      </c>
    </row>
    <row r="97" ht="20" customHeight="1">
      <c r="A97" s="3" t="inlineStr">
        <is>
          <t>Tourage butter</t>
        </is>
      </c>
      <c r="B97" s="3" t="inlineStr">
        <is>
          <t>Fats</t>
        </is>
      </c>
      <c r="C97" s="3" t="inlineStr">
        <is>
          <t>BUTTER</t>
        </is>
      </c>
      <c r="D97" s="3" t="inlineStr">
        <is>
          <t xml:space="preserve">INSEE BDM 010763694: Indice de prix de production de l'industrie française pour le marché français − CPF 10.51 − Beurre conditionné </t>
        </is>
      </c>
      <c r="E97" s="3" t="inlineStr">
        <is>
          <t>kg</t>
        </is>
      </c>
      <c r="F97" s="3" t="n">
        <v>6.2</v>
      </c>
      <c r="G97" s="3" t="inlineStr">
        <is>
          <t>2022-09</t>
        </is>
      </c>
      <c r="H97" s="3" t="n">
        <v>7.8875</v>
      </c>
    </row>
    <row r="98" ht="20" customHeight="1">
      <c r="A98" s="3" t="inlineStr">
        <is>
          <t>Tourage butter</t>
        </is>
      </c>
      <c r="B98" s="3" t="inlineStr">
        <is>
          <t>Fats</t>
        </is>
      </c>
      <c r="C98" s="3" t="inlineStr">
        <is>
          <t>BUTTER</t>
        </is>
      </c>
      <c r="D98" s="3" t="inlineStr">
        <is>
          <t xml:space="preserve">INSEE BDM 010763694: Indice de prix de production de l'industrie française pour le marché français − CPF 10.51 − Beurre conditionné </t>
        </is>
      </c>
      <c r="E98" s="3" t="inlineStr">
        <is>
          <t>kg</t>
        </is>
      </c>
      <c r="F98" s="3" t="n">
        <v>6.2</v>
      </c>
      <c r="G98" s="3" t="inlineStr">
        <is>
          <t>2022-10</t>
        </is>
      </c>
      <c r="H98" s="3" t="n">
        <v>7.8495</v>
      </c>
    </row>
    <row r="99" ht="20" customHeight="1">
      <c r="A99" s="3" t="inlineStr">
        <is>
          <t>Tourage butter</t>
        </is>
      </c>
      <c r="B99" s="3" t="inlineStr">
        <is>
          <t>Fats</t>
        </is>
      </c>
      <c r="C99" s="3" t="inlineStr">
        <is>
          <t>BUTTER</t>
        </is>
      </c>
      <c r="D99" s="3" t="inlineStr">
        <is>
          <t xml:space="preserve">INSEE BDM 010763694: Indice de prix de production de l'industrie française pour le marché français − CPF 10.51 − Beurre conditionné </t>
        </is>
      </c>
      <c r="E99" s="3" t="inlineStr">
        <is>
          <t>kg</t>
        </is>
      </c>
      <c r="F99" s="3" t="n">
        <v>6.2</v>
      </c>
      <c r="G99" s="3" t="inlineStr">
        <is>
          <t>2022-11</t>
        </is>
      </c>
      <c r="H99" s="3" t="n">
        <v>7.7737</v>
      </c>
    </row>
    <row r="100" ht="20" customHeight="1">
      <c r="A100" s="3" t="inlineStr">
        <is>
          <t>Tourage butter</t>
        </is>
      </c>
      <c r="B100" s="3" t="inlineStr">
        <is>
          <t>Fats</t>
        </is>
      </c>
      <c r="C100" s="3" t="inlineStr">
        <is>
          <t>BUTTER</t>
        </is>
      </c>
      <c r="D100" s="3" t="inlineStr">
        <is>
          <t xml:space="preserve">INSEE BDM 010763694: Indice de prix de production de l'industrie française pour le marché français − CPF 10.51 − Beurre conditionné </t>
        </is>
      </c>
      <c r="E100" s="3" t="inlineStr">
        <is>
          <t>kg</t>
        </is>
      </c>
      <c r="F100" s="3" t="n">
        <v>6.2</v>
      </c>
      <c r="G100" s="3" t="inlineStr">
        <is>
          <t>2022-12</t>
        </is>
      </c>
      <c r="H100" s="3" t="n">
        <v>7.9001</v>
      </c>
    </row>
    <row r="101" ht="20" customHeight="1">
      <c r="A101" s="3" t="inlineStr">
        <is>
          <t>Tourage butter</t>
        </is>
      </c>
      <c r="B101" s="3" t="inlineStr">
        <is>
          <t>Fats</t>
        </is>
      </c>
      <c r="C101" s="3" t="inlineStr">
        <is>
          <t>BUTTER</t>
        </is>
      </c>
      <c r="D101" s="3" t="inlineStr">
        <is>
          <t xml:space="preserve">INSEE BDM 010763694: Indice de prix de production de l'industrie française pour le marché français − CPF 10.51 − Beurre conditionné </t>
        </is>
      </c>
      <c r="E101" s="3" t="inlineStr">
        <is>
          <t>kg</t>
        </is>
      </c>
      <c r="F101" s="3" t="n">
        <v>6.2</v>
      </c>
      <c r="G101" s="3" t="inlineStr">
        <is>
          <t>2023-01</t>
        </is>
      </c>
      <c r="H101" s="3" t="n">
        <v>7.9633</v>
      </c>
    </row>
    <row r="102" ht="20" customHeight="1">
      <c r="A102" s="3" t="inlineStr">
        <is>
          <t>Tourage butter</t>
        </is>
      </c>
      <c r="B102" s="3" t="inlineStr">
        <is>
          <t>Fats</t>
        </is>
      </c>
      <c r="C102" s="3" t="inlineStr">
        <is>
          <t>BUTTER</t>
        </is>
      </c>
      <c r="D102" s="3" t="inlineStr">
        <is>
          <t xml:space="preserve">INSEE BDM 010763694: Indice de prix de production de l'industrie française pour le marché français − CPF 10.51 − Beurre conditionné </t>
        </is>
      </c>
      <c r="E102" s="3" t="inlineStr">
        <is>
          <t>kg</t>
        </is>
      </c>
      <c r="F102" s="3" t="n">
        <v>6.2</v>
      </c>
      <c r="G102" s="3" t="inlineStr">
        <is>
          <t>2023-02</t>
        </is>
      </c>
      <c r="H102" s="3" t="n">
        <v>7.9317</v>
      </c>
    </row>
    <row r="103" ht="20" customHeight="1">
      <c r="A103" s="3" t="inlineStr">
        <is>
          <t>Tourage butter</t>
        </is>
      </c>
      <c r="B103" s="3" t="inlineStr">
        <is>
          <t>Fats</t>
        </is>
      </c>
      <c r="C103" s="3" t="inlineStr">
        <is>
          <t>BUTTER</t>
        </is>
      </c>
      <c r="D103" s="3" t="inlineStr">
        <is>
          <t xml:space="preserve">INSEE BDM 010763694: Indice de prix de production de l'industrie française pour le marché français − CPF 10.51 − Beurre conditionné </t>
        </is>
      </c>
      <c r="E103" s="3" t="inlineStr">
        <is>
          <t>kg</t>
        </is>
      </c>
      <c r="F103" s="3" t="n">
        <v>6.2</v>
      </c>
      <c r="G103" s="3" t="inlineStr">
        <is>
          <t>2023-03</t>
        </is>
      </c>
      <c r="H103" s="3" t="n">
        <v>8.190799999999999</v>
      </c>
    </row>
    <row r="104" ht="20" customHeight="1">
      <c r="A104" s="3" t="inlineStr">
        <is>
          <t>Tourage butter</t>
        </is>
      </c>
      <c r="B104" s="3" t="inlineStr">
        <is>
          <t>Fats</t>
        </is>
      </c>
      <c r="C104" s="3" t="inlineStr">
        <is>
          <t>BUTTER</t>
        </is>
      </c>
      <c r="D104" s="3" t="inlineStr">
        <is>
          <t xml:space="preserve">INSEE BDM 010763694: Indice de prix de production de l'industrie française pour le marché français − CPF 10.51 − Beurre conditionné </t>
        </is>
      </c>
      <c r="E104" s="3" t="inlineStr">
        <is>
          <t>kg</t>
        </is>
      </c>
      <c r="F104" s="3" t="n">
        <v>6.2</v>
      </c>
      <c r="G104" s="3" t="inlineStr">
        <is>
          <t>2023-04</t>
        </is>
      </c>
      <c r="H104" s="3" t="n">
        <v>8.342499999999999</v>
      </c>
    </row>
    <row r="105" ht="20" customHeight="1">
      <c r="A105" s="3" t="inlineStr">
        <is>
          <t>Tourage butter</t>
        </is>
      </c>
      <c r="B105" s="3" t="inlineStr">
        <is>
          <t>Fats</t>
        </is>
      </c>
      <c r="C105" s="3" t="inlineStr">
        <is>
          <t>BUTTER</t>
        </is>
      </c>
      <c r="D105" s="3" t="inlineStr">
        <is>
          <t xml:space="preserve">INSEE BDM 010763694: Indice de prix de production de l'industrie française pour le marché français − CPF 10.51 − Beurre conditionné </t>
        </is>
      </c>
      <c r="E105" s="3" t="inlineStr">
        <is>
          <t>kg</t>
        </is>
      </c>
      <c r="F105" s="3" t="n">
        <v>6.2</v>
      </c>
      <c r="G105" s="3" t="inlineStr">
        <is>
          <t>2023-05</t>
        </is>
      </c>
      <c r="H105" s="3" t="n">
        <v>8.3299</v>
      </c>
    </row>
    <row r="106" ht="20" customHeight="1">
      <c r="A106" s="3" t="inlineStr">
        <is>
          <t>Tourage butter</t>
        </is>
      </c>
      <c r="B106" s="3" t="inlineStr">
        <is>
          <t>Fats</t>
        </is>
      </c>
      <c r="C106" s="3" t="inlineStr">
        <is>
          <t>BUTTER</t>
        </is>
      </c>
      <c r="D106" s="3" t="inlineStr">
        <is>
          <t xml:space="preserve">INSEE BDM 010763694: Indice de prix de production de l'industrie française pour le marché français − CPF 10.51 − Beurre conditionné </t>
        </is>
      </c>
      <c r="E106" s="3" t="inlineStr">
        <is>
          <t>kg</t>
        </is>
      </c>
      <c r="F106" s="3" t="n">
        <v>6.2</v>
      </c>
      <c r="G106" s="3" t="inlineStr">
        <is>
          <t>2023-06</t>
        </is>
      </c>
      <c r="H106" s="3" t="n">
        <v>8.2098</v>
      </c>
    </row>
    <row r="107" ht="20" customHeight="1">
      <c r="A107" s="3" t="inlineStr">
        <is>
          <t>Tourage butter</t>
        </is>
      </c>
      <c r="B107" s="3" t="inlineStr">
        <is>
          <t>Fats</t>
        </is>
      </c>
      <c r="C107" s="3" t="inlineStr">
        <is>
          <t>BUTTER</t>
        </is>
      </c>
      <c r="D107" s="3" t="inlineStr">
        <is>
          <t xml:space="preserve">INSEE BDM 010763694: Indice de prix de production de l'industrie française pour le marché français − CPF 10.51 − Beurre conditionné </t>
        </is>
      </c>
      <c r="E107" s="3" t="inlineStr">
        <is>
          <t>kg</t>
        </is>
      </c>
      <c r="F107" s="3" t="n">
        <v>6.2</v>
      </c>
      <c r="G107" s="3" t="inlineStr">
        <is>
          <t>2023-07</t>
        </is>
      </c>
      <c r="H107" s="3" t="n">
        <v>8.1655</v>
      </c>
    </row>
    <row r="108" ht="20" customHeight="1">
      <c r="A108" s="3" t="inlineStr">
        <is>
          <t>Tourage butter</t>
        </is>
      </c>
      <c r="B108" s="3" t="inlineStr">
        <is>
          <t>Fats</t>
        </is>
      </c>
      <c r="C108" s="3" t="inlineStr">
        <is>
          <t>BUTTER</t>
        </is>
      </c>
      <c r="D108" s="3" t="inlineStr">
        <is>
          <t xml:space="preserve">INSEE BDM 010763694: Indice de prix de production de l'industrie française pour le marché français − CPF 10.51 − Beurre conditionné </t>
        </is>
      </c>
      <c r="E108" s="3" t="inlineStr">
        <is>
          <t>kg</t>
        </is>
      </c>
      <c r="F108" s="3" t="n">
        <v>6.2</v>
      </c>
      <c r="G108" s="3" t="inlineStr">
        <is>
          <t>2023-08</t>
        </is>
      </c>
      <c r="H108" s="3" t="n">
        <v>8.152900000000001</v>
      </c>
    </row>
    <row r="109" ht="20" customHeight="1">
      <c r="A109" s="3" t="inlineStr">
        <is>
          <t>Tourage butter</t>
        </is>
      </c>
      <c r="B109" s="3" t="inlineStr">
        <is>
          <t>Fats</t>
        </is>
      </c>
      <c r="C109" s="3" t="inlineStr">
        <is>
          <t>BUTTER</t>
        </is>
      </c>
      <c r="D109" s="3" t="inlineStr">
        <is>
          <t xml:space="preserve">INSEE BDM 010763694: Indice de prix de production de l'industrie française pour le marché français − CPF 10.51 − Beurre conditionné </t>
        </is>
      </c>
      <c r="E109" s="3" t="inlineStr">
        <is>
          <t>kg</t>
        </is>
      </c>
      <c r="F109" s="3" t="n">
        <v>6.2</v>
      </c>
      <c r="G109" s="3" t="inlineStr">
        <is>
          <t>2023-09</t>
        </is>
      </c>
      <c r="H109" s="3" t="n">
        <v>8.146599999999999</v>
      </c>
    </row>
    <row r="110" ht="20" customHeight="1">
      <c r="A110" s="3" t="inlineStr">
        <is>
          <t>Tourage butter</t>
        </is>
      </c>
      <c r="B110" s="3" t="inlineStr">
        <is>
          <t>Fats</t>
        </is>
      </c>
      <c r="C110" s="3" t="inlineStr">
        <is>
          <t>BUTTER</t>
        </is>
      </c>
      <c r="D110" s="3" t="inlineStr">
        <is>
          <t xml:space="preserve">INSEE BDM 010763694: Indice de prix de production de l'industrie française pour le marché français − CPF 10.51 − Beurre conditionné </t>
        </is>
      </c>
      <c r="E110" s="3" t="inlineStr">
        <is>
          <t>kg</t>
        </is>
      </c>
      <c r="F110" s="3" t="n">
        <v>6.2</v>
      </c>
      <c r="G110" s="3" t="inlineStr">
        <is>
          <t>2023-10</t>
        </is>
      </c>
      <c r="H110" s="3" t="n">
        <v>8.146599999999999</v>
      </c>
    </row>
    <row r="111" ht="20" customHeight="1">
      <c r="A111" s="3" t="inlineStr">
        <is>
          <t>Tourage butter</t>
        </is>
      </c>
      <c r="B111" s="3" t="inlineStr">
        <is>
          <t>Fats</t>
        </is>
      </c>
      <c r="C111" s="3" t="inlineStr">
        <is>
          <t>BUTTER</t>
        </is>
      </c>
      <c r="D111" s="3" t="inlineStr">
        <is>
          <t xml:space="preserve">INSEE BDM 010763694: Indice de prix de production de l'industrie française pour le marché français − CPF 10.51 − Beurre conditionné </t>
        </is>
      </c>
      <c r="E111" s="3" t="inlineStr">
        <is>
          <t>kg</t>
        </is>
      </c>
      <c r="F111" s="3" t="n">
        <v>6.2</v>
      </c>
      <c r="G111" s="3" t="inlineStr">
        <is>
          <t>2023-11</t>
        </is>
      </c>
      <c r="H111" s="3" t="n">
        <v>8.1655</v>
      </c>
    </row>
    <row r="112" ht="20" customHeight="1">
      <c r="A112" s="3" t="inlineStr">
        <is>
          <t>Tourage butter</t>
        </is>
      </c>
      <c r="B112" s="3" t="inlineStr">
        <is>
          <t>Fats</t>
        </is>
      </c>
      <c r="C112" s="3" t="inlineStr">
        <is>
          <t>BUTTER</t>
        </is>
      </c>
      <c r="D112" s="3" t="inlineStr">
        <is>
          <t xml:space="preserve">INSEE BDM 010763694: Indice de prix de production de l'industrie française pour le marché français − CPF 10.51 − Beurre conditionné </t>
        </is>
      </c>
      <c r="E112" s="3" t="inlineStr">
        <is>
          <t>kg</t>
        </is>
      </c>
      <c r="F112" s="3" t="n">
        <v>6.2</v>
      </c>
      <c r="G112" s="3" t="inlineStr">
        <is>
          <t>2023-12</t>
        </is>
      </c>
      <c r="H112" s="3" t="n">
        <v>8.3299</v>
      </c>
    </row>
    <row r="113" ht="20" customHeight="1">
      <c r="A113" s="3" t="inlineStr">
        <is>
          <t>Cream</t>
        </is>
      </c>
      <c r="B113" s="3" t="inlineStr">
        <is>
          <t>Fats</t>
        </is>
      </c>
      <c r="C113" s="3" t="inlineStr">
        <is>
          <t>CREAM</t>
        </is>
      </c>
      <c r="D113" s="3" t="inlineStr">
        <is>
          <t xml:space="preserve">INSEE BDM 010763691: Indice de prix de production de l'industrie française pour le marché français − CPF 10.51 − Crème de lait </t>
        </is>
      </c>
      <c r="E113" s="3" t="inlineStr">
        <is>
          <t>L</t>
        </is>
      </c>
      <c r="F113" s="3" t="n">
        <v>3.6</v>
      </c>
      <c r="G113" s="3" t="inlineStr">
        <is>
          <t>2021-01</t>
        </is>
      </c>
      <c r="H113" s="3" t="n">
        <v>3.6</v>
      </c>
    </row>
    <row r="114" ht="20" customHeight="1">
      <c r="A114" s="3" t="inlineStr">
        <is>
          <t>Cream</t>
        </is>
      </c>
      <c r="B114" s="3" t="inlineStr">
        <is>
          <t>Fats</t>
        </is>
      </c>
      <c r="C114" s="3" t="inlineStr">
        <is>
          <t>CREAM</t>
        </is>
      </c>
      <c r="D114" s="3" t="inlineStr">
        <is>
          <t xml:space="preserve">INSEE BDM 010763691: Indice de prix de production de l'industrie française pour le marché français − CPF 10.51 − Crème de lait </t>
        </is>
      </c>
      <c r="E114" s="3" t="inlineStr">
        <is>
          <t>L</t>
        </is>
      </c>
      <c r="F114" s="3" t="n">
        <v>3.6</v>
      </c>
      <c r="G114" s="3" t="inlineStr">
        <is>
          <t>2021-02</t>
        </is>
      </c>
      <c r="H114" s="3" t="n">
        <v>3.5893</v>
      </c>
    </row>
    <row r="115" ht="20" customHeight="1">
      <c r="A115" s="3" t="inlineStr">
        <is>
          <t>Cream</t>
        </is>
      </c>
      <c r="B115" s="3" t="inlineStr">
        <is>
          <t>Fats</t>
        </is>
      </c>
      <c r="C115" s="3" t="inlineStr">
        <is>
          <t>CREAM</t>
        </is>
      </c>
      <c r="D115" s="3" t="inlineStr">
        <is>
          <t xml:space="preserve">INSEE BDM 010763691: Indice de prix de production de l'industrie française pour le marché français − CPF 10.51 − Crème de lait </t>
        </is>
      </c>
      <c r="E115" s="3" t="inlineStr">
        <is>
          <t>L</t>
        </is>
      </c>
      <c r="F115" s="3" t="n">
        <v>3.6</v>
      </c>
      <c r="G115" s="3" t="inlineStr">
        <is>
          <t>2021-03</t>
        </is>
      </c>
      <c r="H115" s="3" t="n">
        <v>3.5893</v>
      </c>
    </row>
    <row r="116" ht="20" customHeight="1">
      <c r="A116" s="3" t="inlineStr">
        <is>
          <t>Cream</t>
        </is>
      </c>
      <c r="B116" s="3" t="inlineStr">
        <is>
          <t>Fats</t>
        </is>
      </c>
      <c r="C116" s="3" t="inlineStr">
        <is>
          <t>CREAM</t>
        </is>
      </c>
      <c r="D116" s="3" t="inlineStr">
        <is>
          <t xml:space="preserve">INSEE BDM 010763691: Indice de prix de production de l'industrie française pour le marché français − CPF 10.51 − Crème de lait </t>
        </is>
      </c>
      <c r="E116" s="3" t="inlineStr">
        <is>
          <t>L</t>
        </is>
      </c>
      <c r="F116" s="3" t="n">
        <v>3.6</v>
      </c>
      <c r="G116" s="3" t="inlineStr">
        <is>
          <t>2021-04</t>
        </is>
      </c>
      <c r="H116" s="3" t="n">
        <v>3.5857</v>
      </c>
    </row>
    <row r="117" ht="20" customHeight="1">
      <c r="A117" s="3" t="inlineStr">
        <is>
          <t>Cream</t>
        </is>
      </c>
      <c r="B117" s="3" t="inlineStr">
        <is>
          <t>Fats</t>
        </is>
      </c>
      <c r="C117" s="3" t="inlineStr">
        <is>
          <t>CREAM</t>
        </is>
      </c>
      <c r="D117" s="3" t="inlineStr">
        <is>
          <t xml:space="preserve">INSEE BDM 010763691: Indice de prix de production de l'industrie française pour le marché français − CPF 10.51 − Crème de lait </t>
        </is>
      </c>
      <c r="E117" s="3" t="inlineStr">
        <is>
          <t>L</t>
        </is>
      </c>
      <c r="F117" s="3" t="n">
        <v>3.6</v>
      </c>
      <c r="G117" s="3" t="inlineStr">
        <is>
          <t>2021-05</t>
        </is>
      </c>
      <c r="H117" s="3" t="n">
        <v>3.5785</v>
      </c>
    </row>
    <row r="118" ht="20" customHeight="1">
      <c r="A118" s="3" t="inlineStr">
        <is>
          <t>Cream</t>
        </is>
      </c>
      <c r="B118" s="3" t="inlineStr">
        <is>
          <t>Fats</t>
        </is>
      </c>
      <c r="C118" s="3" t="inlineStr">
        <is>
          <t>CREAM</t>
        </is>
      </c>
      <c r="D118" s="3" t="inlineStr">
        <is>
          <t xml:space="preserve">INSEE BDM 010763691: Indice de prix de production de l'industrie française pour le marché français − CPF 10.51 − Crème de lait </t>
        </is>
      </c>
      <c r="E118" s="3" t="inlineStr">
        <is>
          <t>L</t>
        </is>
      </c>
      <c r="F118" s="3" t="n">
        <v>3.6</v>
      </c>
      <c r="G118" s="3" t="inlineStr">
        <is>
          <t>2021-06</t>
        </is>
      </c>
      <c r="H118" s="3" t="n">
        <v>3.575</v>
      </c>
    </row>
    <row r="119" ht="20" customHeight="1">
      <c r="A119" s="3" t="inlineStr">
        <is>
          <t>Cream</t>
        </is>
      </c>
      <c r="B119" s="3" t="inlineStr">
        <is>
          <t>Fats</t>
        </is>
      </c>
      <c r="C119" s="3" t="inlineStr">
        <is>
          <t>CREAM</t>
        </is>
      </c>
      <c r="D119" s="3" t="inlineStr">
        <is>
          <t xml:space="preserve">INSEE BDM 010763691: Indice de prix de production de l'industrie française pour le marché français − CPF 10.51 − Crème de lait </t>
        </is>
      </c>
      <c r="E119" s="3" t="inlineStr">
        <is>
          <t>L</t>
        </is>
      </c>
      <c r="F119" s="3" t="n">
        <v>3.6</v>
      </c>
      <c r="G119" s="3" t="inlineStr">
        <is>
          <t>2021-07</t>
        </is>
      </c>
      <c r="H119" s="3" t="n">
        <v>3.5571</v>
      </c>
    </row>
    <row r="120" ht="20" customHeight="1">
      <c r="A120" s="3" t="inlineStr">
        <is>
          <t>Cream</t>
        </is>
      </c>
      <c r="B120" s="3" t="inlineStr">
        <is>
          <t>Fats</t>
        </is>
      </c>
      <c r="C120" s="3" t="inlineStr">
        <is>
          <t>CREAM</t>
        </is>
      </c>
      <c r="D120" s="3" t="inlineStr">
        <is>
          <t xml:space="preserve">INSEE BDM 010763691: Indice de prix de production de l'industrie française pour le marché français − CPF 10.51 − Crème de lait </t>
        </is>
      </c>
      <c r="E120" s="3" t="inlineStr">
        <is>
          <t>L</t>
        </is>
      </c>
      <c r="F120" s="3" t="n">
        <v>3.6</v>
      </c>
      <c r="G120" s="3" t="inlineStr">
        <is>
          <t>2021-08</t>
        </is>
      </c>
      <c r="H120" s="3" t="n">
        <v>3.5821</v>
      </c>
    </row>
    <row r="121" ht="20" customHeight="1">
      <c r="A121" s="3" t="inlineStr">
        <is>
          <t>Cream</t>
        </is>
      </c>
      <c r="B121" s="3" t="inlineStr">
        <is>
          <t>Fats</t>
        </is>
      </c>
      <c r="C121" s="3" t="inlineStr">
        <is>
          <t>CREAM</t>
        </is>
      </c>
      <c r="D121" s="3" t="inlineStr">
        <is>
          <t xml:space="preserve">INSEE BDM 010763691: Indice de prix de production de l'industrie française pour le marché français − CPF 10.51 − Crème de lait </t>
        </is>
      </c>
      <c r="E121" s="3" t="inlineStr">
        <is>
          <t>L</t>
        </is>
      </c>
      <c r="F121" s="3" t="n">
        <v>3.6</v>
      </c>
      <c r="G121" s="3" t="inlineStr">
        <is>
          <t>2021-09</t>
        </is>
      </c>
      <c r="H121" s="3" t="n">
        <v>3.5642</v>
      </c>
    </row>
    <row r="122" ht="20" customHeight="1">
      <c r="A122" s="3" t="inlineStr">
        <is>
          <t>Cream</t>
        </is>
      </c>
      <c r="B122" s="3" t="inlineStr">
        <is>
          <t>Fats</t>
        </is>
      </c>
      <c r="C122" s="3" t="inlineStr">
        <is>
          <t>CREAM</t>
        </is>
      </c>
      <c r="D122" s="3" t="inlineStr">
        <is>
          <t xml:space="preserve">INSEE BDM 010763691: Indice de prix de production de l'industrie française pour le marché français − CPF 10.51 − Crème de lait </t>
        </is>
      </c>
      <c r="E122" s="3" t="inlineStr">
        <is>
          <t>L</t>
        </is>
      </c>
      <c r="F122" s="3" t="n">
        <v>3.6</v>
      </c>
      <c r="G122" s="3" t="inlineStr">
        <is>
          <t>2021-10</t>
        </is>
      </c>
      <c r="H122" s="3" t="n">
        <v>3.5785</v>
      </c>
    </row>
    <row r="123" ht="20" customHeight="1">
      <c r="A123" s="3" t="inlineStr">
        <is>
          <t>Cream</t>
        </is>
      </c>
      <c r="B123" s="3" t="inlineStr">
        <is>
          <t>Fats</t>
        </is>
      </c>
      <c r="C123" s="3" t="inlineStr">
        <is>
          <t>CREAM</t>
        </is>
      </c>
      <c r="D123" s="3" t="inlineStr">
        <is>
          <t xml:space="preserve">INSEE BDM 010763691: Indice de prix de production de l'industrie française pour le marché français − CPF 10.51 − Crème de lait </t>
        </is>
      </c>
      <c r="E123" s="3" t="inlineStr">
        <is>
          <t>L</t>
        </is>
      </c>
      <c r="F123" s="3" t="n">
        <v>3.6</v>
      </c>
      <c r="G123" s="3" t="inlineStr">
        <is>
          <t>2021-11</t>
        </is>
      </c>
      <c r="H123" s="3" t="n">
        <v>3.5928</v>
      </c>
    </row>
    <row r="124" ht="20" customHeight="1">
      <c r="A124" s="3" t="inlineStr">
        <is>
          <t>Cream</t>
        </is>
      </c>
      <c r="B124" s="3" t="inlineStr">
        <is>
          <t>Fats</t>
        </is>
      </c>
      <c r="C124" s="3" t="inlineStr">
        <is>
          <t>CREAM</t>
        </is>
      </c>
      <c r="D124" s="3" t="inlineStr">
        <is>
          <t xml:space="preserve">INSEE BDM 010763691: Indice de prix de production de l'industrie française pour le marché français − CPF 10.51 − Crème de lait </t>
        </is>
      </c>
      <c r="E124" s="3" t="inlineStr">
        <is>
          <t>L</t>
        </is>
      </c>
      <c r="F124" s="3" t="n">
        <v>3.6</v>
      </c>
      <c r="G124" s="3" t="inlineStr">
        <is>
          <t>2021-12</t>
        </is>
      </c>
      <c r="H124" s="3" t="n">
        <v>3.5535</v>
      </c>
    </row>
    <row r="125" ht="20" customHeight="1">
      <c r="A125" s="3" t="inlineStr">
        <is>
          <t>Cream</t>
        </is>
      </c>
      <c r="B125" s="3" t="inlineStr">
        <is>
          <t>Fats</t>
        </is>
      </c>
      <c r="C125" s="3" t="inlineStr">
        <is>
          <t>CREAM</t>
        </is>
      </c>
      <c r="D125" s="3" t="inlineStr">
        <is>
          <t xml:space="preserve">INSEE BDM 010763691: Indice de prix de production de l'industrie française pour le marché français − CPF 10.51 − Crème de lait </t>
        </is>
      </c>
      <c r="E125" s="3" t="inlineStr">
        <is>
          <t>L</t>
        </is>
      </c>
      <c r="F125" s="3" t="n">
        <v>3.6</v>
      </c>
      <c r="G125" s="3" t="inlineStr">
        <is>
          <t>2022-01</t>
        </is>
      </c>
      <c r="H125" s="3" t="n">
        <v>3.6322</v>
      </c>
    </row>
    <row r="126" ht="20" customHeight="1">
      <c r="A126" s="3" t="inlineStr">
        <is>
          <t>Cream</t>
        </is>
      </c>
      <c r="B126" s="3" t="inlineStr">
        <is>
          <t>Fats</t>
        </is>
      </c>
      <c r="C126" s="3" t="inlineStr">
        <is>
          <t>CREAM</t>
        </is>
      </c>
      <c r="D126" s="3" t="inlineStr">
        <is>
          <t xml:space="preserve">INSEE BDM 010763691: Indice de prix de production de l'industrie française pour le marché français − CPF 10.51 − Crème de lait </t>
        </is>
      </c>
      <c r="E126" s="3" t="inlineStr">
        <is>
          <t>L</t>
        </is>
      </c>
      <c r="F126" s="3" t="n">
        <v>3.6</v>
      </c>
      <c r="G126" s="3" t="inlineStr">
        <is>
          <t>2022-02</t>
        </is>
      </c>
      <c r="H126" s="3" t="n">
        <v>3.6215</v>
      </c>
    </row>
    <row r="127" ht="20" customHeight="1">
      <c r="A127" s="3" t="inlineStr">
        <is>
          <t>Cream</t>
        </is>
      </c>
      <c r="B127" s="3" t="inlineStr">
        <is>
          <t>Fats</t>
        </is>
      </c>
      <c r="C127" s="3" t="inlineStr">
        <is>
          <t>CREAM</t>
        </is>
      </c>
      <c r="D127" s="3" t="inlineStr">
        <is>
          <t xml:space="preserve">INSEE BDM 010763691: Indice de prix de production de l'industrie française pour le marché français − CPF 10.51 − Crème de lait </t>
        </is>
      </c>
      <c r="E127" s="3" t="inlineStr">
        <is>
          <t>L</t>
        </is>
      </c>
      <c r="F127" s="3" t="n">
        <v>3.6</v>
      </c>
      <c r="G127" s="3" t="inlineStr">
        <is>
          <t>2022-03</t>
        </is>
      </c>
      <c r="H127" s="3" t="n">
        <v>3.7467</v>
      </c>
    </row>
    <row r="128" ht="20" customHeight="1">
      <c r="A128" s="3" t="inlineStr">
        <is>
          <t>Cream</t>
        </is>
      </c>
      <c r="B128" s="3" t="inlineStr">
        <is>
          <t>Fats</t>
        </is>
      </c>
      <c r="C128" s="3" t="inlineStr">
        <is>
          <t>CREAM</t>
        </is>
      </c>
      <c r="D128" s="3" t="inlineStr">
        <is>
          <t xml:space="preserve">INSEE BDM 010763691: Indice de prix de production de l'industrie française pour le marché français − CPF 10.51 − Crème de lait </t>
        </is>
      </c>
      <c r="E128" s="3" t="inlineStr">
        <is>
          <t>L</t>
        </is>
      </c>
      <c r="F128" s="3" t="n">
        <v>3.6</v>
      </c>
      <c r="G128" s="3" t="inlineStr">
        <is>
          <t>2022-04</t>
        </is>
      </c>
      <c r="H128" s="3" t="n">
        <v>3.7646</v>
      </c>
    </row>
    <row r="129" ht="20" customHeight="1">
      <c r="A129" s="3" t="inlineStr">
        <is>
          <t>Cream</t>
        </is>
      </c>
      <c r="B129" s="3" t="inlineStr">
        <is>
          <t>Fats</t>
        </is>
      </c>
      <c r="C129" s="3" t="inlineStr">
        <is>
          <t>CREAM</t>
        </is>
      </c>
      <c r="D129" s="3" t="inlineStr">
        <is>
          <t xml:space="preserve">INSEE BDM 010763691: Indice de prix de production de l'industrie française pour le marché français − CPF 10.51 − Crème de lait </t>
        </is>
      </c>
      <c r="E129" s="3" t="inlineStr">
        <is>
          <t>L</t>
        </is>
      </c>
      <c r="F129" s="3" t="n">
        <v>3.6</v>
      </c>
      <c r="G129" s="3" t="inlineStr">
        <is>
          <t>2022-05</t>
        </is>
      </c>
      <c r="H129" s="3" t="n">
        <v>3.7789</v>
      </c>
    </row>
    <row r="130" ht="20" customHeight="1">
      <c r="A130" s="3" t="inlineStr">
        <is>
          <t>Cream</t>
        </is>
      </c>
      <c r="B130" s="3" t="inlineStr">
        <is>
          <t>Fats</t>
        </is>
      </c>
      <c r="C130" s="3" t="inlineStr">
        <is>
          <t>CREAM</t>
        </is>
      </c>
      <c r="D130" s="3" t="inlineStr">
        <is>
          <t xml:space="preserve">INSEE BDM 010763691: Indice de prix de production de l'industrie française pour le marché français − CPF 10.51 − Crème de lait </t>
        </is>
      </c>
      <c r="E130" s="3" t="inlineStr">
        <is>
          <t>L</t>
        </is>
      </c>
      <c r="F130" s="3" t="n">
        <v>3.6</v>
      </c>
      <c r="G130" s="3" t="inlineStr">
        <is>
          <t>2022-06</t>
        </is>
      </c>
      <c r="H130" s="3" t="n">
        <v>3.8505</v>
      </c>
    </row>
    <row r="131" ht="20" customHeight="1">
      <c r="A131" s="3" t="inlineStr">
        <is>
          <t>Cream</t>
        </is>
      </c>
      <c r="B131" s="3" t="inlineStr">
        <is>
          <t>Fats</t>
        </is>
      </c>
      <c r="C131" s="3" t="inlineStr">
        <is>
          <t>CREAM</t>
        </is>
      </c>
      <c r="D131" s="3" t="inlineStr">
        <is>
          <t xml:space="preserve">INSEE BDM 010763691: Indice de prix de production de l'industrie française pour le marché français − CPF 10.51 − Crème de lait </t>
        </is>
      </c>
      <c r="E131" s="3" t="inlineStr">
        <is>
          <t>L</t>
        </is>
      </c>
      <c r="F131" s="3" t="n">
        <v>3.6</v>
      </c>
      <c r="G131" s="3" t="inlineStr">
        <is>
          <t>2022-07</t>
        </is>
      </c>
      <c r="H131" s="3" t="n">
        <v>4.0187</v>
      </c>
    </row>
    <row r="132" ht="20" customHeight="1">
      <c r="A132" s="3" t="inlineStr">
        <is>
          <t>Cream</t>
        </is>
      </c>
      <c r="B132" s="3" t="inlineStr">
        <is>
          <t>Fats</t>
        </is>
      </c>
      <c r="C132" s="3" t="inlineStr">
        <is>
          <t>CREAM</t>
        </is>
      </c>
      <c r="D132" s="3" t="inlineStr">
        <is>
          <t xml:space="preserve">INSEE BDM 010763691: Indice de prix de production de l'industrie française pour le marché français − CPF 10.51 − Crème de lait </t>
        </is>
      </c>
      <c r="E132" s="3" t="inlineStr">
        <is>
          <t>L</t>
        </is>
      </c>
      <c r="F132" s="3" t="n">
        <v>3.6</v>
      </c>
      <c r="G132" s="3" t="inlineStr">
        <is>
          <t>2022-08</t>
        </is>
      </c>
      <c r="H132" s="3" t="n">
        <v>4.1153</v>
      </c>
    </row>
    <row r="133" ht="20" customHeight="1">
      <c r="A133" s="3" t="inlineStr">
        <is>
          <t>Cream</t>
        </is>
      </c>
      <c r="B133" s="3" t="inlineStr">
        <is>
          <t>Fats</t>
        </is>
      </c>
      <c r="C133" s="3" t="inlineStr">
        <is>
          <t>CREAM</t>
        </is>
      </c>
      <c r="D133" s="3" t="inlineStr">
        <is>
          <t xml:space="preserve">INSEE BDM 010763691: Indice de prix de production de l'industrie française pour le marché français − CPF 10.51 − Crème de lait </t>
        </is>
      </c>
      <c r="E133" s="3" t="inlineStr">
        <is>
          <t>L</t>
        </is>
      </c>
      <c r="F133" s="3" t="n">
        <v>3.6</v>
      </c>
      <c r="G133" s="3" t="inlineStr">
        <is>
          <t>2022-09</t>
        </is>
      </c>
      <c r="H133" s="3" t="n">
        <v>4.126</v>
      </c>
    </row>
    <row r="134" ht="20" customHeight="1">
      <c r="A134" s="3" t="inlineStr">
        <is>
          <t>Cream</t>
        </is>
      </c>
      <c r="B134" s="3" t="inlineStr">
        <is>
          <t>Fats</t>
        </is>
      </c>
      <c r="C134" s="3" t="inlineStr">
        <is>
          <t>CREAM</t>
        </is>
      </c>
      <c r="D134" s="3" t="inlineStr">
        <is>
          <t xml:space="preserve">INSEE BDM 010763691: Indice de prix de production de l'industrie française pour le marché français − CPF 10.51 − Crème de lait </t>
        </is>
      </c>
      <c r="E134" s="3" t="inlineStr">
        <is>
          <t>L</t>
        </is>
      </c>
      <c r="F134" s="3" t="n">
        <v>3.6</v>
      </c>
      <c r="G134" s="3" t="inlineStr">
        <is>
          <t>2022-10</t>
        </is>
      </c>
      <c r="H134" s="3" t="n">
        <v>4.1869</v>
      </c>
    </row>
    <row r="135" ht="20" customHeight="1">
      <c r="A135" s="3" t="inlineStr">
        <is>
          <t>Cream</t>
        </is>
      </c>
      <c r="B135" s="3" t="inlineStr">
        <is>
          <t>Fats</t>
        </is>
      </c>
      <c r="C135" s="3" t="inlineStr">
        <is>
          <t>CREAM</t>
        </is>
      </c>
      <c r="D135" s="3" t="inlineStr">
        <is>
          <t xml:space="preserve">INSEE BDM 010763691: Indice de prix de production de l'industrie française pour le marché français − CPF 10.51 − Crème de lait </t>
        </is>
      </c>
      <c r="E135" s="3" t="inlineStr">
        <is>
          <t>L</t>
        </is>
      </c>
      <c r="F135" s="3" t="n">
        <v>3.6</v>
      </c>
      <c r="G135" s="3" t="inlineStr">
        <is>
          <t>2022-11</t>
        </is>
      </c>
      <c r="H135" s="3" t="n">
        <v>4.2012</v>
      </c>
    </row>
    <row r="136" ht="20" customHeight="1">
      <c r="A136" s="3" t="inlineStr">
        <is>
          <t>Cream</t>
        </is>
      </c>
      <c r="B136" s="3" t="inlineStr">
        <is>
          <t>Fats</t>
        </is>
      </c>
      <c r="C136" s="3" t="inlineStr">
        <is>
          <t>CREAM</t>
        </is>
      </c>
      <c r="D136" s="3" t="inlineStr">
        <is>
          <t xml:space="preserve">INSEE BDM 010763691: Indice de prix de production de l'industrie française pour le marché français − CPF 10.51 − Crème de lait </t>
        </is>
      </c>
      <c r="E136" s="3" t="inlineStr">
        <is>
          <t>L</t>
        </is>
      </c>
      <c r="F136" s="3" t="n">
        <v>3.6</v>
      </c>
      <c r="G136" s="3" t="inlineStr">
        <is>
          <t>2022-12</t>
        </is>
      </c>
      <c r="H136" s="3" t="n">
        <v>4.237</v>
      </c>
    </row>
    <row r="137" ht="20" customHeight="1">
      <c r="A137" s="3" t="inlineStr">
        <is>
          <t>Cream</t>
        </is>
      </c>
      <c r="B137" s="3" t="inlineStr">
        <is>
          <t>Fats</t>
        </is>
      </c>
      <c r="C137" s="3" t="inlineStr">
        <is>
          <t>CREAM</t>
        </is>
      </c>
      <c r="D137" s="3" t="inlineStr">
        <is>
          <t xml:space="preserve">INSEE BDM 010763691: Indice de prix de production de l'industrie française pour le marché français − CPF 10.51 − Crème de lait </t>
        </is>
      </c>
      <c r="E137" s="3" t="inlineStr">
        <is>
          <t>L</t>
        </is>
      </c>
      <c r="F137" s="3" t="n">
        <v>3.6</v>
      </c>
      <c r="G137" s="3" t="inlineStr">
        <is>
          <t>2023-01</t>
        </is>
      </c>
      <c r="H137" s="3" t="n">
        <v>4.3264</v>
      </c>
    </row>
    <row r="138" ht="20" customHeight="1">
      <c r="A138" s="3" t="inlineStr">
        <is>
          <t>Cream</t>
        </is>
      </c>
      <c r="B138" s="3" t="inlineStr">
        <is>
          <t>Fats</t>
        </is>
      </c>
      <c r="C138" s="3" t="inlineStr">
        <is>
          <t>CREAM</t>
        </is>
      </c>
      <c r="D138" s="3" t="inlineStr">
        <is>
          <t xml:space="preserve">INSEE BDM 010763691: Indice de prix de production de l'industrie française pour le marché français − CPF 10.51 − Crème de lait </t>
        </is>
      </c>
      <c r="E138" s="3" t="inlineStr">
        <is>
          <t>L</t>
        </is>
      </c>
      <c r="F138" s="3" t="n">
        <v>3.6</v>
      </c>
      <c r="G138" s="3" t="inlineStr">
        <is>
          <t>2023-02</t>
        </is>
      </c>
      <c r="H138" s="3" t="n">
        <v>4.4087</v>
      </c>
    </row>
    <row r="139" ht="20" customHeight="1">
      <c r="A139" s="3" t="inlineStr">
        <is>
          <t>Cream</t>
        </is>
      </c>
      <c r="B139" s="3" t="inlineStr">
        <is>
          <t>Fats</t>
        </is>
      </c>
      <c r="C139" s="3" t="inlineStr">
        <is>
          <t>CREAM</t>
        </is>
      </c>
      <c r="D139" s="3" t="inlineStr">
        <is>
          <t xml:space="preserve">INSEE BDM 010763691: Indice de prix de production de l'industrie française pour le marché français − CPF 10.51 − Crème de lait </t>
        </is>
      </c>
      <c r="E139" s="3" t="inlineStr">
        <is>
          <t>L</t>
        </is>
      </c>
      <c r="F139" s="3" t="n">
        <v>3.6</v>
      </c>
      <c r="G139" s="3" t="inlineStr">
        <is>
          <t>2023-03</t>
        </is>
      </c>
      <c r="H139" s="3" t="n">
        <v>4.6091</v>
      </c>
    </row>
    <row r="140" ht="20" customHeight="1">
      <c r="A140" s="3" t="inlineStr">
        <is>
          <t>Cream</t>
        </is>
      </c>
      <c r="B140" s="3" t="inlineStr">
        <is>
          <t>Fats</t>
        </is>
      </c>
      <c r="C140" s="3" t="inlineStr">
        <is>
          <t>CREAM</t>
        </is>
      </c>
      <c r="D140" s="3" t="inlineStr">
        <is>
          <t xml:space="preserve">INSEE BDM 010763691: Indice de prix de production de l'industrie française pour le marché français − CPF 10.51 − Crème de lait </t>
        </is>
      </c>
      <c r="E140" s="3" t="inlineStr">
        <is>
          <t>L</t>
        </is>
      </c>
      <c r="F140" s="3" t="n">
        <v>3.6</v>
      </c>
      <c r="G140" s="3" t="inlineStr">
        <is>
          <t>2023-04</t>
        </is>
      </c>
      <c r="H140" s="3" t="n">
        <v>4.7058</v>
      </c>
    </row>
    <row r="141" ht="20" customHeight="1">
      <c r="A141" s="3" t="inlineStr">
        <is>
          <t>Cream</t>
        </is>
      </c>
      <c r="B141" s="3" t="inlineStr">
        <is>
          <t>Fats</t>
        </is>
      </c>
      <c r="C141" s="3" t="inlineStr">
        <is>
          <t>CREAM</t>
        </is>
      </c>
      <c r="D141" s="3" t="inlineStr">
        <is>
          <t xml:space="preserve">INSEE BDM 010763691: Indice de prix de production de l'industrie française pour le marché français − CPF 10.51 − Crème de lait </t>
        </is>
      </c>
      <c r="E141" s="3" t="inlineStr">
        <is>
          <t>L</t>
        </is>
      </c>
      <c r="F141" s="3" t="n">
        <v>3.6</v>
      </c>
      <c r="G141" s="3" t="inlineStr">
        <is>
          <t>2023-05</t>
        </is>
      </c>
      <c r="H141" s="3" t="n">
        <v>4.7416</v>
      </c>
    </row>
    <row r="142" ht="20" customHeight="1">
      <c r="A142" s="3" t="inlineStr">
        <is>
          <t>Cream</t>
        </is>
      </c>
      <c r="B142" s="3" t="inlineStr">
        <is>
          <t>Fats</t>
        </is>
      </c>
      <c r="C142" s="3" t="inlineStr">
        <is>
          <t>CREAM</t>
        </is>
      </c>
      <c r="D142" s="3" t="inlineStr">
        <is>
          <t xml:space="preserve">INSEE BDM 010763691: Indice de prix de production de l'industrie française pour le marché français − CPF 10.51 − Crème de lait </t>
        </is>
      </c>
      <c r="E142" s="3" t="inlineStr">
        <is>
          <t>L</t>
        </is>
      </c>
      <c r="F142" s="3" t="n">
        <v>3.6</v>
      </c>
      <c r="G142" s="3" t="inlineStr">
        <is>
          <t>2023-06</t>
        </is>
      </c>
      <c r="H142" s="3" t="n">
        <v>4.7129</v>
      </c>
    </row>
    <row r="143" ht="20" customHeight="1">
      <c r="A143" s="3" t="inlineStr">
        <is>
          <t>Cream</t>
        </is>
      </c>
      <c r="B143" s="3" t="inlineStr">
        <is>
          <t>Fats</t>
        </is>
      </c>
      <c r="C143" s="3" t="inlineStr">
        <is>
          <t>CREAM</t>
        </is>
      </c>
      <c r="D143" s="3" t="inlineStr">
        <is>
          <t xml:space="preserve">INSEE BDM 010763691: Indice de prix de production de l'industrie française pour le marché français − CPF 10.51 − Crème de lait </t>
        </is>
      </c>
      <c r="E143" s="3" t="inlineStr">
        <is>
          <t>L</t>
        </is>
      </c>
      <c r="F143" s="3" t="n">
        <v>3.6</v>
      </c>
      <c r="G143" s="3" t="inlineStr">
        <is>
          <t>2023-07</t>
        </is>
      </c>
      <c r="H143" s="3" t="n">
        <v>4.6843</v>
      </c>
    </row>
    <row r="144" ht="20" customHeight="1">
      <c r="A144" s="3" t="inlineStr">
        <is>
          <t>Cream</t>
        </is>
      </c>
      <c r="B144" s="3" t="inlineStr">
        <is>
          <t>Fats</t>
        </is>
      </c>
      <c r="C144" s="3" t="inlineStr">
        <is>
          <t>CREAM</t>
        </is>
      </c>
      <c r="D144" s="3" t="inlineStr">
        <is>
          <t xml:space="preserve">INSEE BDM 010763691: Indice de prix de production de l'industrie française pour le marché français − CPF 10.51 − Crème de lait </t>
        </is>
      </c>
      <c r="E144" s="3" t="inlineStr">
        <is>
          <t>L</t>
        </is>
      </c>
      <c r="F144" s="3" t="n">
        <v>3.6</v>
      </c>
      <c r="G144" s="3" t="inlineStr">
        <is>
          <t>2023-08</t>
        </is>
      </c>
      <c r="H144" s="3" t="n">
        <v>4.6592</v>
      </c>
    </row>
    <row r="145" ht="20" customHeight="1">
      <c r="A145" s="3" t="inlineStr">
        <is>
          <t>Cream</t>
        </is>
      </c>
      <c r="B145" s="3" t="inlineStr">
        <is>
          <t>Fats</t>
        </is>
      </c>
      <c r="C145" s="3" t="inlineStr">
        <is>
          <t>CREAM</t>
        </is>
      </c>
      <c r="D145" s="3" t="inlineStr">
        <is>
          <t xml:space="preserve">INSEE BDM 010763691: Indice de prix de production de l'industrie française pour le marché français − CPF 10.51 − Crème de lait </t>
        </is>
      </c>
      <c r="E145" s="3" t="inlineStr">
        <is>
          <t>L</t>
        </is>
      </c>
      <c r="F145" s="3" t="n">
        <v>3.6</v>
      </c>
      <c r="G145" s="3" t="inlineStr">
        <is>
          <t>2023-09</t>
        </is>
      </c>
      <c r="H145" s="3" t="n">
        <v>4.6306</v>
      </c>
    </row>
    <row r="146" ht="20" customHeight="1">
      <c r="A146" s="3" t="inlineStr">
        <is>
          <t>Cream</t>
        </is>
      </c>
      <c r="B146" s="3" t="inlineStr">
        <is>
          <t>Fats</t>
        </is>
      </c>
      <c r="C146" s="3" t="inlineStr">
        <is>
          <t>CREAM</t>
        </is>
      </c>
      <c r="D146" s="3" t="inlineStr">
        <is>
          <t xml:space="preserve">INSEE BDM 010763691: Indice de prix de production de l'industrie française pour le marché français − CPF 10.51 − Crème de lait </t>
        </is>
      </c>
      <c r="E146" s="3" t="inlineStr">
        <is>
          <t>L</t>
        </is>
      </c>
      <c r="F146" s="3" t="n">
        <v>3.6</v>
      </c>
      <c r="G146" s="3" t="inlineStr">
        <is>
          <t>2023-10</t>
        </is>
      </c>
      <c r="H146" s="3" t="n">
        <v>4.7093</v>
      </c>
    </row>
    <row r="147" ht="20" customHeight="1">
      <c r="A147" s="3" t="inlineStr">
        <is>
          <t>Cream</t>
        </is>
      </c>
      <c r="B147" s="3" t="inlineStr">
        <is>
          <t>Fats</t>
        </is>
      </c>
      <c r="C147" s="3" t="inlineStr">
        <is>
          <t>CREAM</t>
        </is>
      </c>
      <c r="D147" s="3" t="inlineStr">
        <is>
          <t xml:space="preserve">INSEE BDM 010763691: Indice de prix de production de l'industrie française pour le marché français − CPF 10.51 − Crème de lait </t>
        </is>
      </c>
      <c r="E147" s="3" t="inlineStr">
        <is>
          <t>L</t>
        </is>
      </c>
      <c r="F147" s="3" t="n">
        <v>3.6</v>
      </c>
      <c r="G147" s="3" t="inlineStr">
        <is>
          <t>2023-11</t>
        </is>
      </c>
      <c r="H147" s="3" t="n">
        <v>4.6592</v>
      </c>
    </row>
    <row r="148" ht="20" customHeight="1">
      <c r="A148" s="3" t="inlineStr">
        <is>
          <t>Cream</t>
        </is>
      </c>
      <c r="B148" s="3" t="inlineStr">
        <is>
          <t>Fats</t>
        </is>
      </c>
      <c r="C148" s="3" t="inlineStr">
        <is>
          <t>CREAM</t>
        </is>
      </c>
      <c r="D148" s="3" t="inlineStr">
        <is>
          <t xml:space="preserve">INSEE BDM 010763691: Indice de prix de production de l'industrie française pour le marché français − CPF 10.51 − Crème de lait </t>
        </is>
      </c>
      <c r="E148" s="3" t="inlineStr">
        <is>
          <t>L</t>
        </is>
      </c>
      <c r="F148" s="3" t="n">
        <v>3.6</v>
      </c>
      <c r="G148" s="3" t="inlineStr">
        <is>
          <t>2023-12</t>
        </is>
      </c>
      <c r="H148" s="3" t="n">
        <v>4.6628</v>
      </c>
    </row>
    <row r="149" ht="20" customHeight="1">
      <c r="A149" s="3" t="inlineStr">
        <is>
          <t>Eggs</t>
        </is>
      </c>
      <c r="B149" s="3" t="n"/>
      <c r="C149" s="3" t="inlineStr">
        <is>
          <t>EGGS</t>
        </is>
      </c>
      <c r="D149" s="3" t="inlineStr">
        <is>
          <t>INSEE BDM 010776696: Indice mensuel des prix agricoles à la production (IPPAP) - Oeufs</t>
        </is>
      </c>
      <c r="E149" s="3" t="inlineStr">
        <is>
          <t>unit</t>
        </is>
      </c>
      <c r="F149" s="3" t="n">
        <v>0.25</v>
      </c>
      <c r="G149" s="3" t="inlineStr">
        <is>
          <t>2021-01</t>
        </is>
      </c>
      <c r="H149" s="3" t="n">
        <v>0.25</v>
      </c>
    </row>
    <row r="150" ht="20" customHeight="1">
      <c r="A150" s="3" t="inlineStr">
        <is>
          <t>Eggs</t>
        </is>
      </c>
      <c r="B150" s="3" t="n"/>
      <c r="C150" s="3" t="inlineStr">
        <is>
          <t>EGGS</t>
        </is>
      </c>
      <c r="D150" s="3" t="inlineStr">
        <is>
          <t>INSEE BDM 010776696: Indice mensuel des prix agricoles à la production (IPPAP) - Oeufs</t>
        </is>
      </c>
      <c r="E150" s="3" t="inlineStr">
        <is>
          <t>unit</t>
        </is>
      </c>
      <c r="F150" s="3" t="n">
        <v>0.25</v>
      </c>
      <c r="G150" s="3" t="inlineStr">
        <is>
          <t>2021-02</t>
        </is>
      </c>
      <c r="H150" s="3" t="n">
        <v>0.288</v>
      </c>
    </row>
    <row r="151" ht="20" customHeight="1">
      <c r="A151" s="3" t="inlineStr">
        <is>
          <t>Eggs</t>
        </is>
      </c>
      <c r="B151" s="3" t="n"/>
      <c r="C151" s="3" t="inlineStr">
        <is>
          <t>EGGS</t>
        </is>
      </c>
      <c r="D151" s="3" t="inlineStr">
        <is>
          <t>INSEE BDM 010776696: Indice mensuel des prix agricoles à la production (IPPAP) - Oeufs</t>
        </is>
      </c>
      <c r="E151" s="3" t="inlineStr">
        <is>
          <t>unit</t>
        </is>
      </c>
      <c r="F151" s="3" t="n">
        <v>0.25</v>
      </c>
      <c r="G151" s="3" t="inlineStr">
        <is>
          <t>2021-03</t>
        </is>
      </c>
      <c r="H151" s="3" t="n">
        <v>0.322</v>
      </c>
    </row>
    <row r="152" ht="20" customHeight="1">
      <c r="A152" s="3" t="inlineStr">
        <is>
          <t>Eggs</t>
        </is>
      </c>
      <c r="B152" s="3" t="n"/>
      <c r="C152" s="3" t="inlineStr">
        <is>
          <t>EGGS</t>
        </is>
      </c>
      <c r="D152" s="3" t="inlineStr">
        <is>
          <t>INSEE BDM 010776696: Indice mensuel des prix agricoles à la production (IPPAP) - Oeufs</t>
        </is>
      </c>
      <c r="E152" s="3" t="inlineStr">
        <is>
          <t>unit</t>
        </is>
      </c>
      <c r="F152" s="3" t="n">
        <v>0.25</v>
      </c>
      <c r="G152" s="3" t="inlineStr">
        <is>
          <t>2021-04</t>
        </is>
      </c>
      <c r="H152" s="3" t="n">
        <v>0.318</v>
      </c>
    </row>
    <row r="153" ht="20" customHeight="1">
      <c r="A153" s="3" t="inlineStr">
        <is>
          <t>Eggs</t>
        </is>
      </c>
      <c r="B153" s="3" t="n"/>
      <c r="C153" s="3" t="inlineStr">
        <is>
          <t>EGGS</t>
        </is>
      </c>
      <c r="D153" s="3" t="inlineStr">
        <is>
          <t>INSEE BDM 010776696: Indice mensuel des prix agricoles à la production (IPPAP) - Oeufs</t>
        </is>
      </c>
      <c r="E153" s="3" t="inlineStr">
        <is>
          <t>unit</t>
        </is>
      </c>
      <c r="F153" s="3" t="n">
        <v>0.25</v>
      </c>
      <c r="G153" s="3" t="inlineStr">
        <is>
          <t>2021-05</t>
        </is>
      </c>
      <c r="H153" s="3" t="n">
        <v>0.3223</v>
      </c>
    </row>
    <row r="154" ht="20" customHeight="1">
      <c r="A154" s="3" t="inlineStr">
        <is>
          <t>Eggs</t>
        </is>
      </c>
      <c r="B154" s="3" t="n"/>
      <c r="C154" s="3" t="inlineStr">
        <is>
          <t>EGGS</t>
        </is>
      </c>
      <c r="D154" s="3" t="inlineStr">
        <is>
          <t>INSEE BDM 010776696: Indice mensuel des prix agricoles à la production (IPPAP) - Oeufs</t>
        </is>
      </c>
      <c r="E154" s="3" t="inlineStr">
        <is>
          <t>unit</t>
        </is>
      </c>
      <c r="F154" s="3" t="n">
        <v>0.25</v>
      </c>
      <c r="G154" s="3" t="inlineStr">
        <is>
          <t>2021-06</t>
        </is>
      </c>
      <c r="H154" s="3" t="n">
        <v>0.3275</v>
      </c>
    </row>
    <row r="155" ht="20" customHeight="1">
      <c r="A155" s="3" t="inlineStr">
        <is>
          <t>Eggs</t>
        </is>
      </c>
      <c r="B155" s="3" t="n"/>
      <c r="C155" s="3" t="inlineStr">
        <is>
          <t>EGGS</t>
        </is>
      </c>
      <c r="D155" s="3" t="inlineStr">
        <is>
          <t>INSEE BDM 010776696: Indice mensuel des prix agricoles à la production (IPPAP) - Oeufs</t>
        </is>
      </c>
      <c r="E155" s="3" t="inlineStr">
        <is>
          <t>unit</t>
        </is>
      </c>
      <c r="F155" s="3" t="n">
        <v>0.25</v>
      </c>
      <c r="G155" s="3" t="inlineStr">
        <is>
          <t>2021-07</t>
        </is>
      </c>
      <c r="H155" s="3" t="n">
        <v>0.2947</v>
      </c>
    </row>
    <row r="156" ht="20" customHeight="1">
      <c r="A156" s="3" t="inlineStr">
        <is>
          <t>Eggs</t>
        </is>
      </c>
      <c r="B156" s="3" t="n"/>
      <c r="C156" s="3" t="inlineStr">
        <is>
          <t>EGGS</t>
        </is>
      </c>
      <c r="D156" s="3" t="inlineStr">
        <is>
          <t>INSEE BDM 010776696: Indice mensuel des prix agricoles à la production (IPPAP) - Oeufs</t>
        </is>
      </c>
      <c r="E156" s="3" t="inlineStr">
        <is>
          <t>unit</t>
        </is>
      </c>
      <c r="F156" s="3" t="n">
        <v>0.25</v>
      </c>
      <c r="G156" s="3" t="inlineStr">
        <is>
          <t>2021-08</t>
        </is>
      </c>
      <c r="H156" s="3" t="n">
        <v>0.3297</v>
      </c>
    </row>
    <row r="157" ht="20" customHeight="1">
      <c r="A157" s="3" t="inlineStr">
        <is>
          <t>Eggs</t>
        </is>
      </c>
      <c r="B157" s="3" t="n"/>
      <c r="C157" s="3" t="inlineStr">
        <is>
          <t>EGGS</t>
        </is>
      </c>
      <c r="D157" s="3" t="inlineStr">
        <is>
          <t>INSEE BDM 010776696: Indice mensuel des prix agricoles à la production (IPPAP) - Oeufs</t>
        </is>
      </c>
      <c r="E157" s="3" t="inlineStr">
        <is>
          <t>unit</t>
        </is>
      </c>
      <c r="F157" s="3" t="n">
        <v>0.25</v>
      </c>
      <c r="G157" s="3" t="inlineStr">
        <is>
          <t>2021-09</t>
        </is>
      </c>
      <c r="H157" s="3" t="n">
        <v>0.3778</v>
      </c>
    </row>
    <row r="158" ht="20" customHeight="1">
      <c r="A158" s="3" t="inlineStr">
        <is>
          <t>Eggs</t>
        </is>
      </c>
      <c r="B158" s="3" t="n"/>
      <c r="C158" s="3" t="inlineStr">
        <is>
          <t>EGGS</t>
        </is>
      </c>
      <c r="D158" s="3" t="inlineStr">
        <is>
          <t>INSEE BDM 010776696: Indice mensuel des prix agricoles à la production (IPPAP) - Oeufs</t>
        </is>
      </c>
      <c r="E158" s="3" t="inlineStr">
        <is>
          <t>unit</t>
        </is>
      </c>
      <c r="F158" s="3" t="n">
        <v>0.25</v>
      </c>
      <c r="G158" s="3" t="inlineStr">
        <is>
          <t>2021-10</t>
        </is>
      </c>
      <c r="H158" s="3" t="n">
        <v>0.3857</v>
      </c>
    </row>
    <row r="159" ht="20" customHeight="1">
      <c r="A159" s="3" t="inlineStr">
        <is>
          <t>Eggs</t>
        </is>
      </c>
      <c r="B159" s="3" t="n"/>
      <c r="C159" s="3" t="inlineStr">
        <is>
          <t>EGGS</t>
        </is>
      </c>
      <c r="D159" s="3" t="inlineStr">
        <is>
          <t>INSEE BDM 010776696: Indice mensuel des prix agricoles à la production (IPPAP) - Oeufs</t>
        </is>
      </c>
      <c r="E159" s="3" t="inlineStr">
        <is>
          <t>unit</t>
        </is>
      </c>
      <c r="F159" s="3" t="n">
        <v>0.25</v>
      </c>
      <c r="G159" s="3" t="inlineStr">
        <is>
          <t>2021-11</t>
        </is>
      </c>
      <c r="H159" s="3" t="n">
        <v>0.382</v>
      </c>
    </row>
    <row r="160" ht="20" customHeight="1">
      <c r="A160" s="3" t="inlineStr">
        <is>
          <t>Eggs</t>
        </is>
      </c>
      <c r="B160" s="3" t="n"/>
      <c r="C160" s="3" t="inlineStr">
        <is>
          <t>EGGS</t>
        </is>
      </c>
      <c r="D160" s="3" t="inlineStr">
        <is>
          <t>INSEE BDM 010776696: Indice mensuel des prix agricoles à la production (IPPAP) - Oeufs</t>
        </is>
      </c>
      <c r="E160" s="3" t="inlineStr">
        <is>
          <t>unit</t>
        </is>
      </c>
      <c r="F160" s="3" t="n">
        <v>0.25</v>
      </c>
      <c r="G160" s="3" t="inlineStr">
        <is>
          <t>2021-12</t>
        </is>
      </c>
      <c r="H160" s="3" t="n">
        <v>0.4206</v>
      </c>
    </row>
    <row r="161" ht="20" customHeight="1">
      <c r="A161" s="3" t="inlineStr">
        <is>
          <t>Eggs</t>
        </is>
      </c>
      <c r="B161" s="3" t="n"/>
      <c r="C161" s="3" t="inlineStr">
        <is>
          <t>EGGS</t>
        </is>
      </c>
      <c r="D161" s="3" t="inlineStr">
        <is>
          <t>INSEE BDM 010776696: Indice mensuel des prix agricoles à la production (IPPAP) - Oeufs</t>
        </is>
      </c>
      <c r="E161" s="3" t="inlineStr">
        <is>
          <t>unit</t>
        </is>
      </c>
      <c r="F161" s="3" t="n">
        <v>0.25</v>
      </c>
      <c r="G161" s="3" t="inlineStr">
        <is>
          <t>2022-01</t>
        </is>
      </c>
      <c r="H161" s="3" t="n">
        <v>0.4081</v>
      </c>
    </row>
    <row r="162" ht="20" customHeight="1">
      <c r="A162" s="3" t="inlineStr">
        <is>
          <t>Eggs</t>
        </is>
      </c>
      <c r="B162" s="3" t="n"/>
      <c r="C162" s="3" t="inlineStr">
        <is>
          <t>EGGS</t>
        </is>
      </c>
      <c r="D162" s="3" t="inlineStr">
        <is>
          <t>INSEE BDM 010776696: Indice mensuel des prix agricoles à la production (IPPAP) - Oeufs</t>
        </is>
      </c>
      <c r="E162" s="3" t="inlineStr">
        <is>
          <t>unit</t>
        </is>
      </c>
      <c r="F162" s="3" t="n">
        <v>0.25</v>
      </c>
      <c r="G162" s="3" t="inlineStr">
        <is>
          <t>2022-02</t>
        </is>
      </c>
      <c r="H162" s="3" t="n">
        <v>0.4145</v>
      </c>
    </row>
    <row r="163" ht="20" customHeight="1">
      <c r="A163" s="3" t="inlineStr">
        <is>
          <t>Eggs</t>
        </is>
      </c>
      <c r="B163" s="3" t="n"/>
      <c r="C163" s="3" t="inlineStr">
        <is>
          <t>EGGS</t>
        </is>
      </c>
      <c r="D163" s="3" t="inlineStr">
        <is>
          <t>INSEE BDM 010776696: Indice mensuel des prix agricoles à la production (IPPAP) - Oeufs</t>
        </is>
      </c>
      <c r="E163" s="3" t="inlineStr">
        <is>
          <t>unit</t>
        </is>
      </c>
      <c r="F163" s="3" t="n">
        <v>0.25</v>
      </c>
      <c r="G163" s="3" t="inlineStr">
        <is>
          <t>2022-03</t>
        </is>
      </c>
      <c r="H163" s="3" t="n">
        <v>0.4847</v>
      </c>
    </row>
    <row r="164" ht="20" customHeight="1">
      <c r="A164" s="3" t="inlineStr">
        <is>
          <t>Eggs</t>
        </is>
      </c>
      <c r="B164" s="3" t="n"/>
      <c r="C164" s="3" t="inlineStr">
        <is>
          <t>EGGS</t>
        </is>
      </c>
      <c r="D164" s="3" t="inlineStr">
        <is>
          <t>INSEE BDM 010776696: Indice mensuel des prix agricoles à la production (IPPAP) - Oeufs</t>
        </is>
      </c>
      <c r="E164" s="3" t="inlineStr">
        <is>
          <t>unit</t>
        </is>
      </c>
      <c r="F164" s="3" t="n">
        <v>0.25</v>
      </c>
      <c r="G164" s="3" t="inlineStr">
        <is>
          <t>2022-04</t>
        </is>
      </c>
      <c r="H164" s="3" t="n">
        <v>0.5548</v>
      </c>
    </row>
    <row r="165" ht="20" customHeight="1">
      <c r="A165" s="3" t="inlineStr">
        <is>
          <t>Eggs</t>
        </is>
      </c>
      <c r="B165" s="3" t="n"/>
      <c r="C165" s="3" t="inlineStr">
        <is>
          <t>EGGS</t>
        </is>
      </c>
      <c r="D165" s="3" t="inlineStr">
        <is>
          <t>INSEE BDM 010776696: Indice mensuel des prix agricoles à la production (IPPAP) - Oeufs</t>
        </is>
      </c>
      <c r="E165" s="3" t="inlineStr">
        <is>
          <t>unit</t>
        </is>
      </c>
      <c r="F165" s="3" t="n">
        <v>0.25</v>
      </c>
      <c r="G165" s="3" t="inlineStr">
        <is>
          <t>2022-05</t>
        </is>
      </c>
      <c r="H165" s="3" t="n">
        <v>0.5561</v>
      </c>
    </row>
    <row r="166" ht="20" customHeight="1">
      <c r="A166" s="3" t="inlineStr">
        <is>
          <t>Eggs</t>
        </is>
      </c>
      <c r="B166" s="3" t="n"/>
      <c r="C166" s="3" t="inlineStr">
        <is>
          <t>EGGS</t>
        </is>
      </c>
      <c r="D166" s="3" t="inlineStr">
        <is>
          <t>INSEE BDM 010776696: Indice mensuel des prix agricoles à la production (IPPAP) - Oeufs</t>
        </is>
      </c>
      <c r="E166" s="3" t="inlineStr">
        <is>
          <t>unit</t>
        </is>
      </c>
      <c r="F166" s="3" t="n">
        <v>0.25</v>
      </c>
      <c r="G166" s="3" t="inlineStr">
        <is>
          <t>2022-06</t>
        </is>
      </c>
      <c r="H166" s="3" t="n">
        <v>0.5389</v>
      </c>
    </row>
    <row r="167" ht="20" customHeight="1">
      <c r="A167" s="3" t="inlineStr">
        <is>
          <t>Eggs</t>
        </is>
      </c>
      <c r="B167" s="3" t="n"/>
      <c r="C167" s="3" t="inlineStr">
        <is>
          <t>EGGS</t>
        </is>
      </c>
      <c r="D167" s="3" t="inlineStr">
        <is>
          <t>INSEE BDM 010776696: Indice mensuel des prix agricoles à la production (IPPAP) - Oeufs</t>
        </is>
      </c>
      <c r="E167" s="3" t="inlineStr">
        <is>
          <t>unit</t>
        </is>
      </c>
      <c r="F167" s="3" t="n">
        <v>0.25</v>
      </c>
      <c r="G167" s="3" t="inlineStr">
        <is>
          <t>2022-07</t>
        </is>
      </c>
      <c r="H167" s="3" t="n">
        <v>0.5469000000000001</v>
      </c>
    </row>
    <row r="168" ht="20" customHeight="1">
      <c r="A168" s="3" t="inlineStr">
        <is>
          <t>Eggs</t>
        </is>
      </c>
      <c r="B168" s="3" t="n"/>
      <c r="C168" s="3" t="inlineStr">
        <is>
          <t>EGGS</t>
        </is>
      </c>
      <c r="D168" s="3" t="inlineStr">
        <is>
          <t>INSEE BDM 010776696: Indice mensuel des prix agricoles à la production (IPPAP) - Oeufs</t>
        </is>
      </c>
      <c r="E168" s="3" t="inlineStr">
        <is>
          <t>unit</t>
        </is>
      </c>
      <c r="F168" s="3" t="n">
        <v>0.25</v>
      </c>
      <c r="G168" s="3" t="inlineStr">
        <is>
          <t>2022-08</t>
        </is>
      </c>
      <c r="H168" s="3" t="n">
        <v>0.5784</v>
      </c>
    </row>
    <row r="169" ht="20" customHeight="1">
      <c r="A169" s="3" t="inlineStr">
        <is>
          <t>Eggs</t>
        </is>
      </c>
      <c r="B169" s="3" t="n"/>
      <c r="C169" s="3" t="inlineStr">
        <is>
          <t>EGGS</t>
        </is>
      </c>
      <c r="D169" s="3" t="inlineStr">
        <is>
          <t>INSEE BDM 010776696: Indice mensuel des prix agricoles à la production (IPPAP) - Oeufs</t>
        </is>
      </c>
      <c r="E169" s="3" t="inlineStr">
        <is>
          <t>unit</t>
        </is>
      </c>
      <c r="F169" s="3" t="n">
        <v>0.25</v>
      </c>
      <c r="G169" s="3" t="inlineStr">
        <is>
          <t>2022-09</t>
        </is>
      </c>
      <c r="H169" s="3" t="n">
        <v>0.6118</v>
      </c>
    </row>
    <row r="170" ht="20" customHeight="1">
      <c r="A170" s="3" t="inlineStr">
        <is>
          <t>Eggs</t>
        </is>
      </c>
      <c r="B170" s="3" t="n"/>
      <c r="C170" s="3" t="inlineStr">
        <is>
          <t>EGGS</t>
        </is>
      </c>
      <c r="D170" s="3" t="inlineStr">
        <is>
          <t>INSEE BDM 010776696: Indice mensuel des prix agricoles à la production (IPPAP) - Oeufs</t>
        </is>
      </c>
      <c r="E170" s="3" t="inlineStr">
        <is>
          <t>unit</t>
        </is>
      </c>
      <c r="F170" s="3" t="n">
        <v>0.25</v>
      </c>
      <c r="G170" s="3" t="inlineStr">
        <is>
          <t>2022-10</t>
        </is>
      </c>
      <c r="H170" s="3" t="n">
        <v>0.6526</v>
      </c>
    </row>
    <row r="171" ht="20" customHeight="1">
      <c r="A171" s="3" t="inlineStr">
        <is>
          <t>Eggs</t>
        </is>
      </c>
      <c r="B171" s="3" t="n"/>
      <c r="C171" s="3" t="inlineStr">
        <is>
          <t>EGGS</t>
        </is>
      </c>
      <c r="D171" s="3" t="inlineStr">
        <is>
          <t>INSEE BDM 010776696: Indice mensuel des prix agricoles à la production (IPPAP) - Oeufs</t>
        </is>
      </c>
      <c r="E171" s="3" t="inlineStr">
        <is>
          <t>unit</t>
        </is>
      </c>
      <c r="F171" s="3" t="n">
        <v>0.25</v>
      </c>
      <c r="G171" s="3" t="inlineStr">
        <is>
          <t>2022-11</t>
        </is>
      </c>
      <c r="H171" s="3" t="n">
        <v>0.6682</v>
      </c>
    </row>
    <row r="172" ht="20" customHeight="1">
      <c r="A172" s="3" t="inlineStr">
        <is>
          <t>Eggs</t>
        </is>
      </c>
      <c r="B172" s="3" t="n"/>
      <c r="C172" s="3" t="inlineStr">
        <is>
          <t>EGGS</t>
        </is>
      </c>
      <c r="D172" s="3" t="inlineStr">
        <is>
          <t>INSEE BDM 010776696: Indice mensuel des prix agricoles à la production (IPPAP) - Oeufs</t>
        </is>
      </c>
      <c r="E172" s="3" t="inlineStr">
        <is>
          <t>unit</t>
        </is>
      </c>
      <c r="F172" s="3" t="n">
        <v>0.25</v>
      </c>
      <c r="G172" s="3" t="inlineStr">
        <is>
          <t>2022-12</t>
        </is>
      </c>
      <c r="H172" s="3" t="n">
        <v>0.6777</v>
      </c>
    </row>
    <row r="173" ht="20" customHeight="1">
      <c r="A173" s="3" t="inlineStr">
        <is>
          <t>Eggs</t>
        </is>
      </c>
      <c r="B173" s="3" t="n"/>
      <c r="C173" s="3" t="inlineStr">
        <is>
          <t>EGGS</t>
        </is>
      </c>
      <c r="D173" s="3" t="inlineStr">
        <is>
          <t>INSEE BDM 010776696: Indice mensuel des prix agricoles à la production (IPPAP) - Oeufs</t>
        </is>
      </c>
      <c r="E173" s="3" t="inlineStr">
        <is>
          <t>unit</t>
        </is>
      </c>
      <c r="F173" s="3" t="n">
        <v>0.25</v>
      </c>
      <c r="G173" s="3" t="inlineStr">
        <is>
          <t>2023-01</t>
        </is>
      </c>
      <c r="H173" s="3" t="n">
        <v>0.6863</v>
      </c>
    </row>
    <row r="174" ht="20" customHeight="1">
      <c r="A174" s="3" t="inlineStr">
        <is>
          <t>Eggs</t>
        </is>
      </c>
      <c r="B174" s="3" t="n"/>
      <c r="C174" s="3" t="inlineStr">
        <is>
          <t>EGGS</t>
        </is>
      </c>
      <c r="D174" s="3" t="inlineStr">
        <is>
          <t>INSEE BDM 010776696: Indice mensuel des prix agricoles à la production (IPPAP) - Oeufs</t>
        </is>
      </c>
      <c r="E174" s="3" t="inlineStr">
        <is>
          <t>unit</t>
        </is>
      </c>
      <c r="F174" s="3" t="n">
        <v>0.25</v>
      </c>
      <c r="G174" s="3" t="inlineStr">
        <is>
          <t>2023-02</t>
        </is>
      </c>
      <c r="H174" s="3" t="n">
        <v>0.6973</v>
      </c>
    </row>
    <row r="175" ht="20" customHeight="1">
      <c r="A175" s="3" t="inlineStr">
        <is>
          <t>Eggs</t>
        </is>
      </c>
      <c r="B175" s="3" t="n"/>
      <c r="C175" s="3" t="inlineStr">
        <is>
          <t>EGGS</t>
        </is>
      </c>
      <c r="D175" s="3" t="inlineStr">
        <is>
          <t>INSEE BDM 010776696: Indice mensuel des prix agricoles à la production (IPPAP) - Oeufs</t>
        </is>
      </c>
      <c r="E175" s="3" t="inlineStr">
        <is>
          <t>unit</t>
        </is>
      </c>
      <c r="F175" s="3" t="n">
        <v>0.25</v>
      </c>
      <c r="G175" s="3" t="inlineStr">
        <is>
          <t>2023-03</t>
        </is>
      </c>
      <c r="H175" s="3" t="n">
        <v>0.7252</v>
      </c>
    </row>
    <row r="176" ht="20" customHeight="1">
      <c r="A176" s="3" t="inlineStr">
        <is>
          <t>Eggs</t>
        </is>
      </c>
      <c r="B176" s="3" t="n"/>
      <c r="C176" s="3" t="inlineStr">
        <is>
          <t>EGGS</t>
        </is>
      </c>
      <c r="D176" s="3" t="inlineStr">
        <is>
          <t>INSEE BDM 010776696: Indice mensuel des prix agricoles à la production (IPPAP) - Oeufs</t>
        </is>
      </c>
      <c r="E176" s="3" t="inlineStr">
        <is>
          <t>unit</t>
        </is>
      </c>
      <c r="F176" s="3" t="n">
        <v>0.25</v>
      </c>
      <c r="G176" s="3" t="inlineStr">
        <is>
          <t>2023-04</t>
        </is>
      </c>
      <c r="H176" s="3" t="n">
        <v>0.7289</v>
      </c>
    </row>
    <row r="177" ht="20" customHeight="1">
      <c r="A177" s="3" t="inlineStr">
        <is>
          <t>Eggs</t>
        </is>
      </c>
      <c r="B177" s="3" t="n"/>
      <c r="C177" s="3" t="inlineStr">
        <is>
          <t>EGGS</t>
        </is>
      </c>
      <c r="D177" s="3" t="inlineStr">
        <is>
          <t>INSEE BDM 010776696: Indice mensuel des prix agricoles à la production (IPPAP) - Oeufs</t>
        </is>
      </c>
      <c r="E177" s="3" t="inlineStr">
        <is>
          <t>unit</t>
        </is>
      </c>
      <c r="F177" s="3" t="n">
        <v>0.25</v>
      </c>
      <c r="G177" s="3" t="inlineStr">
        <is>
          <t>2023-05</t>
        </is>
      </c>
      <c r="H177" s="3" t="n">
        <v>0.6949</v>
      </c>
    </row>
    <row r="178" ht="20" customHeight="1">
      <c r="A178" s="3" t="inlineStr">
        <is>
          <t>Eggs</t>
        </is>
      </c>
      <c r="B178" s="3" t="n"/>
      <c r="C178" s="3" t="inlineStr">
        <is>
          <t>EGGS</t>
        </is>
      </c>
      <c r="D178" s="3" t="inlineStr">
        <is>
          <t>INSEE BDM 010776696: Indice mensuel des prix agricoles à la production (IPPAP) - Oeufs</t>
        </is>
      </c>
      <c r="E178" s="3" t="inlineStr">
        <is>
          <t>unit</t>
        </is>
      </c>
      <c r="F178" s="3" t="n">
        <v>0.25</v>
      </c>
      <c r="G178" s="3" t="inlineStr">
        <is>
          <t>2023-06</t>
        </is>
      </c>
      <c r="H178" s="3" t="n">
        <v>0.598</v>
      </c>
    </row>
    <row r="179" ht="20" customHeight="1">
      <c r="A179" s="3" t="inlineStr">
        <is>
          <t>Eggs</t>
        </is>
      </c>
      <c r="B179" s="3" t="n"/>
      <c r="C179" s="3" t="inlineStr">
        <is>
          <t>EGGS</t>
        </is>
      </c>
      <c r="D179" s="3" t="inlineStr">
        <is>
          <t>INSEE BDM 010776696: Indice mensuel des prix agricoles à la production (IPPAP) - Oeufs</t>
        </is>
      </c>
      <c r="E179" s="3" t="inlineStr">
        <is>
          <t>unit</t>
        </is>
      </c>
      <c r="F179" s="3" t="n">
        <v>0.25</v>
      </c>
      <c r="G179" s="3" t="inlineStr">
        <is>
          <t>2023-07</t>
        </is>
      </c>
      <c r="H179" s="3" t="n">
        <v>0.4804</v>
      </c>
    </row>
    <row r="180" ht="20" customHeight="1">
      <c r="A180" s="3" t="inlineStr">
        <is>
          <t>Eggs</t>
        </is>
      </c>
      <c r="B180" s="3" t="n"/>
      <c r="C180" s="3" t="inlineStr">
        <is>
          <t>EGGS</t>
        </is>
      </c>
      <c r="D180" s="3" t="inlineStr">
        <is>
          <t>INSEE BDM 010776696: Indice mensuel des prix agricoles à la production (IPPAP) - Oeufs</t>
        </is>
      </c>
      <c r="E180" s="3" t="inlineStr">
        <is>
          <t>unit</t>
        </is>
      </c>
      <c r="F180" s="3" t="n">
        <v>0.25</v>
      </c>
      <c r="G180" s="3" t="inlineStr">
        <is>
          <t>2023-08</t>
        </is>
      </c>
      <c r="H180" s="3" t="n">
        <v>0.4268</v>
      </c>
    </row>
    <row r="181" ht="20" customHeight="1">
      <c r="A181" s="3" t="inlineStr">
        <is>
          <t>Eggs</t>
        </is>
      </c>
      <c r="B181" s="3" t="n"/>
      <c r="C181" s="3" t="inlineStr">
        <is>
          <t>EGGS</t>
        </is>
      </c>
      <c r="D181" s="3" t="inlineStr">
        <is>
          <t>INSEE BDM 010776696: Indice mensuel des prix agricoles à la production (IPPAP) - Oeufs</t>
        </is>
      </c>
      <c r="E181" s="3" t="inlineStr">
        <is>
          <t>unit</t>
        </is>
      </c>
      <c r="F181" s="3" t="n">
        <v>0.25</v>
      </c>
      <c r="G181" s="3" t="inlineStr">
        <is>
          <t>2023-09</t>
        </is>
      </c>
      <c r="H181" s="3" t="n">
        <v>0.4767</v>
      </c>
    </row>
    <row r="182" ht="20" customHeight="1">
      <c r="A182" s="3" t="inlineStr">
        <is>
          <t>Eggs</t>
        </is>
      </c>
      <c r="B182" s="3" t="n"/>
      <c r="C182" s="3" t="inlineStr">
        <is>
          <t>EGGS</t>
        </is>
      </c>
      <c r="D182" s="3" t="inlineStr">
        <is>
          <t>INSEE BDM 010776696: Indice mensuel des prix agricoles à la production (IPPAP) - Oeufs</t>
        </is>
      </c>
      <c r="E182" s="3" t="inlineStr">
        <is>
          <t>unit</t>
        </is>
      </c>
      <c r="F182" s="3" t="n">
        <v>0.25</v>
      </c>
      <c r="G182" s="3" t="inlineStr">
        <is>
          <t>2023-10</t>
        </is>
      </c>
      <c r="H182" s="3" t="n">
        <v>0.5254</v>
      </c>
    </row>
    <row r="183" ht="20" customHeight="1">
      <c r="A183" s="3" t="inlineStr">
        <is>
          <t>Eggs</t>
        </is>
      </c>
      <c r="B183" s="3" t="n"/>
      <c r="C183" s="3" t="inlineStr">
        <is>
          <t>EGGS</t>
        </is>
      </c>
      <c r="D183" s="3" t="inlineStr">
        <is>
          <t>INSEE BDM 010776696: Indice mensuel des prix agricoles à la production (IPPAP) - Oeufs</t>
        </is>
      </c>
      <c r="E183" s="3" t="inlineStr">
        <is>
          <t>unit</t>
        </is>
      </c>
      <c r="F183" s="3" t="n">
        <v>0.25</v>
      </c>
      <c r="G183" s="3" t="inlineStr">
        <is>
          <t>2023-11</t>
        </is>
      </c>
      <c r="H183" s="3" t="n">
        <v>0.5921999999999999</v>
      </c>
    </row>
    <row r="184" ht="20" customHeight="1">
      <c r="A184" s="3" t="inlineStr">
        <is>
          <t>Eggs</t>
        </is>
      </c>
      <c r="B184" s="3" t="n"/>
      <c r="C184" s="3" t="inlineStr">
        <is>
          <t>EGGS</t>
        </is>
      </c>
      <c r="D184" s="3" t="inlineStr">
        <is>
          <t>INSEE BDM 010776696: Indice mensuel des prix agricoles à la production (IPPAP) - Oeufs</t>
        </is>
      </c>
      <c r="E184" s="3" t="inlineStr">
        <is>
          <t>unit</t>
        </is>
      </c>
      <c r="F184" s="3" t="n">
        <v>0.25</v>
      </c>
      <c r="G184" s="3" t="inlineStr">
        <is>
          <t>2023-12</t>
        </is>
      </c>
      <c r="H184" s="3" t="n">
        <v>0.6207</v>
      </c>
    </row>
    <row r="185" ht="20" customHeight="1">
      <c r="A185" s="3" t="inlineStr">
        <is>
          <t>Electricity for ovens and refrigeration</t>
        </is>
      </c>
      <c r="B185" s="3" t="inlineStr">
        <is>
          <t>Electricity</t>
        </is>
      </c>
      <c r="C185" s="3" t="inlineStr">
        <is>
          <t>ELECTRICITY</t>
        </is>
      </c>
      <c r="D185" s="3" t="inlineStr">
        <is>
          <t>INSEE BDM 010777317: Indice mensuel des prix d'achat des moyens de production agricole (IPAMPA) - Electricité</t>
        </is>
      </c>
      <c r="E185" s="3" t="inlineStr">
        <is>
          <t>kWh</t>
        </is>
      </c>
      <c r="F185" s="3" t="n">
        <v>0.17</v>
      </c>
      <c r="G185" s="3" t="inlineStr">
        <is>
          <t>2021-01</t>
        </is>
      </c>
      <c r="H185" s="3" t="n">
        <v>0.17</v>
      </c>
    </row>
    <row r="186" ht="20" customHeight="1">
      <c r="A186" s="3" t="inlineStr">
        <is>
          <t>Electricity for ovens and refrigeration</t>
        </is>
      </c>
      <c r="B186" s="3" t="inlineStr">
        <is>
          <t>Electricity</t>
        </is>
      </c>
      <c r="C186" s="3" t="inlineStr">
        <is>
          <t>ELECTRICITY</t>
        </is>
      </c>
      <c r="D186" s="3" t="inlineStr">
        <is>
          <t>INSEE BDM 010777317: Indice mensuel des prix d'achat des moyens de production agricole (IPAMPA) - Electricité</t>
        </is>
      </c>
      <c r="E186" s="3" t="inlineStr">
        <is>
          <t>kWh</t>
        </is>
      </c>
      <c r="F186" s="3" t="n">
        <v>0.17</v>
      </c>
      <c r="G186" s="3" t="inlineStr">
        <is>
          <t>2021-02</t>
        </is>
      </c>
      <c r="H186" s="3" t="n">
        <v>0.1725</v>
      </c>
    </row>
    <row r="187" ht="20" customHeight="1">
      <c r="A187" s="3" t="inlineStr">
        <is>
          <t>Electricity for ovens and refrigeration</t>
        </is>
      </c>
      <c r="B187" s="3" t="inlineStr">
        <is>
          <t>Electricity</t>
        </is>
      </c>
      <c r="C187" s="3" t="inlineStr">
        <is>
          <t>ELECTRICITY</t>
        </is>
      </c>
      <c r="D187" s="3" t="inlineStr">
        <is>
          <t>INSEE BDM 010777317: Indice mensuel des prix d'achat des moyens de production agricole (IPAMPA) - Electricité</t>
        </is>
      </c>
      <c r="E187" s="3" t="inlineStr">
        <is>
          <t>kWh</t>
        </is>
      </c>
      <c r="F187" s="3" t="n">
        <v>0.17</v>
      </c>
      <c r="G187" s="3" t="inlineStr">
        <is>
          <t>2021-03</t>
        </is>
      </c>
      <c r="H187" s="3" t="n">
        <v>0.1725</v>
      </c>
    </row>
    <row r="188" ht="20" customHeight="1">
      <c r="A188" s="3" t="inlineStr">
        <is>
          <t>Electricity for ovens and refrigeration</t>
        </is>
      </c>
      <c r="B188" s="3" t="inlineStr">
        <is>
          <t>Electricity</t>
        </is>
      </c>
      <c r="C188" s="3" t="inlineStr">
        <is>
          <t>ELECTRICITY</t>
        </is>
      </c>
      <c r="D188" s="3" t="inlineStr">
        <is>
          <t>INSEE BDM 010777317: Indice mensuel des prix d'achat des moyens de production agricole (IPAMPA) - Electricité</t>
        </is>
      </c>
      <c r="E188" s="3" t="inlineStr">
        <is>
          <t>kWh</t>
        </is>
      </c>
      <c r="F188" s="3" t="n">
        <v>0.17</v>
      </c>
      <c r="G188" s="3" t="inlineStr">
        <is>
          <t>2021-04</t>
        </is>
      </c>
      <c r="H188" s="3" t="n">
        <v>0.1725</v>
      </c>
    </row>
    <row r="189" ht="20" customHeight="1">
      <c r="A189" s="3" t="inlineStr">
        <is>
          <t>Electricity for ovens and refrigeration</t>
        </is>
      </c>
      <c r="B189" s="3" t="inlineStr">
        <is>
          <t>Electricity</t>
        </is>
      </c>
      <c r="C189" s="3" t="inlineStr">
        <is>
          <t>ELECTRICITY</t>
        </is>
      </c>
      <c r="D189" s="3" t="inlineStr">
        <is>
          <t>INSEE BDM 010777317: Indice mensuel des prix d'achat des moyens de production agricole (IPAMPA) - Electricité</t>
        </is>
      </c>
      <c r="E189" s="3" t="inlineStr">
        <is>
          <t>kWh</t>
        </is>
      </c>
      <c r="F189" s="3" t="n">
        <v>0.17</v>
      </c>
      <c r="G189" s="3" t="inlineStr">
        <is>
          <t>2021-05</t>
        </is>
      </c>
      <c r="H189" s="3" t="n">
        <v>0.1727</v>
      </c>
    </row>
    <row r="190" ht="20" customHeight="1">
      <c r="A190" s="3" t="inlineStr">
        <is>
          <t>Electricity for ovens and refrigeration</t>
        </is>
      </c>
      <c r="B190" s="3" t="inlineStr">
        <is>
          <t>Electricity</t>
        </is>
      </c>
      <c r="C190" s="3" t="inlineStr">
        <is>
          <t>ELECTRICITY</t>
        </is>
      </c>
      <c r="D190" s="3" t="inlineStr">
        <is>
          <t>INSEE BDM 010777317: Indice mensuel des prix d'achat des moyens de production agricole (IPAMPA) - Electricité</t>
        </is>
      </c>
      <c r="E190" s="3" t="inlineStr">
        <is>
          <t>kWh</t>
        </is>
      </c>
      <c r="F190" s="3" t="n">
        <v>0.17</v>
      </c>
      <c r="G190" s="3" t="inlineStr">
        <is>
          <t>2021-06</t>
        </is>
      </c>
      <c r="H190" s="3" t="n">
        <v>0.1727</v>
      </c>
    </row>
    <row r="191" ht="20" customHeight="1">
      <c r="A191" s="3" t="inlineStr">
        <is>
          <t>Electricity for ovens and refrigeration</t>
        </is>
      </c>
      <c r="B191" s="3" t="inlineStr">
        <is>
          <t>Electricity</t>
        </is>
      </c>
      <c r="C191" s="3" t="inlineStr">
        <is>
          <t>ELECTRICITY</t>
        </is>
      </c>
      <c r="D191" s="3" t="inlineStr">
        <is>
          <t>INSEE BDM 010777317: Indice mensuel des prix d'achat des moyens de production agricole (IPAMPA) - Electricité</t>
        </is>
      </c>
      <c r="E191" s="3" t="inlineStr">
        <is>
          <t>kWh</t>
        </is>
      </c>
      <c r="F191" s="3" t="n">
        <v>0.17</v>
      </c>
      <c r="G191" s="3" t="inlineStr">
        <is>
          <t>2021-07</t>
        </is>
      </c>
      <c r="H191" s="3" t="n">
        <v>0.1727</v>
      </c>
    </row>
    <row r="192" ht="20" customHeight="1">
      <c r="A192" s="3" t="inlineStr">
        <is>
          <t>Electricity for ovens and refrigeration</t>
        </is>
      </c>
      <c r="B192" s="3" t="inlineStr">
        <is>
          <t>Electricity</t>
        </is>
      </c>
      <c r="C192" s="3" t="inlineStr">
        <is>
          <t>ELECTRICITY</t>
        </is>
      </c>
      <c r="D192" s="3" t="inlineStr">
        <is>
          <t>INSEE BDM 010777317: Indice mensuel des prix d'achat des moyens de production agricole (IPAMPA) - Electricité</t>
        </is>
      </c>
      <c r="E192" s="3" t="inlineStr">
        <is>
          <t>kWh</t>
        </is>
      </c>
      <c r="F192" s="3" t="n">
        <v>0.17</v>
      </c>
      <c r="G192" s="3" t="inlineStr">
        <is>
          <t>2021-08</t>
        </is>
      </c>
      <c r="H192" s="3" t="n">
        <v>0.1737</v>
      </c>
    </row>
    <row r="193" ht="20" customHeight="1">
      <c r="A193" s="3" t="inlineStr">
        <is>
          <t>Electricity for ovens and refrigeration</t>
        </is>
      </c>
      <c r="B193" s="3" t="inlineStr">
        <is>
          <t>Electricity</t>
        </is>
      </c>
      <c r="C193" s="3" t="inlineStr">
        <is>
          <t>ELECTRICITY</t>
        </is>
      </c>
      <c r="D193" s="3" t="inlineStr">
        <is>
          <t>INSEE BDM 010777317: Indice mensuel des prix d'achat des moyens de production agricole (IPAMPA) - Electricité</t>
        </is>
      </c>
      <c r="E193" s="3" t="inlineStr">
        <is>
          <t>kWh</t>
        </is>
      </c>
      <c r="F193" s="3" t="n">
        <v>0.17</v>
      </c>
      <c r="G193" s="3" t="inlineStr">
        <is>
          <t>2021-09</t>
        </is>
      </c>
      <c r="H193" s="3" t="n">
        <v>0.1737</v>
      </c>
    </row>
    <row r="194" ht="20" customHeight="1">
      <c r="A194" s="3" t="inlineStr">
        <is>
          <t>Electricity for ovens and refrigeration</t>
        </is>
      </c>
      <c r="B194" s="3" t="inlineStr">
        <is>
          <t>Electricity</t>
        </is>
      </c>
      <c r="C194" s="3" t="inlineStr">
        <is>
          <t>ELECTRICITY</t>
        </is>
      </c>
      <c r="D194" s="3" t="inlineStr">
        <is>
          <t>INSEE BDM 010777317: Indice mensuel des prix d'achat des moyens de production agricole (IPAMPA) - Electricité</t>
        </is>
      </c>
      <c r="E194" s="3" t="inlineStr">
        <is>
          <t>kWh</t>
        </is>
      </c>
      <c r="F194" s="3" t="n">
        <v>0.17</v>
      </c>
      <c r="G194" s="3" t="inlineStr">
        <is>
          <t>2021-10</t>
        </is>
      </c>
      <c r="H194" s="3" t="n">
        <v>0.1742</v>
      </c>
    </row>
    <row r="195" ht="20" customHeight="1">
      <c r="A195" s="3" t="inlineStr">
        <is>
          <t>Electricity for ovens and refrigeration</t>
        </is>
      </c>
      <c r="B195" s="3" t="inlineStr">
        <is>
          <t>Electricity</t>
        </is>
      </c>
      <c r="C195" s="3" t="inlineStr">
        <is>
          <t>ELECTRICITY</t>
        </is>
      </c>
      <c r="D195" s="3" t="inlineStr">
        <is>
          <t>INSEE BDM 010777317: Indice mensuel des prix d'achat des moyens de production agricole (IPAMPA) - Electricité</t>
        </is>
      </c>
      <c r="E195" s="3" t="inlineStr">
        <is>
          <t>kWh</t>
        </is>
      </c>
      <c r="F195" s="3" t="n">
        <v>0.17</v>
      </c>
      <c r="G195" s="3" t="inlineStr">
        <is>
          <t>2021-11</t>
        </is>
      </c>
      <c r="H195" s="3" t="n">
        <v>0.1754</v>
      </c>
    </row>
    <row r="196" ht="20" customHeight="1">
      <c r="A196" s="3" t="inlineStr">
        <is>
          <t>Electricity for ovens and refrigeration</t>
        </is>
      </c>
      <c r="B196" s="3" t="inlineStr">
        <is>
          <t>Electricity</t>
        </is>
      </c>
      <c r="C196" s="3" t="inlineStr">
        <is>
          <t>ELECTRICITY</t>
        </is>
      </c>
      <c r="D196" s="3" t="inlineStr">
        <is>
          <t>INSEE BDM 010777317: Indice mensuel des prix d'achat des moyens de production agricole (IPAMPA) - Electricité</t>
        </is>
      </c>
      <c r="E196" s="3" t="inlineStr">
        <is>
          <t>kWh</t>
        </is>
      </c>
      <c r="F196" s="3" t="n">
        <v>0.17</v>
      </c>
      <c r="G196" s="3" t="inlineStr">
        <is>
          <t>2021-12</t>
        </is>
      </c>
      <c r="H196" s="3" t="n">
        <v>0.175</v>
      </c>
    </row>
    <row r="197" ht="20" customHeight="1">
      <c r="A197" s="3" t="inlineStr">
        <is>
          <t>Electricity for ovens and refrigeration</t>
        </is>
      </c>
      <c r="B197" s="3" t="inlineStr">
        <is>
          <t>Electricity</t>
        </is>
      </c>
      <c r="C197" s="3" t="inlineStr">
        <is>
          <t>ELECTRICITY</t>
        </is>
      </c>
      <c r="D197" s="3" t="inlineStr">
        <is>
          <t>INSEE BDM 010777317: Indice mensuel des prix d'achat des moyens de production agricole (IPAMPA) - Electricité</t>
        </is>
      </c>
      <c r="E197" s="3" t="inlineStr">
        <is>
          <t>kWh</t>
        </is>
      </c>
      <c r="F197" s="3" t="n">
        <v>0.17</v>
      </c>
      <c r="G197" s="3" t="inlineStr">
        <is>
          <t>2022-01</t>
        </is>
      </c>
      <c r="H197" s="3" t="n">
        <v>0.1766</v>
      </c>
    </row>
    <row r="198" ht="20" customHeight="1">
      <c r="A198" s="3" t="inlineStr">
        <is>
          <t>Electricity for ovens and refrigeration</t>
        </is>
      </c>
      <c r="B198" s="3" t="inlineStr">
        <is>
          <t>Electricity</t>
        </is>
      </c>
      <c r="C198" s="3" t="inlineStr">
        <is>
          <t>ELECTRICITY</t>
        </is>
      </c>
      <c r="D198" s="3" t="inlineStr">
        <is>
          <t>INSEE BDM 010777317: Indice mensuel des prix d'achat des moyens de production agricole (IPAMPA) - Electricité</t>
        </is>
      </c>
      <c r="E198" s="3" t="inlineStr">
        <is>
          <t>kWh</t>
        </is>
      </c>
      <c r="F198" s="3" t="n">
        <v>0.17</v>
      </c>
      <c r="G198" s="3" t="inlineStr">
        <is>
          <t>2022-02</t>
        </is>
      </c>
      <c r="H198" s="3" t="n">
        <v>0.1809</v>
      </c>
    </row>
    <row r="199" ht="20" customHeight="1">
      <c r="A199" s="3" t="inlineStr">
        <is>
          <t>Electricity for ovens and refrigeration</t>
        </is>
      </c>
      <c r="B199" s="3" t="inlineStr">
        <is>
          <t>Electricity</t>
        </is>
      </c>
      <c r="C199" s="3" t="inlineStr">
        <is>
          <t>ELECTRICITY</t>
        </is>
      </c>
      <c r="D199" s="3" t="inlineStr">
        <is>
          <t>INSEE BDM 010777317: Indice mensuel des prix d'achat des moyens de production agricole (IPAMPA) - Electricité</t>
        </is>
      </c>
      <c r="E199" s="3" t="inlineStr">
        <is>
          <t>kWh</t>
        </is>
      </c>
      <c r="F199" s="3" t="n">
        <v>0.17</v>
      </c>
      <c r="G199" s="3" t="inlineStr">
        <is>
          <t>2022-03</t>
        </is>
      </c>
      <c r="H199" s="3" t="n">
        <v>0.1829</v>
      </c>
    </row>
    <row r="200" ht="20" customHeight="1">
      <c r="A200" s="3" t="inlineStr">
        <is>
          <t>Electricity for ovens and refrigeration</t>
        </is>
      </c>
      <c r="B200" s="3" t="inlineStr">
        <is>
          <t>Electricity</t>
        </is>
      </c>
      <c r="C200" s="3" t="inlineStr">
        <is>
          <t>ELECTRICITY</t>
        </is>
      </c>
      <c r="D200" s="3" t="inlineStr">
        <is>
          <t>INSEE BDM 010777317: Indice mensuel des prix d'achat des moyens de production agricole (IPAMPA) - Electricité</t>
        </is>
      </c>
      <c r="E200" s="3" t="inlineStr">
        <is>
          <t>kWh</t>
        </is>
      </c>
      <c r="F200" s="3" t="n">
        <v>0.17</v>
      </c>
      <c r="G200" s="3" t="inlineStr">
        <is>
          <t>2022-04</t>
        </is>
      </c>
      <c r="H200" s="3" t="n">
        <v>0.1845</v>
      </c>
    </row>
    <row r="201" ht="20" customHeight="1">
      <c r="A201" s="3" t="inlineStr">
        <is>
          <t>Electricity for ovens and refrigeration</t>
        </is>
      </c>
      <c r="B201" s="3" t="inlineStr">
        <is>
          <t>Electricity</t>
        </is>
      </c>
      <c r="C201" s="3" t="inlineStr">
        <is>
          <t>ELECTRICITY</t>
        </is>
      </c>
      <c r="D201" s="3" t="inlineStr">
        <is>
          <t>INSEE BDM 010777317: Indice mensuel des prix d'achat des moyens de production agricole (IPAMPA) - Electricité</t>
        </is>
      </c>
      <c r="E201" s="3" t="inlineStr">
        <is>
          <t>kWh</t>
        </is>
      </c>
      <c r="F201" s="3" t="n">
        <v>0.17</v>
      </c>
      <c r="G201" s="3" t="inlineStr">
        <is>
          <t>2022-05</t>
        </is>
      </c>
      <c r="H201" s="3" t="n">
        <v>0.1838</v>
      </c>
    </row>
    <row r="202" ht="20" customHeight="1">
      <c r="A202" s="3" t="inlineStr">
        <is>
          <t>Electricity for ovens and refrigeration</t>
        </is>
      </c>
      <c r="B202" s="3" t="inlineStr">
        <is>
          <t>Electricity</t>
        </is>
      </c>
      <c r="C202" s="3" t="inlineStr">
        <is>
          <t>ELECTRICITY</t>
        </is>
      </c>
      <c r="D202" s="3" t="inlineStr">
        <is>
          <t>INSEE BDM 010777317: Indice mensuel des prix d'achat des moyens de production agricole (IPAMPA) - Electricité</t>
        </is>
      </c>
      <c r="E202" s="3" t="inlineStr">
        <is>
          <t>kWh</t>
        </is>
      </c>
      <c r="F202" s="3" t="n">
        <v>0.17</v>
      </c>
      <c r="G202" s="3" t="inlineStr">
        <is>
          <t>2022-06</t>
        </is>
      </c>
      <c r="H202" s="3" t="n">
        <v>0.1858</v>
      </c>
    </row>
    <row r="203" ht="20" customHeight="1">
      <c r="A203" s="3" t="inlineStr">
        <is>
          <t>Electricity for ovens and refrigeration</t>
        </is>
      </c>
      <c r="B203" s="3" t="inlineStr">
        <is>
          <t>Electricity</t>
        </is>
      </c>
      <c r="C203" s="3" t="inlineStr">
        <is>
          <t>ELECTRICITY</t>
        </is>
      </c>
      <c r="D203" s="3" t="inlineStr">
        <is>
          <t>INSEE BDM 010777317: Indice mensuel des prix d'achat des moyens de production agricole (IPAMPA) - Electricité</t>
        </is>
      </c>
      <c r="E203" s="3" t="inlineStr">
        <is>
          <t>kWh</t>
        </is>
      </c>
      <c r="F203" s="3" t="n">
        <v>0.17</v>
      </c>
      <c r="G203" s="3" t="inlineStr">
        <is>
          <t>2022-07</t>
        </is>
      </c>
      <c r="H203" s="3" t="n">
        <v>0.187</v>
      </c>
    </row>
    <row r="204" ht="20" customHeight="1">
      <c r="A204" s="3" t="inlineStr">
        <is>
          <t>Electricity for ovens and refrigeration</t>
        </is>
      </c>
      <c r="B204" s="3" t="inlineStr">
        <is>
          <t>Electricity</t>
        </is>
      </c>
      <c r="C204" s="3" t="inlineStr">
        <is>
          <t>ELECTRICITY</t>
        </is>
      </c>
      <c r="D204" s="3" t="inlineStr">
        <is>
          <t>INSEE BDM 010777317: Indice mensuel des prix d'achat des moyens de production agricole (IPAMPA) - Electricité</t>
        </is>
      </c>
      <c r="E204" s="3" t="inlineStr">
        <is>
          <t>kWh</t>
        </is>
      </c>
      <c r="F204" s="3" t="n">
        <v>0.17</v>
      </c>
      <c r="G204" s="3" t="inlineStr">
        <is>
          <t>2022-08</t>
        </is>
      </c>
      <c r="H204" s="3" t="n">
        <v>0.1872</v>
      </c>
    </row>
    <row r="205" ht="20" customHeight="1">
      <c r="A205" s="3" t="inlineStr">
        <is>
          <t>Electricity for ovens and refrigeration</t>
        </is>
      </c>
      <c r="B205" s="3" t="inlineStr">
        <is>
          <t>Electricity</t>
        </is>
      </c>
      <c r="C205" s="3" t="inlineStr">
        <is>
          <t>ELECTRICITY</t>
        </is>
      </c>
      <c r="D205" s="3" t="inlineStr">
        <is>
          <t>INSEE BDM 010777317: Indice mensuel des prix d'achat des moyens de production agricole (IPAMPA) - Electricité</t>
        </is>
      </c>
      <c r="E205" s="3" t="inlineStr">
        <is>
          <t>kWh</t>
        </is>
      </c>
      <c r="F205" s="3" t="n">
        <v>0.17</v>
      </c>
      <c r="G205" s="3" t="inlineStr">
        <is>
          <t>2022-09</t>
        </is>
      </c>
      <c r="H205" s="3" t="n">
        <v>0.1922</v>
      </c>
    </row>
    <row r="206" ht="20" customHeight="1">
      <c r="A206" s="3" t="inlineStr">
        <is>
          <t>Electricity for ovens and refrigeration</t>
        </is>
      </c>
      <c r="B206" s="3" t="inlineStr">
        <is>
          <t>Electricity</t>
        </is>
      </c>
      <c r="C206" s="3" t="inlineStr">
        <is>
          <t>ELECTRICITY</t>
        </is>
      </c>
      <c r="D206" s="3" t="inlineStr">
        <is>
          <t>INSEE BDM 010777317: Indice mensuel des prix d'achat des moyens de production agricole (IPAMPA) - Electricité</t>
        </is>
      </c>
      <c r="E206" s="3" t="inlineStr">
        <is>
          <t>kWh</t>
        </is>
      </c>
      <c r="F206" s="3" t="n">
        <v>0.17</v>
      </c>
      <c r="G206" s="3" t="inlineStr">
        <is>
          <t>2022-10</t>
        </is>
      </c>
      <c r="H206" s="3" t="n">
        <v>0.1895</v>
      </c>
    </row>
    <row r="207" ht="20" customHeight="1">
      <c r="A207" s="3" t="inlineStr">
        <is>
          <t>Electricity for ovens and refrigeration</t>
        </is>
      </c>
      <c r="B207" s="3" t="inlineStr">
        <is>
          <t>Electricity</t>
        </is>
      </c>
      <c r="C207" s="3" t="inlineStr">
        <is>
          <t>ELECTRICITY</t>
        </is>
      </c>
      <c r="D207" s="3" t="inlineStr">
        <is>
          <t>INSEE BDM 010777317: Indice mensuel des prix d'achat des moyens de production agricole (IPAMPA) - Electricité</t>
        </is>
      </c>
      <c r="E207" s="3" t="inlineStr">
        <is>
          <t>kWh</t>
        </is>
      </c>
      <c r="F207" s="3" t="n">
        <v>0.17</v>
      </c>
      <c r="G207" s="3" t="inlineStr">
        <is>
          <t>2022-11</t>
        </is>
      </c>
      <c r="H207" s="3" t="n">
        <v>0.1927</v>
      </c>
    </row>
    <row r="208" ht="20" customHeight="1">
      <c r="A208" s="3" t="inlineStr">
        <is>
          <t>Electricity for ovens and refrigeration</t>
        </is>
      </c>
      <c r="B208" s="3" t="inlineStr">
        <is>
          <t>Electricity</t>
        </is>
      </c>
      <c r="C208" s="3" t="inlineStr">
        <is>
          <t>ELECTRICITY</t>
        </is>
      </c>
      <c r="D208" s="3" t="inlineStr">
        <is>
          <t>INSEE BDM 010777317: Indice mensuel des prix d'achat des moyens de production agricole (IPAMPA) - Electricité</t>
        </is>
      </c>
      <c r="E208" s="3" t="inlineStr">
        <is>
          <t>kWh</t>
        </is>
      </c>
      <c r="F208" s="3" t="n">
        <v>0.17</v>
      </c>
      <c r="G208" s="3" t="inlineStr">
        <is>
          <t>2022-12</t>
        </is>
      </c>
      <c r="H208" s="3" t="n">
        <v>0.1878</v>
      </c>
    </row>
    <row r="209" ht="20" customHeight="1">
      <c r="A209" s="3" t="inlineStr">
        <is>
          <t>Electricity for ovens and refrigeration</t>
        </is>
      </c>
      <c r="B209" s="3" t="inlineStr">
        <is>
          <t>Electricity</t>
        </is>
      </c>
      <c r="C209" s="3" t="inlineStr">
        <is>
          <t>ELECTRICITY</t>
        </is>
      </c>
      <c r="D209" s="3" t="inlineStr">
        <is>
          <t>INSEE BDM 010777317: Indice mensuel des prix d'achat des moyens de production agricole (IPAMPA) - Electricité</t>
        </is>
      </c>
      <c r="E209" s="3" t="inlineStr">
        <is>
          <t>kWh</t>
        </is>
      </c>
      <c r="F209" s="3" t="n">
        <v>0.17</v>
      </c>
      <c r="G209" s="3" t="inlineStr">
        <is>
          <t>2023-01</t>
        </is>
      </c>
      <c r="H209" s="3" t="n">
        <v>0.1821</v>
      </c>
    </row>
    <row r="210" ht="20" customHeight="1">
      <c r="A210" s="3" t="inlineStr">
        <is>
          <t>Electricity for ovens and refrigeration</t>
        </is>
      </c>
      <c r="B210" s="3" t="inlineStr">
        <is>
          <t>Electricity</t>
        </is>
      </c>
      <c r="C210" s="3" t="inlineStr">
        <is>
          <t>ELECTRICITY</t>
        </is>
      </c>
      <c r="D210" s="3" t="inlineStr">
        <is>
          <t>INSEE BDM 010777317: Indice mensuel des prix d'achat des moyens de production agricole (IPAMPA) - Electricité</t>
        </is>
      </c>
      <c r="E210" s="3" t="inlineStr">
        <is>
          <t>kWh</t>
        </is>
      </c>
      <c r="F210" s="3" t="n">
        <v>0.17</v>
      </c>
      <c r="G210" s="3" t="inlineStr">
        <is>
          <t>2023-02</t>
        </is>
      </c>
      <c r="H210" s="3" t="n">
        <v>0.1993</v>
      </c>
    </row>
    <row r="211" ht="20" customHeight="1">
      <c r="A211" s="3" t="inlineStr">
        <is>
          <t>Electricity for ovens and refrigeration</t>
        </is>
      </c>
      <c r="B211" s="3" t="inlineStr">
        <is>
          <t>Electricity</t>
        </is>
      </c>
      <c r="C211" s="3" t="inlineStr">
        <is>
          <t>ELECTRICITY</t>
        </is>
      </c>
      <c r="D211" s="3" t="inlineStr">
        <is>
          <t>INSEE BDM 010777317: Indice mensuel des prix d'achat des moyens de production agricole (IPAMPA) - Electricité</t>
        </is>
      </c>
      <c r="E211" s="3" t="inlineStr">
        <is>
          <t>kWh</t>
        </is>
      </c>
      <c r="F211" s="3" t="n">
        <v>0.17</v>
      </c>
      <c r="G211" s="3" t="inlineStr">
        <is>
          <t>2023-03</t>
        </is>
      </c>
      <c r="H211" s="3" t="n">
        <v>0.2031</v>
      </c>
    </row>
    <row r="212" ht="20" customHeight="1">
      <c r="A212" s="3" t="inlineStr">
        <is>
          <t>Electricity for ovens and refrigeration</t>
        </is>
      </c>
      <c r="B212" s="3" t="inlineStr">
        <is>
          <t>Electricity</t>
        </is>
      </c>
      <c r="C212" s="3" t="inlineStr">
        <is>
          <t>ELECTRICITY</t>
        </is>
      </c>
      <c r="D212" s="3" t="inlineStr">
        <is>
          <t>INSEE BDM 010777317: Indice mensuel des prix d'achat des moyens de production agricole (IPAMPA) - Electricité</t>
        </is>
      </c>
      <c r="E212" s="3" t="inlineStr">
        <is>
          <t>kWh</t>
        </is>
      </c>
      <c r="F212" s="3" t="n">
        <v>0.17</v>
      </c>
      <c r="G212" s="3" t="inlineStr">
        <is>
          <t>2023-04</t>
        </is>
      </c>
      <c r="H212" s="3" t="n">
        <v>0.2051</v>
      </c>
    </row>
    <row r="213" ht="20" customHeight="1">
      <c r="A213" s="3" t="inlineStr">
        <is>
          <t>Electricity for ovens and refrigeration</t>
        </is>
      </c>
      <c r="B213" s="3" t="inlineStr">
        <is>
          <t>Electricity</t>
        </is>
      </c>
      <c r="C213" s="3" t="inlineStr">
        <is>
          <t>ELECTRICITY</t>
        </is>
      </c>
      <c r="D213" s="3" t="inlineStr">
        <is>
          <t>INSEE BDM 010777317: Indice mensuel des prix d'achat des moyens de production agricole (IPAMPA) - Electricité</t>
        </is>
      </c>
      <c r="E213" s="3" t="inlineStr">
        <is>
          <t>kWh</t>
        </is>
      </c>
      <c r="F213" s="3" t="n">
        <v>0.17</v>
      </c>
      <c r="G213" s="3" t="inlineStr">
        <is>
          <t>2023-05</t>
        </is>
      </c>
      <c r="H213" s="3" t="n">
        <v>0.2046</v>
      </c>
    </row>
    <row r="214" ht="20" customHeight="1">
      <c r="A214" s="3" t="inlineStr">
        <is>
          <t>Electricity for ovens and refrigeration</t>
        </is>
      </c>
      <c r="B214" s="3" t="inlineStr">
        <is>
          <t>Electricity</t>
        </is>
      </c>
      <c r="C214" s="3" t="inlineStr">
        <is>
          <t>ELECTRICITY</t>
        </is>
      </c>
      <c r="D214" s="3" t="inlineStr">
        <is>
          <t>INSEE BDM 010777317: Indice mensuel des prix d'achat des moyens de production agricole (IPAMPA) - Electricité</t>
        </is>
      </c>
      <c r="E214" s="3" t="inlineStr">
        <is>
          <t>kWh</t>
        </is>
      </c>
      <c r="F214" s="3" t="n">
        <v>0.17</v>
      </c>
      <c r="G214" s="3" t="inlineStr">
        <is>
          <t>2023-06</t>
        </is>
      </c>
      <c r="H214" s="3" t="n">
        <v>0.2045</v>
      </c>
    </row>
    <row r="215" ht="20" customHeight="1">
      <c r="A215" s="3" t="inlineStr">
        <is>
          <t>Electricity for ovens and refrigeration</t>
        </is>
      </c>
      <c r="B215" s="3" t="inlineStr">
        <is>
          <t>Electricity</t>
        </is>
      </c>
      <c r="C215" s="3" t="inlineStr">
        <is>
          <t>ELECTRICITY</t>
        </is>
      </c>
      <c r="D215" s="3" t="inlineStr">
        <is>
          <t>INSEE BDM 010777317: Indice mensuel des prix d'achat des moyens de production agricole (IPAMPA) - Electricité</t>
        </is>
      </c>
      <c r="E215" s="3" t="inlineStr">
        <is>
          <t>kWh</t>
        </is>
      </c>
      <c r="F215" s="3" t="n">
        <v>0.17</v>
      </c>
      <c r="G215" s="3" t="inlineStr">
        <is>
          <t>2023-07</t>
        </is>
      </c>
      <c r="H215" s="3" t="n">
        <v>0.2045</v>
      </c>
    </row>
    <row r="216" ht="20" customHeight="1">
      <c r="A216" s="3" t="inlineStr">
        <is>
          <t>Electricity for ovens and refrigeration</t>
        </is>
      </c>
      <c r="B216" s="3" t="inlineStr">
        <is>
          <t>Electricity</t>
        </is>
      </c>
      <c r="C216" s="3" t="inlineStr">
        <is>
          <t>ELECTRICITY</t>
        </is>
      </c>
      <c r="D216" s="3" t="inlineStr">
        <is>
          <t>INSEE BDM 010777317: Indice mensuel des prix d'achat des moyens de production agricole (IPAMPA) - Electricité</t>
        </is>
      </c>
      <c r="E216" s="3" t="inlineStr">
        <is>
          <t>kWh</t>
        </is>
      </c>
      <c r="F216" s="3" t="n">
        <v>0.17</v>
      </c>
      <c r="G216" s="3" t="inlineStr">
        <is>
          <t>2023-08</t>
        </is>
      </c>
      <c r="H216" s="3" t="n">
        <v>0.2208</v>
      </c>
    </row>
    <row r="217" ht="20" customHeight="1">
      <c r="A217" s="3" t="inlineStr">
        <is>
          <t>Electricity for ovens and refrigeration</t>
        </is>
      </c>
      <c r="B217" s="3" t="inlineStr">
        <is>
          <t>Electricity</t>
        </is>
      </c>
      <c r="C217" s="3" t="inlineStr">
        <is>
          <t>ELECTRICITY</t>
        </is>
      </c>
      <c r="D217" s="3" t="inlineStr">
        <is>
          <t>INSEE BDM 010777317: Indice mensuel des prix d'achat des moyens de production agricole (IPAMPA) - Electricité</t>
        </is>
      </c>
      <c r="E217" s="3" t="inlineStr">
        <is>
          <t>kWh</t>
        </is>
      </c>
      <c r="F217" s="3" t="n">
        <v>0.17</v>
      </c>
      <c r="G217" s="3" t="inlineStr">
        <is>
          <t>2023-09</t>
        </is>
      </c>
      <c r="H217" s="3" t="n">
        <v>0.2231</v>
      </c>
    </row>
    <row r="218" ht="20" customHeight="1">
      <c r="A218" s="3" t="inlineStr">
        <is>
          <t>Electricity for ovens and refrigeration</t>
        </is>
      </c>
      <c r="B218" s="3" t="inlineStr">
        <is>
          <t>Electricity</t>
        </is>
      </c>
      <c r="C218" s="3" t="inlineStr">
        <is>
          <t>ELECTRICITY</t>
        </is>
      </c>
      <c r="D218" s="3" t="inlineStr">
        <is>
          <t>INSEE BDM 010777317: Indice mensuel des prix d'achat des moyens de production agricole (IPAMPA) - Electricité</t>
        </is>
      </c>
      <c r="E218" s="3" t="inlineStr">
        <is>
          <t>kWh</t>
        </is>
      </c>
      <c r="F218" s="3" t="n">
        <v>0.17</v>
      </c>
      <c r="G218" s="3" t="inlineStr">
        <is>
          <t>2023-10</t>
        </is>
      </c>
      <c r="H218" s="3" t="n">
        <v>0.2245</v>
      </c>
    </row>
    <row r="219" ht="20" customHeight="1">
      <c r="A219" s="3" t="inlineStr">
        <is>
          <t>Electricity for ovens and refrigeration</t>
        </is>
      </c>
      <c r="B219" s="3" t="inlineStr">
        <is>
          <t>Electricity</t>
        </is>
      </c>
      <c r="C219" s="3" t="inlineStr">
        <is>
          <t>ELECTRICITY</t>
        </is>
      </c>
      <c r="D219" s="3" t="inlineStr">
        <is>
          <t>INSEE BDM 010777317: Indice mensuel des prix d'achat des moyens de production agricole (IPAMPA) - Electricité</t>
        </is>
      </c>
      <c r="E219" s="3" t="inlineStr">
        <is>
          <t>kWh</t>
        </is>
      </c>
      <c r="F219" s="3" t="n">
        <v>0.17</v>
      </c>
      <c r="G219" s="3" t="inlineStr">
        <is>
          <t>2023-11</t>
        </is>
      </c>
      <c r="H219" s="3" t="n">
        <v>0.2236</v>
      </c>
    </row>
    <row r="220" ht="20" customHeight="1">
      <c r="A220" s="3" t="inlineStr">
        <is>
          <t>Electricity for ovens and refrigeration</t>
        </is>
      </c>
      <c r="B220" s="3" t="inlineStr">
        <is>
          <t>Electricity</t>
        </is>
      </c>
      <c r="C220" s="3" t="inlineStr">
        <is>
          <t>ELECTRICITY</t>
        </is>
      </c>
      <c r="D220" s="3" t="inlineStr">
        <is>
          <t>INSEE BDM 010777317: Indice mensuel des prix d'achat des moyens de production agricole (IPAMPA) - Electricité</t>
        </is>
      </c>
      <c r="E220" s="3" t="inlineStr">
        <is>
          <t>kWh</t>
        </is>
      </c>
      <c r="F220" s="3" t="n">
        <v>0.17</v>
      </c>
      <c r="G220" s="3" t="inlineStr">
        <is>
          <t>2023-12</t>
        </is>
      </c>
      <c r="H220" s="3" t="n">
        <v>0.2235</v>
      </c>
    </row>
    <row r="221" ht="20" customHeight="1">
      <c r="A221" s="3" t="inlineStr">
        <is>
          <t>Employee salary and charges</t>
        </is>
      </c>
      <c r="B221" s="3" t="n"/>
      <c r="C221" s="3" t="inlineStr">
        <is>
          <t>LABOR_HOSPITALITY</t>
        </is>
      </c>
      <c r="D221" s="3" t="inlineStr">
        <is>
          <t xml:space="preserve">INSEE BDM 010762009: Indice du coût du travail - Coût horaire - Hébergement, restauration (NAF rév. 2 section I) - Base 100 en 2020 </t>
        </is>
      </c>
      <c r="E221" s="3" t="inlineStr">
        <is>
          <t>monthly package</t>
        </is>
      </c>
      <c r="F221" s="3" t="n">
        <v>5600</v>
      </c>
      <c r="G221" s="3" t="inlineStr">
        <is>
          <t>2021-01</t>
        </is>
      </c>
      <c r="H221" s="3" t="n">
        <v>5600</v>
      </c>
    </row>
    <row r="222" ht="20" customHeight="1">
      <c r="A222" s="3" t="inlineStr">
        <is>
          <t>Employee salary and charges</t>
        </is>
      </c>
      <c r="B222" s="3" t="n"/>
      <c r="C222" s="3" t="inlineStr">
        <is>
          <t>LABOR_HOSPITALITY</t>
        </is>
      </c>
      <c r="D222" s="3" t="inlineStr">
        <is>
          <t xml:space="preserve">INSEE BDM 010762009: Indice du coût du travail - Coût horaire - Hébergement, restauration (NAF rév. 2 section I) - Base 100 en 2020 </t>
        </is>
      </c>
      <c r="E222" s="3" t="inlineStr">
        <is>
          <t>monthly package</t>
        </is>
      </c>
      <c r="F222" s="3" t="n">
        <v>5600</v>
      </c>
      <c r="G222" s="3" t="inlineStr">
        <is>
          <t>2021-02</t>
        </is>
      </c>
      <c r="H222" s="3" t="n">
        <v>5600</v>
      </c>
    </row>
    <row r="223" ht="20" customHeight="1">
      <c r="A223" s="3" t="inlineStr">
        <is>
          <t>Employee salary and charges</t>
        </is>
      </c>
      <c r="B223" s="3" t="n"/>
      <c r="C223" s="3" t="inlineStr">
        <is>
          <t>LABOR_HOSPITALITY</t>
        </is>
      </c>
      <c r="D223" s="3" t="inlineStr">
        <is>
          <t xml:space="preserve">INSEE BDM 010762009: Indice du coût du travail - Coût horaire - Hébergement, restauration (NAF rév. 2 section I) - Base 100 en 2020 </t>
        </is>
      </c>
      <c r="E223" s="3" t="inlineStr">
        <is>
          <t>monthly package</t>
        </is>
      </c>
      <c r="F223" s="3" t="n">
        <v>5600</v>
      </c>
      <c r="G223" s="3" t="inlineStr">
        <is>
          <t>2021-03</t>
        </is>
      </c>
      <c r="H223" s="3" t="n">
        <v>5600</v>
      </c>
    </row>
    <row r="224" ht="20" customHeight="1">
      <c r="A224" s="3" t="inlineStr">
        <is>
          <t>Employee salary and charges</t>
        </is>
      </c>
      <c r="B224" s="3" t="n"/>
      <c r="C224" s="3" t="inlineStr">
        <is>
          <t>LABOR_HOSPITALITY</t>
        </is>
      </c>
      <c r="D224" s="3" t="inlineStr">
        <is>
          <t xml:space="preserve">INSEE BDM 010762009: Indice du coût du travail - Coût horaire - Hébergement, restauration (NAF rév. 2 section I) - Base 100 en 2020 </t>
        </is>
      </c>
      <c r="E224" s="3" t="inlineStr">
        <is>
          <t>monthly package</t>
        </is>
      </c>
      <c r="F224" s="3" t="n">
        <v>5600</v>
      </c>
      <c r="G224" s="3" t="inlineStr">
        <is>
          <t>2021-04</t>
        </is>
      </c>
      <c r="H224" s="3" t="n">
        <v>5600</v>
      </c>
    </row>
    <row r="225" ht="20" customHeight="1">
      <c r="A225" s="3" t="inlineStr">
        <is>
          <t>Employee salary and charges</t>
        </is>
      </c>
      <c r="B225" s="3" t="n"/>
      <c r="C225" s="3" t="inlineStr">
        <is>
          <t>LABOR_HOSPITALITY</t>
        </is>
      </c>
      <c r="D225" s="3" t="inlineStr">
        <is>
          <t xml:space="preserve">INSEE BDM 010762009: Indice du coût du travail - Coût horaire - Hébergement, restauration (NAF rév. 2 section I) - Base 100 en 2020 </t>
        </is>
      </c>
      <c r="E225" s="3" t="inlineStr">
        <is>
          <t>monthly package</t>
        </is>
      </c>
      <c r="F225" s="3" t="n">
        <v>5600</v>
      </c>
      <c r="G225" s="3" t="inlineStr">
        <is>
          <t>2021-05</t>
        </is>
      </c>
      <c r="H225" s="3" t="n">
        <v>5600</v>
      </c>
    </row>
    <row r="226" ht="20" customHeight="1">
      <c r="A226" s="3" t="inlineStr">
        <is>
          <t>Employee salary and charges</t>
        </is>
      </c>
      <c r="B226" s="3" t="n"/>
      <c r="C226" s="3" t="inlineStr">
        <is>
          <t>LABOR_HOSPITALITY</t>
        </is>
      </c>
      <c r="D226" s="3" t="inlineStr">
        <is>
          <t xml:space="preserve">INSEE BDM 010762009: Indice du coût du travail - Coût horaire - Hébergement, restauration (NAF rév. 2 section I) - Base 100 en 2020 </t>
        </is>
      </c>
      <c r="E226" s="3" t="inlineStr">
        <is>
          <t>monthly package</t>
        </is>
      </c>
      <c r="F226" s="3" t="n">
        <v>5600</v>
      </c>
      <c r="G226" s="3" t="inlineStr">
        <is>
          <t>2021-06</t>
        </is>
      </c>
      <c r="H226" s="3" t="n">
        <v>5600</v>
      </c>
    </row>
    <row r="227" ht="20" customHeight="1">
      <c r="A227" s="3" t="inlineStr">
        <is>
          <t>Employee salary and charges</t>
        </is>
      </c>
      <c r="B227" s="3" t="n"/>
      <c r="C227" s="3" t="inlineStr">
        <is>
          <t>LABOR_HOSPITALITY</t>
        </is>
      </c>
      <c r="D227" s="3" t="inlineStr">
        <is>
          <t xml:space="preserve">INSEE BDM 010762009: Indice du coût du travail - Coût horaire - Hébergement, restauration (NAF rév. 2 section I) - Base 100 en 2020 </t>
        </is>
      </c>
      <c r="E227" s="3" t="inlineStr">
        <is>
          <t>monthly package</t>
        </is>
      </c>
      <c r="F227" s="3" t="n">
        <v>5600</v>
      </c>
      <c r="G227" s="3" t="inlineStr">
        <is>
          <t>2021-07</t>
        </is>
      </c>
      <c r="H227" s="3" t="n">
        <v>5600</v>
      </c>
    </row>
    <row r="228" ht="20" customHeight="1">
      <c r="A228" s="3" t="inlineStr">
        <is>
          <t>Employee salary and charges</t>
        </is>
      </c>
      <c r="B228" s="3" t="n"/>
      <c r="C228" s="3" t="inlineStr">
        <is>
          <t>LABOR_HOSPITALITY</t>
        </is>
      </c>
      <c r="D228" s="3" t="inlineStr">
        <is>
          <t xml:space="preserve">INSEE BDM 010762009: Indice du coût du travail - Coût horaire - Hébergement, restauration (NAF rév. 2 section I) - Base 100 en 2020 </t>
        </is>
      </c>
      <c r="E228" s="3" t="inlineStr">
        <is>
          <t>monthly package</t>
        </is>
      </c>
      <c r="F228" s="3" t="n">
        <v>5600</v>
      </c>
      <c r="G228" s="3" t="inlineStr">
        <is>
          <t>2021-08</t>
        </is>
      </c>
      <c r="H228" s="3" t="n">
        <v>5600</v>
      </c>
    </row>
    <row r="229" ht="20" customHeight="1">
      <c r="A229" s="3" t="inlineStr">
        <is>
          <t>Employee salary and charges</t>
        </is>
      </c>
      <c r="B229" s="3" t="n"/>
      <c r="C229" s="3" t="inlineStr">
        <is>
          <t>LABOR_HOSPITALITY</t>
        </is>
      </c>
      <c r="D229" s="3" t="inlineStr">
        <is>
          <t xml:space="preserve">INSEE BDM 010762009: Indice du coût du travail - Coût horaire - Hébergement, restauration (NAF rév. 2 section I) - Base 100 en 2020 </t>
        </is>
      </c>
      <c r="E229" s="3" t="inlineStr">
        <is>
          <t>monthly package</t>
        </is>
      </c>
      <c r="F229" s="3" t="n">
        <v>5600</v>
      </c>
      <c r="G229" s="3" t="inlineStr">
        <is>
          <t>2021-09</t>
        </is>
      </c>
      <c r="H229" s="3" t="n">
        <v>5600</v>
      </c>
    </row>
    <row r="230" ht="20" customHeight="1">
      <c r="A230" s="3" t="inlineStr">
        <is>
          <t>Employee salary and charges</t>
        </is>
      </c>
      <c r="B230" s="3" t="n"/>
      <c r="C230" s="3" t="inlineStr">
        <is>
          <t>LABOR_HOSPITALITY</t>
        </is>
      </c>
      <c r="D230" s="3" t="inlineStr">
        <is>
          <t xml:space="preserve">INSEE BDM 010762009: Indice du coût du travail - Coût horaire - Hébergement, restauration (NAF rév. 2 section I) - Base 100 en 2020 </t>
        </is>
      </c>
      <c r="E230" s="3" t="inlineStr">
        <is>
          <t>monthly package</t>
        </is>
      </c>
      <c r="F230" s="3" t="n">
        <v>5600</v>
      </c>
      <c r="G230" s="3" t="inlineStr">
        <is>
          <t>2021-10</t>
        </is>
      </c>
      <c r="H230" s="3" t="n">
        <v>5600</v>
      </c>
    </row>
    <row r="231" ht="20" customHeight="1">
      <c r="A231" s="3" t="inlineStr">
        <is>
          <t>Employee salary and charges</t>
        </is>
      </c>
      <c r="B231" s="3" t="n"/>
      <c r="C231" s="3" t="inlineStr">
        <is>
          <t>LABOR_HOSPITALITY</t>
        </is>
      </c>
      <c r="D231" s="3" t="inlineStr">
        <is>
          <t xml:space="preserve">INSEE BDM 010762009: Indice du coût du travail - Coût horaire - Hébergement, restauration (NAF rév. 2 section I) - Base 100 en 2020 </t>
        </is>
      </c>
      <c r="E231" s="3" t="inlineStr">
        <is>
          <t>monthly package</t>
        </is>
      </c>
      <c r="F231" s="3" t="n">
        <v>5600</v>
      </c>
      <c r="G231" s="3" t="inlineStr">
        <is>
          <t>2021-11</t>
        </is>
      </c>
      <c r="H231" s="3" t="n">
        <v>5600</v>
      </c>
    </row>
    <row r="232" ht="20" customHeight="1">
      <c r="A232" s="3" t="inlineStr">
        <is>
          <t>Employee salary and charges</t>
        </is>
      </c>
      <c r="B232" s="3" t="n"/>
      <c r="C232" s="3" t="inlineStr">
        <is>
          <t>LABOR_HOSPITALITY</t>
        </is>
      </c>
      <c r="D232" s="3" t="inlineStr">
        <is>
          <t xml:space="preserve">INSEE BDM 010762009: Indice du coût du travail - Coût horaire - Hébergement, restauration (NAF rév. 2 section I) - Base 100 en 2020 </t>
        </is>
      </c>
      <c r="E232" s="3" t="inlineStr">
        <is>
          <t>monthly package</t>
        </is>
      </c>
      <c r="F232" s="3" t="n">
        <v>5600</v>
      </c>
      <c r="G232" s="3" t="inlineStr">
        <is>
          <t>2021-12</t>
        </is>
      </c>
      <c r="H232" s="3" t="n">
        <v>5600</v>
      </c>
    </row>
    <row r="233" ht="20" customHeight="1">
      <c r="A233" s="3" t="inlineStr">
        <is>
          <t>Employee salary and charges</t>
        </is>
      </c>
      <c r="B233" s="3" t="n"/>
      <c r="C233" s="3" t="inlineStr">
        <is>
          <t>LABOR_HOSPITALITY</t>
        </is>
      </c>
      <c r="D233" s="3" t="inlineStr">
        <is>
          <t xml:space="preserve">INSEE BDM 010762009: Indice du coût du travail - Coût horaire - Hébergement, restauration (NAF rév. 2 section I) - Base 100 en 2020 </t>
        </is>
      </c>
      <c r="E233" s="3" t="inlineStr">
        <is>
          <t>monthly package</t>
        </is>
      </c>
      <c r="F233" s="3" t="n">
        <v>5600</v>
      </c>
      <c r="G233" s="3" t="inlineStr">
        <is>
          <t>2022-01</t>
        </is>
      </c>
      <c r="H233" s="3" t="n">
        <v>5600</v>
      </c>
    </row>
    <row r="234" ht="20" customHeight="1">
      <c r="A234" s="3" t="inlineStr">
        <is>
          <t>Employee salary and charges</t>
        </is>
      </c>
      <c r="B234" s="3" t="n"/>
      <c r="C234" s="3" t="inlineStr">
        <is>
          <t>LABOR_HOSPITALITY</t>
        </is>
      </c>
      <c r="D234" s="3" t="inlineStr">
        <is>
          <t xml:space="preserve">INSEE BDM 010762009: Indice du coût du travail - Coût horaire - Hébergement, restauration (NAF rév. 2 section I) - Base 100 en 2020 </t>
        </is>
      </c>
      <c r="E234" s="3" t="inlineStr">
        <is>
          <t>monthly package</t>
        </is>
      </c>
      <c r="F234" s="3" t="n">
        <v>5600</v>
      </c>
      <c r="G234" s="3" t="inlineStr">
        <is>
          <t>2022-02</t>
        </is>
      </c>
      <c r="H234" s="3" t="n">
        <v>5600</v>
      </c>
    </row>
    <row r="235" ht="20" customHeight="1">
      <c r="A235" s="3" t="inlineStr">
        <is>
          <t>Employee salary and charges</t>
        </is>
      </c>
      <c r="B235" s="3" t="n"/>
      <c r="C235" s="3" t="inlineStr">
        <is>
          <t>LABOR_HOSPITALITY</t>
        </is>
      </c>
      <c r="D235" s="3" t="inlineStr">
        <is>
          <t xml:space="preserve">INSEE BDM 010762009: Indice du coût du travail - Coût horaire - Hébergement, restauration (NAF rév. 2 section I) - Base 100 en 2020 </t>
        </is>
      </c>
      <c r="E235" s="3" t="inlineStr">
        <is>
          <t>monthly package</t>
        </is>
      </c>
      <c r="F235" s="3" t="n">
        <v>5600</v>
      </c>
      <c r="G235" s="3" t="inlineStr">
        <is>
          <t>2022-03</t>
        </is>
      </c>
      <c r="H235" s="3" t="n">
        <v>5600</v>
      </c>
    </row>
    <row r="236" ht="20" customHeight="1">
      <c r="A236" s="3" t="inlineStr">
        <is>
          <t>Employee salary and charges</t>
        </is>
      </c>
      <c r="B236" s="3" t="n"/>
      <c r="C236" s="3" t="inlineStr">
        <is>
          <t>LABOR_HOSPITALITY</t>
        </is>
      </c>
      <c r="D236" s="3" t="inlineStr">
        <is>
          <t xml:space="preserve">INSEE BDM 010762009: Indice du coût du travail - Coût horaire - Hébergement, restauration (NAF rév. 2 section I) - Base 100 en 2020 </t>
        </is>
      </c>
      <c r="E236" s="3" t="inlineStr">
        <is>
          <t>monthly package</t>
        </is>
      </c>
      <c r="F236" s="3" t="n">
        <v>5600</v>
      </c>
      <c r="G236" s="3" t="inlineStr">
        <is>
          <t>2022-04</t>
        </is>
      </c>
      <c r="H236" s="3" t="n">
        <v>5600</v>
      </c>
    </row>
    <row r="237" ht="20" customHeight="1">
      <c r="A237" s="3" t="inlineStr">
        <is>
          <t>Employee salary and charges</t>
        </is>
      </c>
      <c r="B237" s="3" t="n"/>
      <c r="C237" s="3" t="inlineStr">
        <is>
          <t>LABOR_HOSPITALITY</t>
        </is>
      </c>
      <c r="D237" s="3" t="inlineStr">
        <is>
          <t xml:space="preserve">INSEE BDM 010762009: Indice du coût du travail - Coût horaire - Hébergement, restauration (NAF rév. 2 section I) - Base 100 en 2020 </t>
        </is>
      </c>
      <c r="E237" s="3" t="inlineStr">
        <is>
          <t>monthly package</t>
        </is>
      </c>
      <c r="F237" s="3" t="n">
        <v>5600</v>
      </c>
      <c r="G237" s="3" t="inlineStr">
        <is>
          <t>2022-05</t>
        </is>
      </c>
      <c r="H237" s="3" t="n">
        <v>5600</v>
      </c>
    </row>
    <row r="238" ht="20" customHeight="1">
      <c r="A238" s="3" t="inlineStr">
        <is>
          <t>Employee salary and charges</t>
        </is>
      </c>
      <c r="B238" s="3" t="n"/>
      <c r="C238" s="3" t="inlineStr">
        <is>
          <t>LABOR_HOSPITALITY</t>
        </is>
      </c>
      <c r="D238" s="3" t="inlineStr">
        <is>
          <t xml:space="preserve">INSEE BDM 010762009: Indice du coût du travail - Coût horaire - Hébergement, restauration (NAF rév. 2 section I) - Base 100 en 2020 </t>
        </is>
      </c>
      <c r="E238" s="3" t="inlineStr">
        <is>
          <t>monthly package</t>
        </is>
      </c>
      <c r="F238" s="3" t="n">
        <v>5600</v>
      </c>
      <c r="G238" s="3" t="inlineStr">
        <is>
          <t>2022-06</t>
        </is>
      </c>
      <c r="H238" s="3" t="n">
        <v>5600</v>
      </c>
    </row>
    <row r="239" ht="20" customHeight="1">
      <c r="A239" s="3" t="inlineStr">
        <is>
          <t>Employee salary and charges</t>
        </is>
      </c>
      <c r="B239" s="3" t="n"/>
      <c r="C239" s="3" t="inlineStr">
        <is>
          <t>LABOR_HOSPITALITY</t>
        </is>
      </c>
      <c r="D239" s="3" t="inlineStr">
        <is>
          <t xml:space="preserve">INSEE BDM 010762009: Indice du coût du travail - Coût horaire - Hébergement, restauration (NAF rév. 2 section I) - Base 100 en 2020 </t>
        </is>
      </c>
      <c r="E239" s="3" t="inlineStr">
        <is>
          <t>monthly package</t>
        </is>
      </c>
      <c r="F239" s="3" t="n">
        <v>5600</v>
      </c>
      <c r="G239" s="3" t="inlineStr">
        <is>
          <t>2022-07</t>
        </is>
      </c>
      <c r="H239" s="3" t="n">
        <v>5600</v>
      </c>
    </row>
    <row r="240" ht="20" customHeight="1">
      <c r="A240" s="3" t="inlineStr">
        <is>
          <t>Employee salary and charges</t>
        </is>
      </c>
      <c r="B240" s="3" t="n"/>
      <c r="C240" s="3" t="inlineStr">
        <is>
          <t>LABOR_HOSPITALITY</t>
        </is>
      </c>
      <c r="D240" s="3" t="inlineStr">
        <is>
          <t xml:space="preserve">INSEE BDM 010762009: Indice du coût du travail - Coût horaire - Hébergement, restauration (NAF rév. 2 section I) - Base 100 en 2020 </t>
        </is>
      </c>
      <c r="E240" s="3" t="inlineStr">
        <is>
          <t>monthly package</t>
        </is>
      </c>
      <c r="F240" s="3" t="n">
        <v>5600</v>
      </c>
      <c r="G240" s="3" t="inlineStr">
        <is>
          <t>2022-08</t>
        </is>
      </c>
      <c r="H240" s="3" t="n">
        <v>5600</v>
      </c>
    </row>
    <row r="241" ht="20" customHeight="1">
      <c r="A241" s="3" t="inlineStr">
        <is>
          <t>Employee salary and charges</t>
        </is>
      </c>
      <c r="B241" s="3" t="n"/>
      <c r="C241" s="3" t="inlineStr">
        <is>
          <t>LABOR_HOSPITALITY</t>
        </is>
      </c>
      <c r="D241" s="3" t="inlineStr">
        <is>
          <t xml:space="preserve">INSEE BDM 010762009: Indice du coût du travail - Coût horaire - Hébergement, restauration (NAF rév. 2 section I) - Base 100 en 2020 </t>
        </is>
      </c>
      <c r="E241" s="3" t="inlineStr">
        <is>
          <t>monthly package</t>
        </is>
      </c>
      <c r="F241" s="3" t="n">
        <v>5600</v>
      </c>
      <c r="G241" s="3" t="inlineStr">
        <is>
          <t>2022-09</t>
        </is>
      </c>
      <c r="H241" s="3" t="n">
        <v>5600</v>
      </c>
    </row>
    <row r="242" ht="20" customHeight="1">
      <c r="A242" s="3" t="inlineStr">
        <is>
          <t>Employee salary and charges</t>
        </is>
      </c>
      <c r="B242" s="3" t="n"/>
      <c r="C242" s="3" t="inlineStr">
        <is>
          <t>LABOR_HOSPITALITY</t>
        </is>
      </c>
      <c r="D242" s="3" t="inlineStr">
        <is>
          <t xml:space="preserve">INSEE BDM 010762009: Indice du coût du travail - Coût horaire - Hébergement, restauration (NAF rév. 2 section I) - Base 100 en 2020 </t>
        </is>
      </c>
      <c r="E242" s="3" t="inlineStr">
        <is>
          <t>monthly package</t>
        </is>
      </c>
      <c r="F242" s="3" t="n">
        <v>5600</v>
      </c>
      <c r="G242" s="3" t="inlineStr">
        <is>
          <t>2022-10</t>
        </is>
      </c>
      <c r="H242" s="3" t="n">
        <v>5600</v>
      </c>
    </row>
    <row r="243" ht="20" customHeight="1">
      <c r="A243" s="3" t="inlineStr">
        <is>
          <t>Employee salary and charges</t>
        </is>
      </c>
      <c r="B243" s="3" t="n"/>
      <c r="C243" s="3" t="inlineStr">
        <is>
          <t>LABOR_HOSPITALITY</t>
        </is>
      </c>
      <c r="D243" s="3" t="inlineStr">
        <is>
          <t xml:space="preserve">INSEE BDM 010762009: Indice du coût du travail - Coût horaire - Hébergement, restauration (NAF rév. 2 section I) - Base 100 en 2020 </t>
        </is>
      </c>
      <c r="E243" s="3" t="inlineStr">
        <is>
          <t>monthly package</t>
        </is>
      </c>
      <c r="F243" s="3" t="n">
        <v>5600</v>
      </c>
      <c r="G243" s="3" t="inlineStr">
        <is>
          <t>2022-11</t>
        </is>
      </c>
      <c r="H243" s="3" t="n">
        <v>5600</v>
      </c>
    </row>
    <row r="244" ht="20" customHeight="1">
      <c r="A244" s="3" t="inlineStr">
        <is>
          <t>Employee salary and charges</t>
        </is>
      </c>
      <c r="B244" s="3" t="n"/>
      <c r="C244" s="3" t="inlineStr">
        <is>
          <t>LABOR_HOSPITALITY</t>
        </is>
      </c>
      <c r="D244" s="3" t="inlineStr">
        <is>
          <t xml:space="preserve">INSEE BDM 010762009: Indice du coût du travail - Coût horaire - Hébergement, restauration (NAF rév. 2 section I) - Base 100 en 2020 </t>
        </is>
      </c>
      <c r="E244" s="3" t="inlineStr">
        <is>
          <t>monthly package</t>
        </is>
      </c>
      <c r="F244" s="3" t="n">
        <v>5600</v>
      </c>
      <c r="G244" s="3" t="inlineStr">
        <is>
          <t>2022-12</t>
        </is>
      </c>
      <c r="H244" s="3" t="n">
        <v>5600</v>
      </c>
    </row>
    <row r="245" ht="20" customHeight="1">
      <c r="A245" s="3" t="inlineStr">
        <is>
          <t>Employee salary and charges</t>
        </is>
      </c>
      <c r="B245" s="3" t="n"/>
      <c r="C245" s="3" t="inlineStr">
        <is>
          <t>LABOR_HOSPITALITY</t>
        </is>
      </c>
      <c r="D245" s="3" t="inlineStr">
        <is>
          <t xml:space="preserve">INSEE BDM 010762009: Indice du coût du travail - Coût horaire - Hébergement, restauration (NAF rév. 2 section I) - Base 100 en 2020 </t>
        </is>
      </c>
      <c r="E245" s="3" t="inlineStr">
        <is>
          <t>monthly package</t>
        </is>
      </c>
      <c r="F245" s="3" t="n">
        <v>5600</v>
      </c>
      <c r="G245" s="3" t="inlineStr">
        <is>
          <t>2023-01</t>
        </is>
      </c>
      <c r="H245" s="3" t="n">
        <v>5600</v>
      </c>
    </row>
    <row r="246" ht="20" customHeight="1">
      <c r="A246" s="3" t="inlineStr">
        <is>
          <t>Employee salary and charges</t>
        </is>
      </c>
      <c r="B246" s="3" t="n"/>
      <c r="C246" s="3" t="inlineStr">
        <is>
          <t>LABOR_HOSPITALITY</t>
        </is>
      </c>
      <c r="D246" s="3" t="inlineStr">
        <is>
          <t xml:space="preserve">INSEE BDM 010762009: Indice du coût du travail - Coût horaire - Hébergement, restauration (NAF rév. 2 section I) - Base 100 en 2020 </t>
        </is>
      </c>
      <c r="E246" s="3" t="inlineStr">
        <is>
          <t>monthly package</t>
        </is>
      </c>
      <c r="F246" s="3" t="n">
        <v>5600</v>
      </c>
      <c r="G246" s="3" t="inlineStr">
        <is>
          <t>2023-02</t>
        </is>
      </c>
      <c r="H246" s="3" t="n">
        <v>5600</v>
      </c>
    </row>
    <row r="247" ht="20" customHeight="1">
      <c r="A247" s="3" t="inlineStr">
        <is>
          <t>Employee salary and charges</t>
        </is>
      </c>
      <c r="B247" s="3" t="n"/>
      <c r="C247" s="3" t="inlineStr">
        <is>
          <t>LABOR_HOSPITALITY</t>
        </is>
      </c>
      <c r="D247" s="3" t="inlineStr">
        <is>
          <t xml:space="preserve">INSEE BDM 010762009: Indice du coût du travail - Coût horaire - Hébergement, restauration (NAF rév. 2 section I) - Base 100 en 2020 </t>
        </is>
      </c>
      <c r="E247" s="3" t="inlineStr">
        <is>
          <t>monthly package</t>
        </is>
      </c>
      <c r="F247" s="3" t="n">
        <v>5600</v>
      </c>
      <c r="G247" s="3" t="inlineStr">
        <is>
          <t>2023-03</t>
        </is>
      </c>
      <c r="H247" s="3" t="n">
        <v>5600</v>
      </c>
    </row>
    <row r="248" ht="20" customHeight="1">
      <c r="A248" s="3" t="inlineStr">
        <is>
          <t>Employee salary and charges</t>
        </is>
      </c>
      <c r="B248" s="3" t="n"/>
      <c r="C248" s="3" t="inlineStr">
        <is>
          <t>LABOR_HOSPITALITY</t>
        </is>
      </c>
      <c r="D248" s="3" t="inlineStr">
        <is>
          <t xml:space="preserve">INSEE BDM 010762009: Indice du coût du travail - Coût horaire - Hébergement, restauration (NAF rév. 2 section I) - Base 100 en 2020 </t>
        </is>
      </c>
      <c r="E248" s="3" t="inlineStr">
        <is>
          <t>monthly package</t>
        </is>
      </c>
      <c r="F248" s="3" t="n">
        <v>5600</v>
      </c>
      <c r="G248" s="3" t="inlineStr">
        <is>
          <t>2023-04</t>
        </is>
      </c>
      <c r="H248" s="3" t="n">
        <v>5600</v>
      </c>
    </row>
    <row r="249" ht="20" customHeight="1">
      <c r="A249" s="3" t="inlineStr">
        <is>
          <t>Employee salary and charges</t>
        </is>
      </c>
      <c r="B249" s="3" t="n"/>
      <c r="C249" s="3" t="inlineStr">
        <is>
          <t>LABOR_HOSPITALITY</t>
        </is>
      </c>
      <c r="D249" s="3" t="inlineStr">
        <is>
          <t xml:space="preserve">INSEE BDM 010762009: Indice du coût du travail - Coût horaire - Hébergement, restauration (NAF rév. 2 section I) - Base 100 en 2020 </t>
        </is>
      </c>
      <c r="E249" s="3" t="inlineStr">
        <is>
          <t>monthly package</t>
        </is>
      </c>
      <c r="F249" s="3" t="n">
        <v>5600</v>
      </c>
      <c r="G249" s="3" t="inlineStr">
        <is>
          <t>2023-05</t>
        </is>
      </c>
      <c r="H249" s="3" t="n">
        <v>5600</v>
      </c>
    </row>
    <row r="250" ht="20" customHeight="1">
      <c r="A250" s="3" t="inlineStr">
        <is>
          <t>Employee salary and charges</t>
        </is>
      </c>
      <c r="B250" s="3" t="n"/>
      <c r="C250" s="3" t="inlineStr">
        <is>
          <t>LABOR_HOSPITALITY</t>
        </is>
      </c>
      <c r="D250" s="3" t="inlineStr">
        <is>
          <t xml:space="preserve">INSEE BDM 010762009: Indice du coût du travail - Coût horaire - Hébergement, restauration (NAF rév. 2 section I) - Base 100 en 2020 </t>
        </is>
      </c>
      <c r="E250" s="3" t="inlineStr">
        <is>
          <t>monthly package</t>
        </is>
      </c>
      <c r="F250" s="3" t="n">
        <v>5600</v>
      </c>
      <c r="G250" s="3" t="inlineStr">
        <is>
          <t>2023-06</t>
        </is>
      </c>
      <c r="H250" s="3" t="n">
        <v>5600</v>
      </c>
    </row>
    <row r="251" ht="20" customHeight="1">
      <c r="A251" s="3" t="inlineStr">
        <is>
          <t>Employee salary and charges</t>
        </is>
      </c>
      <c r="B251" s="3" t="n"/>
      <c r="C251" s="3" t="inlineStr">
        <is>
          <t>LABOR_HOSPITALITY</t>
        </is>
      </c>
      <c r="D251" s="3" t="inlineStr">
        <is>
          <t xml:space="preserve">INSEE BDM 010762009: Indice du coût du travail - Coût horaire - Hébergement, restauration (NAF rév. 2 section I) - Base 100 en 2020 </t>
        </is>
      </c>
      <c r="E251" s="3" t="inlineStr">
        <is>
          <t>monthly package</t>
        </is>
      </c>
      <c r="F251" s="3" t="n">
        <v>5600</v>
      </c>
      <c r="G251" s="3" t="inlineStr">
        <is>
          <t>2023-07</t>
        </is>
      </c>
      <c r="H251" s="3" t="n">
        <v>5600</v>
      </c>
    </row>
    <row r="252" ht="20" customHeight="1">
      <c r="A252" s="3" t="inlineStr">
        <is>
          <t>Employee salary and charges</t>
        </is>
      </c>
      <c r="B252" s="3" t="n"/>
      <c r="C252" s="3" t="inlineStr">
        <is>
          <t>LABOR_HOSPITALITY</t>
        </is>
      </c>
      <c r="D252" s="3" t="inlineStr">
        <is>
          <t xml:space="preserve">INSEE BDM 010762009: Indice du coût du travail - Coût horaire - Hébergement, restauration (NAF rév. 2 section I) - Base 100 en 2020 </t>
        </is>
      </c>
      <c r="E252" s="3" t="inlineStr">
        <is>
          <t>monthly package</t>
        </is>
      </c>
      <c r="F252" s="3" t="n">
        <v>5600</v>
      </c>
      <c r="G252" s="3" t="inlineStr">
        <is>
          <t>2023-08</t>
        </is>
      </c>
      <c r="H252" s="3" t="n">
        <v>5600</v>
      </c>
    </row>
    <row r="253" ht="20" customHeight="1">
      <c r="A253" s="3" t="inlineStr">
        <is>
          <t>Employee salary and charges</t>
        </is>
      </c>
      <c r="B253" s="3" t="n"/>
      <c r="C253" s="3" t="inlineStr">
        <is>
          <t>LABOR_HOSPITALITY</t>
        </is>
      </c>
      <c r="D253" s="3" t="inlineStr">
        <is>
          <t xml:space="preserve">INSEE BDM 010762009: Indice du coût du travail - Coût horaire - Hébergement, restauration (NAF rév. 2 section I) - Base 100 en 2020 </t>
        </is>
      </c>
      <c r="E253" s="3" t="inlineStr">
        <is>
          <t>monthly package</t>
        </is>
      </c>
      <c r="F253" s="3" t="n">
        <v>5600</v>
      </c>
      <c r="G253" s="3" t="inlineStr">
        <is>
          <t>2023-09</t>
        </is>
      </c>
      <c r="H253" s="3" t="n">
        <v>5600</v>
      </c>
    </row>
    <row r="254" ht="20" customHeight="1">
      <c r="A254" s="3" t="inlineStr">
        <is>
          <t>Employee salary and charges</t>
        </is>
      </c>
      <c r="B254" s="3" t="n"/>
      <c r="C254" s="3" t="inlineStr">
        <is>
          <t>LABOR_HOSPITALITY</t>
        </is>
      </c>
      <c r="D254" s="3" t="inlineStr">
        <is>
          <t xml:space="preserve">INSEE BDM 010762009: Indice du coût du travail - Coût horaire - Hébergement, restauration (NAF rév. 2 section I) - Base 100 en 2020 </t>
        </is>
      </c>
      <c r="E254" s="3" t="inlineStr">
        <is>
          <t>monthly package</t>
        </is>
      </c>
      <c r="F254" s="3" t="n">
        <v>5600</v>
      </c>
      <c r="G254" s="3" t="inlineStr">
        <is>
          <t>2023-10</t>
        </is>
      </c>
      <c r="H254" s="3" t="n">
        <v>5600</v>
      </c>
    </row>
    <row r="255" ht="20" customHeight="1">
      <c r="A255" s="3" t="inlineStr">
        <is>
          <t>Employee salary and charges</t>
        </is>
      </c>
      <c r="B255" s="3" t="n"/>
      <c r="C255" s="3" t="inlineStr">
        <is>
          <t>LABOR_HOSPITALITY</t>
        </is>
      </c>
      <c r="D255" s="3" t="inlineStr">
        <is>
          <t xml:space="preserve">INSEE BDM 010762009: Indice du coût du travail - Coût horaire - Hébergement, restauration (NAF rév. 2 section I) - Base 100 en 2020 </t>
        </is>
      </c>
      <c r="E255" s="3" t="inlineStr">
        <is>
          <t>monthly package</t>
        </is>
      </c>
      <c r="F255" s="3" t="n">
        <v>5600</v>
      </c>
      <c r="G255" s="3" t="inlineStr">
        <is>
          <t>2023-11</t>
        </is>
      </c>
      <c r="H255" s="3" t="n">
        <v>5600</v>
      </c>
    </row>
    <row r="256" ht="20" customHeight="1">
      <c r="A256" s="3" t="inlineStr">
        <is>
          <t>Employee salary and charges</t>
        </is>
      </c>
      <c r="B256" s="3" t="n"/>
      <c r="C256" s="3" t="inlineStr">
        <is>
          <t>LABOR_HOSPITALITY</t>
        </is>
      </c>
      <c r="D256" s="3" t="inlineStr">
        <is>
          <t xml:space="preserve">INSEE BDM 010762009: Indice du coût du travail - Coût horaire - Hébergement, restauration (NAF rév. 2 section I) - Base 100 en 2020 </t>
        </is>
      </c>
      <c r="E256" s="3" t="inlineStr">
        <is>
          <t>monthly package</t>
        </is>
      </c>
      <c r="F256" s="3" t="n">
        <v>5600</v>
      </c>
      <c r="G256" s="3" t="inlineStr">
        <is>
          <t>2023-12</t>
        </is>
      </c>
      <c r="H256" s="3" t="n">
        <v>5600</v>
      </c>
    </row>
    <row r="257" ht="20" customHeight="1">
      <c r="A257" s="3" t="inlineStr">
        <is>
          <t>Maintenance</t>
        </is>
      </c>
      <c r="B257" s="3" t="n"/>
      <c r="C257" s="3" t="inlineStr">
        <is>
          <t>MAINTENANCE</t>
        </is>
      </c>
      <c r="D257" s="3" t="inlineStr">
        <is>
          <t>INSEE BDM 010777481: Indice mensuel des prix d'achat des moyens de production agricole (IPAMPA) - Entretien et réparation</t>
        </is>
      </c>
      <c r="E257" s="3" t="inlineStr">
        <is>
          <t>monthly package</t>
        </is>
      </c>
      <c r="F257" s="3" t="n">
        <v>350</v>
      </c>
      <c r="G257" s="3" t="inlineStr">
        <is>
          <t>2021-01</t>
        </is>
      </c>
      <c r="H257" s="3" t="n">
        <v>350</v>
      </c>
    </row>
    <row r="258" ht="20" customHeight="1">
      <c r="A258" s="3" t="inlineStr">
        <is>
          <t>Maintenance</t>
        </is>
      </c>
      <c r="B258" s="3" t="n"/>
      <c r="C258" s="3" t="inlineStr">
        <is>
          <t>MAINTENANCE</t>
        </is>
      </c>
      <c r="D258" s="3" t="inlineStr">
        <is>
          <t>INSEE BDM 010777481: Indice mensuel des prix d'achat des moyens de production agricole (IPAMPA) - Entretien et réparation</t>
        </is>
      </c>
      <c r="E258" s="3" t="inlineStr">
        <is>
          <t>monthly package</t>
        </is>
      </c>
      <c r="F258" s="3" t="n">
        <v>350</v>
      </c>
      <c r="G258" s="3" t="inlineStr">
        <is>
          <t>2021-02</t>
        </is>
      </c>
      <c r="H258" s="3" t="n">
        <v>350.3435</v>
      </c>
    </row>
    <row r="259" ht="20" customHeight="1">
      <c r="A259" s="3" t="inlineStr">
        <is>
          <t>Maintenance</t>
        </is>
      </c>
      <c r="B259" s="3" t="n"/>
      <c r="C259" s="3" t="inlineStr">
        <is>
          <t>MAINTENANCE</t>
        </is>
      </c>
      <c r="D259" s="3" t="inlineStr">
        <is>
          <t>INSEE BDM 010777481: Indice mensuel des prix d'achat des moyens de production agricole (IPAMPA) - Entretien et réparation</t>
        </is>
      </c>
      <c r="E259" s="3" t="inlineStr">
        <is>
          <t>monthly package</t>
        </is>
      </c>
      <c r="F259" s="3" t="n">
        <v>350</v>
      </c>
      <c r="G259" s="3" t="inlineStr">
        <is>
          <t>2021-03</t>
        </is>
      </c>
      <c r="H259" s="3" t="n">
        <v>351.7174</v>
      </c>
    </row>
    <row r="260" ht="20" customHeight="1">
      <c r="A260" s="3" t="inlineStr">
        <is>
          <t>Maintenance</t>
        </is>
      </c>
      <c r="B260" s="3" t="n"/>
      <c r="C260" s="3" t="inlineStr">
        <is>
          <t>MAINTENANCE</t>
        </is>
      </c>
      <c r="D260" s="3" t="inlineStr">
        <is>
          <t>INSEE BDM 010777481: Indice mensuel des prix d'achat des moyens de production agricole (IPAMPA) - Entretien et réparation</t>
        </is>
      </c>
      <c r="E260" s="3" t="inlineStr">
        <is>
          <t>monthly package</t>
        </is>
      </c>
      <c r="F260" s="3" t="n">
        <v>350</v>
      </c>
      <c r="G260" s="3" t="inlineStr">
        <is>
          <t>2021-04</t>
        </is>
      </c>
      <c r="H260" s="3" t="n">
        <v>350.6869</v>
      </c>
    </row>
    <row r="261" ht="20" customHeight="1">
      <c r="A261" s="3" t="inlineStr">
        <is>
          <t>Maintenance</t>
        </is>
      </c>
      <c r="B261" s="3" t="n"/>
      <c r="C261" s="3" t="inlineStr">
        <is>
          <t>MAINTENANCE</t>
        </is>
      </c>
      <c r="D261" s="3" t="inlineStr">
        <is>
          <t>INSEE BDM 010777481: Indice mensuel des prix d'achat des moyens de production agricole (IPAMPA) - Entretien et réparation</t>
        </is>
      </c>
      <c r="E261" s="3" t="inlineStr">
        <is>
          <t>monthly package</t>
        </is>
      </c>
      <c r="F261" s="3" t="n">
        <v>350</v>
      </c>
      <c r="G261" s="3" t="inlineStr">
        <is>
          <t>2021-05</t>
        </is>
      </c>
      <c r="H261" s="3" t="n">
        <v>351.3739</v>
      </c>
    </row>
    <row r="262" ht="20" customHeight="1">
      <c r="A262" s="3" t="inlineStr">
        <is>
          <t>Maintenance</t>
        </is>
      </c>
      <c r="B262" s="3" t="n"/>
      <c r="C262" s="3" t="inlineStr">
        <is>
          <t>MAINTENANCE</t>
        </is>
      </c>
      <c r="D262" s="3" t="inlineStr">
        <is>
          <t>INSEE BDM 010777481: Indice mensuel des prix d'achat des moyens de production agricole (IPAMPA) - Entretien et réparation</t>
        </is>
      </c>
      <c r="E262" s="3" t="inlineStr">
        <is>
          <t>monthly package</t>
        </is>
      </c>
      <c r="F262" s="3" t="n">
        <v>350</v>
      </c>
      <c r="G262" s="3" t="inlineStr">
        <is>
          <t>2021-06</t>
        </is>
      </c>
      <c r="H262" s="3" t="n">
        <v>352.4043</v>
      </c>
    </row>
    <row r="263" ht="20" customHeight="1">
      <c r="A263" s="3" t="inlineStr">
        <is>
          <t>Maintenance</t>
        </is>
      </c>
      <c r="B263" s="3" t="n"/>
      <c r="C263" s="3" t="inlineStr">
        <is>
          <t>MAINTENANCE</t>
        </is>
      </c>
      <c r="D263" s="3" t="inlineStr">
        <is>
          <t>INSEE BDM 010777481: Indice mensuel des prix d'achat des moyens de production agricole (IPAMPA) - Entretien et réparation</t>
        </is>
      </c>
      <c r="E263" s="3" t="inlineStr">
        <is>
          <t>monthly package</t>
        </is>
      </c>
      <c r="F263" s="3" t="n">
        <v>350</v>
      </c>
      <c r="G263" s="3" t="inlineStr">
        <is>
          <t>2021-07</t>
        </is>
      </c>
      <c r="H263" s="3" t="n">
        <v>353.7782</v>
      </c>
    </row>
    <row r="264" ht="20" customHeight="1">
      <c r="A264" s="3" t="inlineStr">
        <is>
          <t>Maintenance</t>
        </is>
      </c>
      <c r="B264" s="3" t="n"/>
      <c r="C264" s="3" t="inlineStr">
        <is>
          <t>MAINTENANCE</t>
        </is>
      </c>
      <c r="D264" s="3" t="inlineStr">
        <is>
          <t>INSEE BDM 010777481: Indice mensuel des prix d'achat des moyens de production agricole (IPAMPA) - Entretien et réparation</t>
        </is>
      </c>
      <c r="E264" s="3" t="inlineStr">
        <is>
          <t>monthly package</t>
        </is>
      </c>
      <c r="F264" s="3" t="n">
        <v>350</v>
      </c>
      <c r="G264" s="3" t="inlineStr">
        <is>
          <t>2021-08</t>
        </is>
      </c>
      <c r="H264" s="3" t="n">
        <v>353.7782</v>
      </c>
    </row>
    <row r="265" ht="20" customHeight="1">
      <c r="A265" s="3" t="inlineStr">
        <is>
          <t>Maintenance</t>
        </is>
      </c>
      <c r="B265" s="3" t="n"/>
      <c r="C265" s="3" t="inlineStr">
        <is>
          <t>MAINTENANCE</t>
        </is>
      </c>
      <c r="D265" s="3" t="inlineStr">
        <is>
          <t>INSEE BDM 010777481: Indice mensuel des prix d'achat des moyens de production agricole (IPAMPA) - Entretien et réparation</t>
        </is>
      </c>
      <c r="E265" s="3" t="inlineStr">
        <is>
          <t>monthly package</t>
        </is>
      </c>
      <c r="F265" s="3" t="n">
        <v>350</v>
      </c>
      <c r="G265" s="3" t="inlineStr">
        <is>
          <t>2021-09</t>
        </is>
      </c>
      <c r="H265" s="3" t="n">
        <v>354.4652</v>
      </c>
    </row>
    <row r="266" ht="20" customHeight="1">
      <c r="A266" s="3" t="inlineStr">
        <is>
          <t>Maintenance</t>
        </is>
      </c>
      <c r="B266" s="3" t="n"/>
      <c r="C266" s="3" t="inlineStr">
        <is>
          <t>MAINTENANCE</t>
        </is>
      </c>
      <c r="D266" s="3" t="inlineStr">
        <is>
          <t>INSEE BDM 010777481: Indice mensuel des prix d'achat des moyens de production agricole (IPAMPA) - Entretien et réparation</t>
        </is>
      </c>
      <c r="E266" s="3" t="inlineStr">
        <is>
          <t>monthly package</t>
        </is>
      </c>
      <c r="F266" s="3" t="n">
        <v>350</v>
      </c>
      <c r="G266" s="3" t="inlineStr">
        <is>
          <t>2021-10</t>
        </is>
      </c>
      <c r="H266" s="3" t="n">
        <v>355.8391</v>
      </c>
    </row>
    <row r="267" ht="20" customHeight="1">
      <c r="A267" s="3" t="inlineStr">
        <is>
          <t>Maintenance</t>
        </is>
      </c>
      <c r="B267" s="3" t="n"/>
      <c r="C267" s="3" t="inlineStr">
        <is>
          <t>MAINTENANCE</t>
        </is>
      </c>
      <c r="D267" s="3" t="inlineStr">
        <is>
          <t>INSEE BDM 010777481: Indice mensuel des prix d'achat des moyens de production agricole (IPAMPA) - Entretien et réparation</t>
        </is>
      </c>
      <c r="E267" s="3" t="inlineStr">
        <is>
          <t>monthly package</t>
        </is>
      </c>
      <c r="F267" s="3" t="n">
        <v>350</v>
      </c>
      <c r="G267" s="3" t="inlineStr">
        <is>
          <t>2021-11</t>
        </is>
      </c>
      <c r="H267" s="3" t="n">
        <v>356.8695</v>
      </c>
    </row>
    <row r="268" ht="20" customHeight="1">
      <c r="A268" s="3" t="inlineStr">
        <is>
          <t>Maintenance</t>
        </is>
      </c>
      <c r="B268" s="3" t="n"/>
      <c r="C268" s="3" t="inlineStr">
        <is>
          <t>MAINTENANCE</t>
        </is>
      </c>
      <c r="D268" s="3" t="inlineStr">
        <is>
          <t>INSEE BDM 010777481: Indice mensuel des prix d'achat des moyens de production agricole (IPAMPA) - Entretien et réparation</t>
        </is>
      </c>
      <c r="E268" s="3" t="inlineStr">
        <is>
          <t>monthly package</t>
        </is>
      </c>
      <c r="F268" s="3" t="n">
        <v>350</v>
      </c>
      <c r="G268" s="3" t="inlineStr">
        <is>
          <t>2021-12</t>
        </is>
      </c>
      <c r="H268" s="3" t="n">
        <v>357.8999</v>
      </c>
    </row>
    <row r="269" ht="20" customHeight="1">
      <c r="A269" s="3" t="inlineStr">
        <is>
          <t>Maintenance</t>
        </is>
      </c>
      <c r="B269" s="3" t="n"/>
      <c r="C269" s="3" t="inlineStr">
        <is>
          <t>MAINTENANCE</t>
        </is>
      </c>
      <c r="D269" s="3" t="inlineStr">
        <is>
          <t>INSEE BDM 010777481: Indice mensuel des prix d'achat des moyens de production agricole (IPAMPA) - Entretien et réparation</t>
        </is>
      </c>
      <c r="E269" s="3" t="inlineStr">
        <is>
          <t>monthly package</t>
        </is>
      </c>
      <c r="F269" s="3" t="n">
        <v>350</v>
      </c>
      <c r="G269" s="3" t="inlineStr">
        <is>
          <t>2022-01</t>
        </is>
      </c>
      <c r="H269" s="3" t="n">
        <v>361.6781</v>
      </c>
    </row>
    <row r="270" ht="20" customHeight="1">
      <c r="A270" s="3" t="inlineStr">
        <is>
          <t>Maintenance</t>
        </is>
      </c>
      <c r="B270" s="3" t="n"/>
      <c r="C270" s="3" t="inlineStr">
        <is>
          <t>MAINTENANCE</t>
        </is>
      </c>
      <c r="D270" s="3" t="inlineStr">
        <is>
          <t>INSEE BDM 010777481: Indice mensuel des prix d'achat des moyens de production agricole (IPAMPA) - Entretien et réparation</t>
        </is>
      </c>
      <c r="E270" s="3" t="inlineStr">
        <is>
          <t>monthly package</t>
        </is>
      </c>
      <c r="F270" s="3" t="n">
        <v>350</v>
      </c>
      <c r="G270" s="3" t="inlineStr">
        <is>
          <t>2022-02</t>
        </is>
      </c>
      <c r="H270" s="3" t="n">
        <v>363.052</v>
      </c>
    </row>
    <row r="271" ht="20" customHeight="1">
      <c r="A271" s="3" t="inlineStr">
        <is>
          <t>Maintenance</t>
        </is>
      </c>
      <c r="B271" s="3" t="n"/>
      <c r="C271" s="3" t="inlineStr">
        <is>
          <t>MAINTENANCE</t>
        </is>
      </c>
      <c r="D271" s="3" t="inlineStr">
        <is>
          <t>INSEE BDM 010777481: Indice mensuel des prix d'achat des moyens de production agricole (IPAMPA) - Entretien et réparation</t>
        </is>
      </c>
      <c r="E271" s="3" t="inlineStr">
        <is>
          <t>monthly package</t>
        </is>
      </c>
      <c r="F271" s="3" t="n">
        <v>350</v>
      </c>
      <c r="G271" s="3" t="inlineStr">
        <is>
          <t>2022-03</t>
        </is>
      </c>
      <c r="H271" s="3" t="n">
        <v>365.1129</v>
      </c>
    </row>
    <row r="272" ht="20" customHeight="1">
      <c r="A272" s="3" t="inlineStr">
        <is>
          <t>Maintenance</t>
        </is>
      </c>
      <c r="B272" s="3" t="n"/>
      <c r="C272" s="3" t="inlineStr">
        <is>
          <t>MAINTENANCE</t>
        </is>
      </c>
      <c r="D272" s="3" t="inlineStr">
        <is>
          <t>INSEE BDM 010777481: Indice mensuel des prix d'achat des moyens de production agricole (IPAMPA) - Entretien et réparation</t>
        </is>
      </c>
      <c r="E272" s="3" t="inlineStr">
        <is>
          <t>monthly package</t>
        </is>
      </c>
      <c r="F272" s="3" t="n">
        <v>350</v>
      </c>
      <c r="G272" s="3" t="inlineStr">
        <is>
          <t>2022-04</t>
        </is>
      </c>
      <c r="H272" s="3" t="n">
        <v>367.5172</v>
      </c>
    </row>
    <row r="273" ht="20" customHeight="1">
      <c r="A273" s="3" t="inlineStr">
        <is>
          <t>Maintenance</t>
        </is>
      </c>
      <c r="B273" s="3" t="n"/>
      <c r="C273" s="3" t="inlineStr">
        <is>
          <t>MAINTENANCE</t>
        </is>
      </c>
      <c r="D273" s="3" t="inlineStr">
        <is>
          <t>INSEE BDM 010777481: Indice mensuel des prix d'achat des moyens de production agricole (IPAMPA) - Entretien et réparation</t>
        </is>
      </c>
      <c r="E273" s="3" t="inlineStr">
        <is>
          <t>monthly package</t>
        </is>
      </c>
      <c r="F273" s="3" t="n">
        <v>350</v>
      </c>
      <c r="G273" s="3" t="inlineStr">
        <is>
          <t>2022-05</t>
        </is>
      </c>
      <c r="H273" s="3" t="n">
        <v>369.9215</v>
      </c>
    </row>
    <row r="274" ht="20" customHeight="1">
      <c r="A274" s="3" t="inlineStr">
        <is>
          <t>Maintenance</t>
        </is>
      </c>
      <c r="B274" s="3" t="n"/>
      <c r="C274" s="3" t="inlineStr">
        <is>
          <t>MAINTENANCE</t>
        </is>
      </c>
      <c r="D274" s="3" t="inlineStr">
        <is>
          <t>INSEE BDM 010777481: Indice mensuel des prix d'achat des moyens de production agricole (IPAMPA) - Entretien et réparation</t>
        </is>
      </c>
      <c r="E274" s="3" t="inlineStr">
        <is>
          <t>monthly package</t>
        </is>
      </c>
      <c r="F274" s="3" t="n">
        <v>350</v>
      </c>
      <c r="G274" s="3" t="inlineStr">
        <is>
          <t>2022-06</t>
        </is>
      </c>
      <c r="H274" s="3" t="n">
        <v>373.3562</v>
      </c>
    </row>
    <row r="275" ht="20" customHeight="1">
      <c r="A275" s="3" t="inlineStr">
        <is>
          <t>Maintenance</t>
        </is>
      </c>
      <c r="B275" s="3" t="n"/>
      <c r="C275" s="3" t="inlineStr">
        <is>
          <t>MAINTENANCE</t>
        </is>
      </c>
      <c r="D275" s="3" t="inlineStr">
        <is>
          <t>INSEE BDM 010777481: Indice mensuel des prix d'achat des moyens de production agricole (IPAMPA) - Entretien et réparation</t>
        </is>
      </c>
      <c r="E275" s="3" t="inlineStr">
        <is>
          <t>monthly package</t>
        </is>
      </c>
      <c r="F275" s="3" t="n">
        <v>350</v>
      </c>
      <c r="G275" s="3" t="inlineStr">
        <is>
          <t>2022-07</t>
        </is>
      </c>
      <c r="H275" s="3" t="n">
        <v>376.4475</v>
      </c>
    </row>
    <row r="276" ht="20" customHeight="1">
      <c r="A276" s="3" t="inlineStr">
        <is>
          <t>Maintenance</t>
        </is>
      </c>
      <c r="B276" s="3" t="n"/>
      <c r="C276" s="3" t="inlineStr">
        <is>
          <t>MAINTENANCE</t>
        </is>
      </c>
      <c r="D276" s="3" t="inlineStr">
        <is>
          <t>INSEE BDM 010777481: Indice mensuel des prix d'achat des moyens de production agricole (IPAMPA) - Entretien et réparation</t>
        </is>
      </c>
      <c r="E276" s="3" t="inlineStr">
        <is>
          <t>monthly package</t>
        </is>
      </c>
      <c r="F276" s="3" t="n">
        <v>350</v>
      </c>
      <c r="G276" s="3" t="inlineStr">
        <is>
          <t>2022-08</t>
        </is>
      </c>
      <c r="H276" s="3" t="n">
        <v>378.8518</v>
      </c>
    </row>
    <row r="277" ht="20" customHeight="1">
      <c r="A277" s="3" t="inlineStr">
        <is>
          <t>Maintenance</t>
        </is>
      </c>
      <c r="B277" s="3" t="n"/>
      <c r="C277" s="3" t="inlineStr">
        <is>
          <t>MAINTENANCE</t>
        </is>
      </c>
      <c r="D277" s="3" t="inlineStr">
        <is>
          <t>INSEE BDM 010777481: Indice mensuel des prix d'achat des moyens de production agricole (IPAMPA) - Entretien et réparation</t>
        </is>
      </c>
      <c r="E277" s="3" t="inlineStr">
        <is>
          <t>monthly package</t>
        </is>
      </c>
      <c r="F277" s="3" t="n">
        <v>350</v>
      </c>
      <c r="G277" s="3" t="inlineStr">
        <is>
          <t>2022-09</t>
        </is>
      </c>
      <c r="H277" s="3" t="n">
        <v>380.5692</v>
      </c>
    </row>
    <row r="278" ht="20" customHeight="1">
      <c r="A278" s="3" t="inlineStr">
        <is>
          <t>Maintenance</t>
        </is>
      </c>
      <c r="B278" s="3" t="n"/>
      <c r="C278" s="3" t="inlineStr">
        <is>
          <t>MAINTENANCE</t>
        </is>
      </c>
      <c r="D278" s="3" t="inlineStr">
        <is>
          <t>INSEE BDM 010777481: Indice mensuel des prix d'achat des moyens de production agricole (IPAMPA) - Entretien et réparation</t>
        </is>
      </c>
      <c r="E278" s="3" t="inlineStr">
        <is>
          <t>monthly package</t>
        </is>
      </c>
      <c r="F278" s="3" t="n">
        <v>350</v>
      </c>
      <c r="G278" s="3" t="inlineStr">
        <is>
          <t>2022-10</t>
        </is>
      </c>
      <c r="H278" s="3" t="n">
        <v>381.9431</v>
      </c>
    </row>
    <row r="279" ht="20" customHeight="1">
      <c r="A279" s="3" t="inlineStr">
        <is>
          <t>Maintenance</t>
        </is>
      </c>
      <c r="B279" s="3" t="n"/>
      <c r="C279" s="3" t="inlineStr">
        <is>
          <t>MAINTENANCE</t>
        </is>
      </c>
      <c r="D279" s="3" t="inlineStr">
        <is>
          <t>INSEE BDM 010777481: Indice mensuel des prix d'achat des moyens de production agricole (IPAMPA) - Entretien et réparation</t>
        </is>
      </c>
      <c r="E279" s="3" t="inlineStr">
        <is>
          <t>monthly package</t>
        </is>
      </c>
      <c r="F279" s="3" t="n">
        <v>350</v>
      </c>
      <c r="G279" s="3" t="inlineStr">
        <is>
          <t>2022-11</t>
        </is>
      </c>
      <c r="H279" s="3" t="n">
        <v>383.317</v>
      </c>
    </row>
    <row r="280" ht="20" customHeight="1">
      <c r="A280" s="3" t="inlineStr">
        <is>
          <t>Maintenance</t>
        </is>
      </c>
      <c r="B280" s="3" t="n"/>
      <c r="C280" s="3" t="inlineStr">
        <is>
          <t>MAINTENANCE</t>
        </is>
      </c>
      <c r="D280" s="3" t="inlineStr">
        <is>
          <t>INSEE BDM 010777481: Indice mensuel des prix d'achat des moyens de production agricole (IPAMPA) - Entretien et réparation</t>
        </is>
      </c>
      <c r="E280" s="3" t="inlineStr">
        <is>
          <t>monthly package</t>
        </is>
      </c>
      <c r="F280" s="3" t="n">
        <v>350</v>
      </c>
      <c r="G280" s="3" t="inlineStr">
        <is>
          <t>2022-12</t>
        </is>
      </c>
      <c r="H280" s="3" t="n">
        <v>384.6909</v>
      </c>
    </row>
    <row r="281" ht="20" customHeight="1">
      <c r="A281" s="3" t="inlineStr">
        <is>
          <t>Maintenance</t>
        </is>
      </c>
      <c r="B281" s="3" t="n"/>
      <c r="C281" s="3" t="inlineStr">
        <is>
          <t>MAINTENANCE</t>
        </is>
      </c>
      <c r="D281" s="3" t="inlineStr">
        <is>
          <t>INSEE BDM 010777481: Indice mensuel des prix d'achat des moyens de production agricole (IPAMPA) - Entretien et réparation</t>
        </is>
      </c>
      <c r="E281" s="3" t="inlineStr">
        <is>
          <t>monthly package</t>
        </is>
      </c>
      <c r="F281" s="3" t="n">
        <v>350</v>
      </c>
      <c r="G281" s="3" t="inlineStr">
        <is>
          <t>2023-01</t>
        </is>
      </c>
      <c r="H281" s="3" t="n">
        <v>392.2473</v>
      </c>
    </row>
    <row r="282" ht="20" customHeight="1">
      <c r="A282" s="3" t="inlineStr">
        <is>
          <t>Maintenance</t>
        </is>
      </c>
      <c r="B282" s="3" t="n"/>
      <c r="C282" s="3" t="inlineStr">
        <is>
          <t>MAINTENANCE</t>
        </is>
      </c>
      <c r="D282" s="3" t="inlineStr">
        <is>
          <t>INSEE BDM 010777481: Indice mensuel des prix d'achat des moyens de production agricole (IPAMPA) - Entretien et réparation</t>
        </is>
      </c>
      <c r="E282" s="3" t="inlineStr">
        <is>
          <t>monthly package</t>
        </is>
      </c>
      <c r="F282" s="3" t="n">
        <v>350</v>
      </c>
      <c r="G282" s="3" t="inlineStr">
        <is>
          <t>2023-02</t>
        </is>
      </c>
      <c r="H282" s="3" t="n">
        <v>396.0255</v>
      </c>
    </row>
    <row r="283" ht="20" customHeight="1">
      <c r="A283" s="3" t="inlineStr">
        <is>
          <t>Maintenance</t>
        </is>
      </c>
      <c r="B283" s="3" t="n"/>
      <c r="C283" s="3" t="inlineStr">
        <is>
          <t>MAINTENANCE</t>
        </is>
      </c>
      <c r="D283" s="3" t="inlineStr">
        <is>
          <t>INSEE BDM 010777481: Indice mensuel des prix d'achat des moyens de production agricole (IPAMPA) - Entretien et réparation</t>
        </is>
      </c>
      <c r="E283" s="3" t="inlineStr">
        <is>
          <t>monthly package</t>
        </is>
      </c>
      <c r="F283" s="3" t="n">
        <v>350</v>
      </c>
      <c r="G283" s="3" t="inlineStr">
        <is>
          <t>2023-03</t>
        </is>
      </c>
      <c r="H283" s="3" t="n">
        <v>398.0864</v>
      </c>
    </row>
    <row r="284" ht="20" customHeight="1">
      <c r="A284" s="3" t="inlineStr">
        <is>
          <t>Maintenance</t>
        </is>
      </c>
      <c r="B284" s="3" t="n"/>
      <c r="C284" s="3" t="inlineStr">
        <is>
          <t>MAINTENANCE</t>
        </is>
      </c>
      <c r="D284" s="3" t="inlineStr">
        <is>
          <t>INSEE BDM 010777481: Indice mensuel des prix d'achat des moyens de production agricole (IPAMPA) - Entretien et réparation</t>
        </is>
      </c>
      <c r="E284" s="3" t="inlineStr">
        <is>
          <t>monthly package</t>
        </is>
      </c>
      <c r="F284" s="3" t="n">
        <v>350</v>
      </c>
      <c r="G284" s="3" t="inlineStr">
        <is>
          <t>2023-04</t>
        </is>
      </c>
      <c r="H284" s="3" t="n">
        <v>400.1472</v>
      </c>
    </row>
    <row r="285" ht="20" customHeight="1">
      <c r="A285" s="3" t="inlineStr">
        <is>
          <t>Maintenance</t>
        </is>
      </c>
      <c r="B285" s="3" t="n"/>
      <c r="C285" s="3" t="inlineStr">
        <is>
          <t>MAINTENANCE</t>
        </is>
      </c>
      <c r="D285" s="3" t="inlineStr">
        <is>
          <t>INSEE BDM 010777481: Indice mensuel des prix d'achat des moyens de production agricole (IPAMPA) - Entretien et réparation</t>
        </is>
      </c>
      <c r="E285" s="3" t="inlineStr">
        <is>
          <t>monthly package</t>
        </is>
      </c>
      <c r="F285" s="3" t="n">
        <v>350</v>
      </c>
      <c r="G285" s="3" t="inlineStr">
        <is>
          <t>2023-05</t>
        </is>
      </c>
      <c r="H285" s="3" t="n">
        <v>401.1776</v>
      </c>
    </row>
    <row r="286" ht="20" customHeight="1">
      <c r="A286" s="3" t="inlineStr">
        <is>
          <t>Maintenance</t>
        </is>
      </c>
      <c r="B286" s="3" t="n"/>
      <c r="C286" s="3" t="inlineStr">
        <is>
          <t>MAINTENANCE</t>
        </is>
      </c>
      <c r="D286" s="3" t="inlineStr">
        <is>
          <t>INSEE BDM 010777481: Indice mensuel des prix d'achat des moyens de production agricole (IPAMPA) - Entretien et réparation</t>
        </is>
      </c>
      <c r="E286" s="3" t="inlineStr">
        <is>
          <t>monthly package</t>
        </is>
      </c>
      <c r="F286" s="3" t="n">
        <v>350</v>
      </c>
      <c r="G286" s="3" t="inlineStr">
        <is>
          <t>2023-06</t>
        </is>
      </c>
      <c r="H286" s="3" t="n">
        <v>401.8646</v>
      </c>
    </row>
    <row r="287" ht="20" customHeight="1">
      <c r="A287" s="3" t="inlineStr">
        <is>
          <t>Maintenance</t>
        </is>
      </c>
      <c r="B287" s="3" t="n"/>
      <c r="C287" s="3" t="inlineStr">
        <is>
          <t>MAINTENANCE</t>
        </is>
      </c>
      <c r="D287" s="3" t="inlineStr">
        <is>
          <t>INSEE BDM 010777481: Indice mensuel des prix d'achat des moyens de production agricole (IPAMPA) - Entretien et réparation</t>
        </is>
      </c>
      <c r="E287" s="3" t="inlineStr">
        <is>
          <t>monthly package</t>
        </is>
      </c>
      <c r="F287" s="3" t="n">
        <v>350</v>
      </c>
      <c r="G287" s="3" t="inlineStr">
        <is>
          <t>2023-07</t>
        </is>
      </c>
      <c r="H287" s="3" t="n">
        <v>402.895</v>
      </c>
    </row>
    <row r="288" ht="20" customHeight="1">
      <c r="A288" s="3" t="inlineStr">
        <is>
          <t>Maintenance</t>
        </is>
      </c>
      <c r="B288" s="3" t="n"/>
      <c r="C288" s="3" t="inlineStr">
        <is>
          <t>MAINTENANCE</t>
        </is>
      </c>
      <c r="D288" s="3" t="inlineStr">
        <is>
          <t>INSEE BDM 010777481: Indice mensuel des prix d'achat des moyens de production agricole (IPAMPA) - Entretien et réparation</t>
        </is>
      </c>
      <c r="E288" s="3" t="inlineStr">
        <is>
          <t>monthly package</t>
        </is>
      </c>
      <c r="F288" s="3" t="n">
        <v>350</v>
      </c>
      <c r="G288" s="3" t="inlineStr">
        <is>
          <t>2023-08</t>
        </is>
      </c>
      <c r="H288" s="3" t="n">
        <v>403.9254</v>
      </c>
    </row>
    <row r="289" ht="20" customHeight="1">
      <c r="A289" s="3" t="inlineStr">
        <is>
          <t>Maintenance</t>
        </is>
      </c>
      <c r="B289" s="3" t="n"/>
      <c r="C289" s="3" t="inlineStr">
        <is>
          <t>MAINTENANCE</t>
        </is>
      </c>
      <c r="D289" s="3" t="inlineStr">
        <is>
          <t>INSEE BDM 010777481: Indice mensuel des prix d'achat des moyens de production agricole (IPAMPA) - Entretien et réparation</t>
        </is>
      </c>
      <c r="E289" s="3" t="inlineStr">
        <is>
          <t>monthly package</t>
        </is>
      </c>
      <c r="F289" s="3" t="n">
        <v>350</v>
      </c>
      <c r="G289" s="3" t="inlineStr">
        <is>
          <t>2023-09</t>
        </is>
      </c>
      <c r="H289" s="3" t="n">
        <v>405.9863</v>
      </c>
    </row>
    <row r="290" ht="20" customHeight="1">
      <c r="A290" s="3" t="inlineStr">
        <is>
          <t>Maintenance</t>
        </is>
      </c>
      <c r="B290" s="3" t="n"/>
      <c r="C290" s="3" t="inlineStr">
        <is>
          <t>MAINTENANCE</t>
        </is>
      </c>
      <c r="D290" s="3" t="inlineStr">
        <is>
          <t>INSEE BDM 010777481: Indice mensuel des prix d'achat des moyens de production agricole (IPAMPA) - Entretien et réparation</t>
        </is>
      </c>
      <c r="E290" s="3" t="inlineStr">
        <is>
          <t>monthly package</t>
        </is>
      </c>
      <c r="F290" s="3" t="n">
        <v>350</v>
      </c>
      <c r="G290" s="3" t="inlineStr">
        <is>
          <t>2023-10</t>
        </is>
      </c>
      <c r="H290" s="3" t="n">
        <v>408.0471</v>
      </c>
    </row>
    <row r="291" ht="20" customHeight="1">
      <c r="A291" s="3" t="inlineStr">
        <is>
          <t>Maintenance</t>
        </is>
      </c>
      <c r="B291" s="3" t="n"/>
      <c r="C291" s="3" t="inlineStr">
        <is>
          <t>MAINTENANCE</t>
        </is>
      </c>
      <c r="D291" s="3" t="inlineStr">
        <is>
          <t>INSEE BDM 010777481: Indice mensuel des prix d'achat des moyens de production agricole (IPAMPA) - Entretien et réparation</t>
        </is>
      </c>
      <c r="E291" s="3" t="inlineStr">
        <is>
          <t>monthly package</t>
        </is>
      </c>
      <c r="F291" s="3" t="n">
        <v>350</v>
      </c>
      <c r="G291" s="3" t="inlineStr">
        <is>
          <t>2023-11</t>
        </is>
      </c>
      <c r="H291" s="3" t="n">
        <v>409.0775</v>
      </c>
    </row>
    <row r="292" ht="20" customHeight="1">
      <c r="A292" s="3" t="inlineStr">
        <is>
          <t>Maintenance</t>
        </is>
      </c>
      <c r="B292" s="3" t="n"/>
      <c r="C292" s="3" t="inlineStr">
        <is>
          <t>MAINTENANCE</t>
        </is>
      </c>
      <c r="D292" s="3" t="inlineStr">
        <is>
          <t>INSEE BDM 010777481: Indice mensuel des prix d'achat des moyens de production agricole (IPAMPA) - Entretien et réparation</t>
        </is>
      </c>
      <c r="E292" s="3" t="inlineStr">
        <is>
          <t>monthly package</t>
        </is>
      </c>
      <c r="F292" s="3" t="n">
        <v>350</v>
      </c>
      <c r="G292" s="3" t="inlineStr">
        <is>
          <t>2023-12</t>
        </is>
      </c>
      <c r="H292" s="3" t="n">
        <v>410.1079</v>
      </c>
    </row>
    <row r="293" ht="20" customHeight="1">
      <c r="A293" s="3" t="inlineStr">
        <is>
          <t>Gas for heating</t>
        </is>
      </c>
      <c r="B293" s="3" t="inlineStr">
        <is>
          <t>Gas</t>
        </is>
      </c>
      <c r="C293" s="3" t="inlineStr">
        <is>
          <t>NATURAL_GAS</t>
        </is>
      </c>
      <c r="D293" s="3" t="inlineStr">
        <is>
          <t>INSEE BDM 010767333: Gaz naturel TTF, contrats à terme à la première échéance aux Pays-Bas - ICE Futures Europe - Prix en euros par mégawattheure</t>
        </is>
      </c>
      <c r="E293" s="3" t="inlineStr">
        <is>
          <t>kWh</t>
        </is>
      </c>
      <c r="F293" s="3" t="n">
        <v>0.1</v>
      </c>
      <c r="G293" s="3" t="inlineStr">
        <is>
          <t>2021-01</t>
        </is>
      </c>
      <c r="H293" s="3" t="n">
        <v>0.1</v>
      </c>
    </row>
    <row r="294" ht="20" customHeight="1">
      <c r="A294" s="3" t="inlineStr">
        <is>
          <t>Gas for heating</t>
        </is>
      </c>
      <c r="B294" s="3" t="inlineStr">
        <is>
          <t>Gas</t>
        </is>
      </c>
      <c r="C294" s="3" t="inlineStr">
        <is>
          <t>NATURAL_GAS</t>
        </is>
      </c>
      <c r="D294" s="3" t="inlineStr">
        <is>
          <t>INSEE BDM 010767333: Gaz naturel TTF, contrats à terme à la première échéance aux Pays-Bas - ICE Futures Europe - Prix en euros par mégawattheure</t>
        </is>
      </c>
      <c r="E294" s="3" t="inlineStr">
        <is>
          <t>kWh</t>
        </is>
      </c>
      <c r="F294" s="3" t="n">
        <v>0.1</v>
      </c>
      <c r="G294" s="3" t="inlineStr">
        <is>
          <t>2021-02</t>
        </is>
      </c>
      <c r="H294" s="3" t="n">
        <v>0.0853</v>
      </c>
    </row>
    <row r="295" ht="20" customHeight="1">
      <c r="A295" s="3" t="inlineStr">
        <is>
          <t>Gas for heating</t>
        </is>
      </c>
      <c r="B295" s="3" t="inlineStr">
        <is>
          <t>Gas</t>
        </is>
      </c>
      <c r="C295" s="3" t="inlineStr">
        <is>
          <t>NATURAL_GAS</t>
        </is>
      </c>
      <c r="D295" s="3" t="inlineStr">
        <is>
          <t>INSEE BDM 010767333: Gaz naturel TTF, contrats à terme à la première échéance aux Pays-Bas - ICE Futures Europe - Prix en euros par mégawattheure</t>
        </is>
      </c>
      <c r="E295" s="3" t="inlineStr">
        <is>
          <t>kWh</t>
        </is>
      </c>
      <c r="F295" s="3" t="n">
        <v>0.1</v>
      </c>
      <c r="G295" s="3" t="inlineStr">
        <is>
          <t>2021-03</t>
        </is>
      </c>
      <c r="H295" s="3" t="n">
        <v>0.0863</v>
      </c>
    </row>
    <row r="296" ht="20" customHeight="1">
      <c r="A296" s="3" t="inlineStr">
        <is>
          <t>Gas for heating</t>
        </is>
      </c>
      <c r="B296" s="3" t="inlineStr">
        <is>
          <t>Gas</t>
        </is>
      </c>
      <c r="C296" s="3" t="inlineStr">
        <is>
          <t>NATURAL_GAS</t>
        </is>
      </c>
      <c r="D296" s="3" t="inlineStr">
        <is>
          <t>INSEE BDM 010767333: Gaz naturel TTF, contrats à terme à la première échéance aux Pays-Bas - ICE Futures Europe - Prix en euros par mégawattheure</t>
        </is>
      </c>
      <c r="E296" s="3" t="inlineStr">
        <is>
          <t>kWh</t>
        </is>
      </c>
      <c r="F296" s="3" t="n">
        <v>0.1</v>
      </c>
      <c r="G296" s="3" t="inlineStr">
        <is>
          <t>2021-04</t>
        </is>
      </c>
      <c r="H296" s="3" t="n">
        <v>0.1</v>
      </c>
    </row>
    <row r="297" ht="20" customHeight="1">
      <c r="A297" s="3" t="inlineStr">
        <is>
          <t>Gas for heating</t>
        </is>
      </c>
      <c r="B297" s="3" t="inlineStr">
        <is>
          <t>Gas</t>
        </is>
      </c>
      <c r="C297" s="3" t="inlineStr">
        <is>
          <t>NATURAL_GAS</t>
        </is>
      </c>
      <c r="D297" s="3" t="inlineStr">
        <is>
          <t>INSEE BDM 010767333: Gaz naturel TTF, contrats à terme à la première échéance aux Pays-Bas - ICE Futures Europe - Prix en euros par mégawattheure</t>
        </is>
      </c>
      <c r="E297" s="3" t="inlineStr">
        <is>
          <t>kWh</t>
        </is>
      </c>
      <c r="F297" s="3" t="n">
        <v>0.1</v>
      </c>
      <c r="G297" s="3" t="inlineStr">
        <is>
          <t>2021-05</t>
        </is>
      </c>
      <c r="H297" s="3" t="n">
        <v>0.1225</v>
      </c>
    </row>
    <row r="298" ht="20" customHeight="1">
      <c r="A298" s="3" t="inlineStr">
        <is>
          <t>Gas for heating</t>
        </is>
      </c>
      <c r="B298" s="3" t="inlineStr">
        <is>
          <t>Gas</t>
        </is>
      </c>
      <c r="C298" s="3" t="inlineStr">
        <is>
          <t>NATURAL_GAS</t>
        </is>
      </c>
      <c r="D298" s="3" t="inlineStr">
        <is>
          <t>INSEE BDM 010767333: Gaz naturel TTF, contrats à terme à la première échéance aux Pays-Bas - ICE Futures Europe - Prix en euros par mégawattheure</t>
        </is>
      </c>
      <c r="E298" s="3" t="inlineStr">
        <is>
          <t>kWh</t>
        </is>
      </c>
      <c r="F298" s="3" t="n">
        <v>0.1</v>
      </c>
      <c r="G298" s="3" t="inlineStr">
        <is>
          <t>2021-06</t>
        </is>
      </c>
      <c r="H298" s="3" t="n">
        <v>0.1431</v>
      </c>
    </row>
    <row r="299" ht="20" customHeight="1">
      <c r="A299" s="3" t="inlineStr">
        <is>
          <t>Gas for heating</t>
        </is>
      </c>
      <c r="B299" s="3" t="inlineStr">
        <is>
          <t>Gas</t>
        </is>
      </c>
      <c r="C299" s="3" t="inlineStr">
        <is>
          <t>NATURAL_GAS</t>
        </is>
      </c>
      <c r="D299" s="3" t="inlineStr">
        <is>
          <t>INSEE BDM 010767333: Gaz naturel TTF, contrats à terme à la première échéance aux Pays-Bas - ICE Futures Europe - Prix en euros par mégawattheure</t>
        </is>
      </c>
      <c r="E299" s="3" t="inlineStr">
        <is>
          <t>kWh</t>
        </is>
      </c>
      <c r="F299" s="3" t="n">
        <v>0.1</v>
      </c>
      <c r="G299" s="3" t="inlineStr">
        <is>
          <t>2021-07</t>
        </is>
      </c>
      <c r="H299" s="3" t="n">
        <v>0.177</v>
      </c>
    </row>
    <row r="300" ht="20" customHeight="1">
      <c r="A300" s="3" t="inlineStr">
        <is>
          <t>Gas for heating</t>
        </is>
      </c>
      <c r="B300" s="3" t="inlineStr">
        <is>
          <t>Gas</t>
        </is>
      </c>
      <c r="C300" s="3" t="inlineStr">
        <is>
          <t>NATURAL_GAS</t>
        </is>
      </c>
      <c r="D300" s="3" t="inlineStr">
        <is>
          <t>INSEE BDM 010767333: Gaz naturel TTF, contrats à terme à la première échéance aux Pays-Bas - ICE Futures Europe - Prix en euros par mégawattheure</t>
        </is>
      </c>
      <c r="E300" s="3" t="inlineStr">
        <is>
          <t>kWh</t>
        </is>
      </c>
      <c r="F300" s="3" t="n">
        <v>0.1</v>
      </c>
      <c r="G300" s="3" t="inlineStr">
        <is>
          <t>2021-08</t>
        </is>
      </c>
      <c r="H300" s="3" t="n">
        <v>0.2191</v>
      </c>
    </row>
    <row r="301" ht="20" customHeight="1">
      <c r="A301" s="3" t="inlineStr">
        <is>
          <t>Gas for heating</t>
        </is>
      </c>
      <c r="B301" s="3" t="inlineStr">
        <is>
          <t>Gas</t>
        </is>
      </c>
      <c r="C301" s="3" t="inlineStr">
        <is>
          <t>NATURAL_GAS</t>
        </is>
      </c>
      <c r="D301" s="3" t="inlineStr">
        <is>
          <t>INSEE BDM 010767333: Gaz naturel TTF, contrats à terme à la première échéance aux Pays-Bas - ICE Futures Europe - Prix en euros par mégawattheure</t>
        </is>
      </c>
      <c r="E301" s="3" t="inlineStr">
        <is>
          <t>kWh</t>
        </is>
      </c>
      <c r="F301" s="3" t="n">
        <v>0.1</v>
      </c>
      <c r="G301" s="3" t="inlineStr">
        <is>
          <t>2021-09</t>
        </is>
      </c>
      <c r="H301" s="3" t="n">
        <v>0.3245</v>
      </c>
    </row>
    <row r="302" ht="20" customHeight="1">
      <c r="A302" s="3" t="inlineStr">
        <is>
          <t>Gas for heating</t>
        </is>
      </c>
      <c r="B302" s="3" t="inlineStr">
        <is>
          <t>Gas</t>
        </is>
      </c>
      <c r="C302" s="3" t="inlineStr">
        <is>
          <t>NATURAL_GAS</t>
        </is>
      </c>
      <c r="D302" s="3" t="inlineStr">
        <is>
          <t>INSEE BDM 010767333: Gaz naturel TTF, contrats à terme à la première échéance aux Pays-Bas - ICE Futures Europe - Prix en euros par mégawattheure</t>
        </is>
      </c>
      <c r="E302" s="3" t="inlineStr">
        <is>
          <t>kWh</t>
        </is>
      </c>
      <c r="F302" s="3" t="n">
        <v>0.1</v>
      </c>
      <c r="G302" s="3" t="inlineStr">
        <is>
          <t>2021-10</t>
        </is>
      </c>
      <c r="H302" s="3" t="n">
        <v>0.4475</v>
      </c>
    </row>
    <row r="303" ht="20" customHeight="1">
      <c r="A303" s="3" t="inlineStr">
        <is>
          <t>Gas for heating</t>
        </is>
      </c>
      <c r="B303" s="3" t="inlineStr">
        <is>
          <t>Gas</t>
        </is>
      </c>
      <c r="C303" s="3" t="inlineStr">
        <is>
          <t>NATURAL_GAS</t>
        </is>
      </c>
      <c r="D303" s="3" t="inlineStr">
        <is>
          <t>INSEE BDM 010767333: Gaz naturel TTF, contrats à terme à la première échéance aux Pays-Bas - ICE Futures Europe - Prix en euros par mégawattheure</t>
        </is>
      </c>
      <c r="E303" s="3" t="inlineStr">
        <is>
          <t>kWh</t>
        </is>
      </c>
      <c r="F303" s="3" t="n">
        <v>0.1</v>
      </c>
      <c r="G303" s="3" t="inlineStr">
        <is>
          <t>2021-11</t>
        </is>
      </c>
      <c r="H303" s="3" t="n">
        <v>0.4049</v>
      </c>
    </row>
    <row r="304" ht="20" customHeight="1">
      <c r="A304" s="3" t="inlineStr">
        <is>
          <t>Gas for heating</t>
        </is>
      </c>
      <c r="B304" s="3" t="inlineStr">
        <is>
          <t>Gas</t>
        </is>
      </c>
      <c r="C304" s="3" t="inlineStr">
        <is>
          <t>NATURAL_GAS</t>
        </is>
      </c>
      <c r="D304" s="3" t="inlineStr">
        <is>
          <t>INSEE BDM 010767333: Gaz naturel TTF, contrats à terme à la première échéance aux Pays-Bas - ICE Futures Europe - Prix en euros par mégawattheure</t>
        </is>
      </c>
      <c r="E304" s="3" t="inlineStr">
        <is>
          <t>kWh</t>
        </is>
      </c>
      <c r="F304" s="3" t="n">
        <v>0.1</v>
      </c>
      <c r="G304" s="3" t="inlineStr">
        <is>
          <t>2021-12</t>
        </is>
      </c>
      <c r="H304" s="3" t="n">
        <v>0.5627</v>
      </c>
    </row>
    <row r="305" ht="20" customHeight="1">
      <c r="A305" s="3" t="inlineStr">
        <is>
          <t>Gas for heating</t>
        </is>
      </c>
      <c r="B305" s="3" t="inlineStr">
        <is>
          <t>Gas</t>
        </is>
      </c>
      <c r="C305" s="3" t="inlineStr">
        <is>
          <t>NATURAL_GAS</t>
        </is>
      </c>
      <c r="D305" s="3" t="inlineStr">
        <is>
          <t>INSEE BDM 010767333: Gaz naturel TTF, contrats à terme à la première échéance aux Pays-Bas - ICE Futures Europe - Prix en euros par mégawattheure</t>
        </is>
      </c>
      <c r="E305" s="3" t="inlineStr">
        <is>
          <t>kWh</t>
        </is>
      </c>
      <c r="F305" s="3" t="n">
        <v>0.1</v>
      </c>
      <c r="G305" s="3" t="inlineStr">
        <is>
          <t>2022-01</t>
        </is>
      </c>
      <c r="H305" s="3" t="n">
        <v>0.4176</v>
      </c>
    </row>
    <row r="306" ht="20" customHeight="1">
      <c r="A306" s="3" t="inlineStr">
        <is>
          <t>Gas for heating</t>
        </is>
      </c>
      <c r="B306" s="3" t="inlineStr">
        <is>
          <t>Gas</t>
        </is>
      </c>
      <c r="C306" s="3" t="inlineStr">
        <is>
          <t>NATURAL_GAS</t>
        </is>
      </c>
      <c r="D306" s="3" t="inlineStr">
        <is>
          <t>INSEE BDM 010767333: Gaz naturel TTF, contrats à terme à la première échéance aux Pays-Bas - ICE Futures Europe - Prix en euros par mégawattheure</t>
        </is>
      </c>
      <c r="E306" s="3" t="inlineStr">
        <is>
          <t>kWh</t>
        </is>
      </c>
      <c r="F306" s="3" t="n">
        <v>0.1</v>
      </c>
      <c r="G306" s="3" t="inlineStr">
        <is>
          <t>2022-02</t>
        </is>
      </c>
      <c r="H306" s="3" t="n">
        <v>0.4015</v>
      </c>
    </row>
    <row r="307" ht="20" customHeight="1">
      <c r="A307" s="3" t="inlineStr">
        <is>
          <t>Gas for heating</t>
        </is>
      </c>
      <c r="B307" s="3" t="inlineStr">
        <is>
          <t>Gas</t>
        </is>
      </c>
      <c r="C307" s="3" t="inlineStr">
        <is>
          <t>NATURAL_GAS</t>
        </is>
      </c>
      <c r="D307" s="3" t="inlineStr">
        <is>
          <t>INSEE BDM 010767333: Gaz naturel TTF, contrats à terme à la première échéance aux Pays-Bas - ICE Futures Europe - Prix en euros par mégawattheure</t>
        </is>
      </c>
      <c r="E307" s="3" t="inlineStr">
        <is>
          <t>kWh</t>
        </is>
      </c>
      <c r="F307" s="3" t="n">
        <v>0.1</v>
      </c>
      <c r="G307" s="3" t="inlineStr">
        <is>
          <t>2022-03</t>
        </is>
      </c>
      <c r="H307" s="3" t="n">
        <v>0.6435999999999999</v>
      </c>
    </row>
    <row r="308" ht="20" customHeight="1">
      <c r="A308" s="3" t="inlineStr">
        <is>
          <t>Gas for heating</t>
        </is>
      </c>
      <c r="B308" s="3" t="inlineStr">
        <is>
          <t>Gas</t>
        </is>
      </c>
      <c r="C308" s="3" t="inlineStr">
        <is>
          <t>NATURAL_GAS</t>
        </is>
      </c>
      <c r="D308" s="3" t="inlineStr">
        <is>
          <t>INSEE BDM 010767333: Gaz naturel TTF, contrats à terme à la première échéance aux Pays-Bas - ICE Futures Europe - Prix en euros par mégawattheure</t>
        </is>
      </c>
      <c r="E308" s="3" t="inlineStr">
        <is>
          <t>kWh</t>
        </is>
      </c>
      <c r="F308" s="3" t="n">
        <v>0.1</v>
      </c>
      <c r="G308" s="3" t="inlineStr">
        <is>
          <t>2022-04</t>
        </is>
      </c>
      <c r="H308" s="3" t="n">
        <v>0.499</v>
      </c>
    </row>
    <row r="309" ht="20" customHeight="1">
      <c r="A309" s="3" t="inlineStr">
        <is>
          <t>Gas for heating</t>
        </is>
      </c>
      <c r="B309" s="3" t="inlineStr">
        <is>
          <t>Gas</t>
        </is>
      </c>
      <c r="C309" s="3" t="inlineStr">
        <is>
          <t>NATURAL_GAS</t>
        </is>
      </c>
      <c r="D309" s="3" t="inlineStr">
        <is>
          <t>INSEE BDM 010767333: Gaz naturel TTF, contrats à terme à la première échéance aux Pays-Bas - ICE Futures Europe - Prix en euros par mégawattheure</t>
        </is>
      </c>
      <c r="E309" s="3" t="inlineStr">
        <is>
          <t>kWh</t>
        </is>
      </c>
      <c r="F309" s="3" t="n">
        <v>0.1</v>
      </c>
      <c r="G309" s="3" t="inlineStr">
        <is>
          <t>2022-05</t>
        </is>
      </c>
      <c r="H309" s="3" t="n">
        <v>0.4613</v>
      </c>
    </row>
    <row r="310" ht="20" customHeight="1">
      <c r="A310" s="3" t="inlineStr">
        <is>
          <t>Gas for heating</t>
        </is>
      </c>
      <c r="B310" s="3" t="inlineStr">
        <is>
          <t>Gas</t>
        </is>
      </c>
      <c r="C310" s="3" t="inlineStr">
        <is>
          <t>NATURAL_GAS</t>
        </is>
      </c>
      <c r="D310" s="3" t="inlineStr">
        <is>
          <t>INSEE BDM 010767333: Gaz naturel TTF, contrats à terme à la première échéance aux Pays-Bas - ICE Futures Europe - Prix en euros par mégawattheure</t>
        </is>
      </c>
      <c r="E310" s="3" t="inlineStr">
        <is>
          <t>kWh</t>
        </is>
      </c>
      <c r="F310" s="3" t="n">
        <v>0.1</v>
      </c>
      <c r="G310" s="3" t="inlineStr">
        <is>
          <t>2022-06</t>
        </is>
      </c>
      <c r="H310" s="3" t="n">
        <v>0.5309</v>
      </c>
    </row>
    <row r="311" ht="20" customHeight="1">
      <c r="A311" s="3" t="inlineStr">
        <is>
          <t>Gas for heating</t>
        </is>
      </c>
      <c r="B311" s="3" t="inlineStr">
        <is>
          <t>Gas</t>
        </is>
      </c>
      <c r="C311" s="3" t="inlineStr">
        <is>
          <t>NATURAL_GAS</t>
        </is>
      </c>
      <c r="D311" s="3" t="inlineStr">
        <is>
          <t>INSEE BDM 010767333: Gaz naturel TTF, contrats à terme à la première échéance aux Pays-Bas - ICE Futures Europe - Prix en euros par mégawattheure</t>
        </is>
      </c>
      <c r="E311" s="3" t="inlineStr">
        <is>
          <t>kWh</t>
        </is>
      </c>
      <c r="F311" s="3" t="n">
        <v>0.1</v>
      </c>
      <c r="G311" s="3" t="inlineStr">
        <is>
          <t>2022-07</t>
        </is>
      </c>
      <c r="H311" s="3" t="n">
        <v>0.8431</v>
      </c>
    </row>
    <row r="312" ht="20" customHeight="1">
      <c r="A312" s="3" t="inlineStr">
        <is>
          <t>Gas for heating</t>
        </is>
      </c>
      <c r="B312" s="3" t="inlineStr">
        <is>
          <t>Gas</t>
        </is>
      </c>
      <c r="C312" s="3" t="inlineStr">
        <is>
          <t>NATURAL_GAS</t>
        </is>
      </c>
      <c r="D312" s="3" t="inlineStr">
        <is>
          <t>INSEE BDM 010767333: Gaz naturel TTF, contrats à terme à la première échéance aux Pays-Bas - ICE Futures Europe - Prix en euros par mégawattheure</t>
        </is>
      </c>
      <c r="E312" s="3" t="inlineStr">
        <is>
          <t>kWh</t>
        </is>
      </c>
      <c r="F312" s="3" t="n">
        <v>0.1</v>
      </c>
      <c r="G312" s="3" t="inlineStr">
        <is>
          <t>2022-08</t>
        </is>
      </c>
      <c r="H312" s="3" t="n">
        <v>1.1569</v>
      </c>
    </row>
    <row r="313" ht="20" customHeight="1">
      <c r="A313" s="3" t="inlineStr">
        <is>
          <t>Gas for heating</t>
        </is>
      </c>
      <c r="B313" s="3" t="inlineStr">
        <is>
          <t>Gas</t>
        </is>
      </c>
      <c r="C313" s="3" t="inlineStr">
        <is>
          <t>NATURAL_GAS</t>
        </is>
      </c>
      <c r="D313" s="3" t="inlineStr">
        <is>
          <t>INSEE BDM 010767333: Gaz naturel TTF, contrats à terme à la première échéance aux Pays-Bas - ICE Futures Europe - Prix en euros par mégawattheure</t>
        </is>
      </c>
      <c r="E313" s="3" t="inlineStr">
        <is>
          <t>kWh</t>
        </is>
      </c>
      <c r="F313" s="3" t="n">
        <v>0.1</v>
      </c>
      <c r="G313" s="3" t="inlineStr">
        <is>
          <t>2022-09</t>
        </is>
      </c>
      <c r="H313" s="3" t="n">
        <v>0.9975000000000001</v>
      </c>
    </row>
    <row r="314" ht="20" customHeight="1">
      <c r="A314" s="3" t="inlineStr">
        <is>
          <t>Gas for heating</t>
        </is>
      </c>
      <c r="B314" s="3" t="inlineStr">
        <is>
          <t>Gas</t>
        </is>
      </c>
      <c r="C314" s="3" t="inlineStr">
        <is>
          <t>NATURAL_GAS</t>
        </is>
      </c>
      <c r="D314" s="3" t="inlineStr">
        <is>
          <t>INSEE BDM 010767333: Gaz naturel TTF, contrats à terme à la première échéance aux Pays-Bas - ICE Futures Europe - Prix en euros par mégawattheure</t>
        </is>
      </c>
      <c r="E314" s="3" t="inlineStr">
        <is>
          <t>kWh</t>
        </is>
      </c>
      <c r="F314" s="3" t="n">
        <v>0.1</v>
      </c>
      <c r="G314" s="3" t="inlineStr">
        <is>
          <t>2022-10</t>
        </is>
      </c>
      <c r="H314" s="3" t="n">
        <v>0.6642</v>
      </c>
    </row>
    <row r="315" ht="20" customHeight="1">
      <c r="A315" s="3" t="inlineStr">
        <is>
          <t>Gas for heating</t>
        </is>
      </c>
      <c r="B315" s="3" t="inlineStr">
        <is>
          <t>Gas</t>
        </is>
      </c>
      <c r="C315" s="3" t="inlineStr">
        <is>
          <t>NATURAL_GAS</t>
        </is>
      </c>
      <c r="D315" s="3" t="inlineStr">
        <is>
          <t>INSEE BDM 010767333: Gaz naturel TTF, contrats à terme à la première échéance aux Pays-Bas - ICE Futures Europe - Prix en euros par mégawattheure</t>
        </is>
      </c>
      <c r="E315" s="3" t="inlineStr">
        <is>
          <t>kWh</t>
        </is>
      </c>
      <c r="F315" s="3" t="n">
        <v>0.1</v>
      </c>
      <c r="G315" s="3" t="inlineStr">
        <is>
          <t>2022-11</t>
        </is>
      </c>
      <c r="H315" s="3" t="n">
        <v>0.5858</v>
      </c>
    </row>
    <row r="316" ht="20" customHeight="1">
      <c r="A316" s="3" t="inlineStr">
        <is>
          <t>Gas for heating</t>
        </is>
      </c>
      <c r="B316" s="3" t="inlineStr">
        <is>
          <t>Gas</t>
        </is>
      </c>
      <c r="C316" s="3" t="inlineStr">
        <is>
          <t>NATURAL_GAS</t>
        </is>
      </c>
      <c r="D316" s="3" t="inlineStr">
        <is>
          <t>INSEE BDM 010767333: Gaz naturel TTF, contrats à terme à la première échéance aux Pays-Bas - ICE Futures Europe - Prix en euros par mégawattheure</t>
        </is>
      </c>
      <c r="E316" s="3" t="inlineStr">
        <is>
          <t>kWh</t>
        </is>
      </c>
      <c r="F316" s="3" t="n">
        <v>0.1</v>
      </c>
      <c r="G316" s="3" t="inlineStr">
        <is>
          <t>2022-12</t>
        </is>
      </c>
      <c r="H316" s="3" t="n">
        <v>0.5696</v>
      </c>
    </row>
    <row r="317" ht="20" customHeight="1">
      <c r="A317" s="3" t="inlineStr">
        <is>
          <t>Gas for heating</t>
        </is>
      </c>
      <c r="B317" s="3" t="inlineStr">
        <is>
          <t>Gas</t>
        </is>
      </c>
      <c r="C317" s="3" t="inlineStr">
        <is>
          <t>NATURAL_GAS</t>
        </is>
      </c>
      <c r="D317" s="3" t="inlineStr">
        <is>
          <t>INSEE BDM 010767333: Gaz naturel TTF, contrats à terme à la première échéance aux Pays-Bas - ICE Futures Europe - Prix en euros par mégawattheure</t>
        </is>
      </c>
      <c r="E317" s="3" t="inlineStr">
        <is>
          <t>kWh</t>
        </is>
      </c>
      <c r="F317" s="3" t="n">
        <v>0.1</v>
      </c>
      <c r="G317" s="3" t="inlineStr">
        <is>
          <t>2023-01</t>
        </is>
      </c>
      <c r="H317" s="3" t="n">
        <v>0.3132</v>
      </c>
    </row>
    <row r="318" ht="20" customHeight="1">
      <c r="A318" s="3" t="inlineStr">
        <is>
          <t>Gas for heating</t>
        </is>
      </c>
      <c r="B318" s="3" t="inlineStr">
        <is>
          <t>Gas</t>
        </is>
      </c>
      <c r="C318" s="3" t="inlineStr">
        <is>
          <t>NATURAL_GAS</t>
        </is>
      </c>
      <c r="D318" s="3" t="inlineStr">
        <is>
          <t>INSEE BDM 010767333: Gaz naturel TTF, contrats à terme à la première échéance aux Pays-Bas - ICE Futures Europe - Prix en euros par mégawattheure</t>
        </is>
      </c>
      <c r="E318" s="3" t="inlineStr">
        <is>
          <t>kWh</t>
        </is>
      </c>
      <c r="F318" s="3" t="n">
        <v>0.1</v>
      </c>
      <c r="G318" s="3" t="inlineStr">
        <is>
          <t>2023-02</t>
        </is>
      </c>
      <c r="H318" s="3" t="n">
        <v>0.2578</v>
      </c>
    </row>
    <row r="319" ht="20" customHeight="1">
      <c r="A319" s="3" t="inlineStr">
        <is>
          <t>Gas for heating</t>
        </is>
      </c>
      <c r="B319" s="3" t="inlineStr">
        <is>
          <t>Gas</t>
        </is>
      </c>
      <c r="C319" s="3" t="inlineStr">
        <is>
          <t>NATURAL_GAS</t>
        </is>
      </c>
      <c r="D319" s="3" t="inlineStr">
        <is>
          <t>INSEE BDM 010767333: Gaz naturel TTF, contrats à terme à la première échéance aux Pays-Bas - ICE Futures Europe - Prix en euros par mégawattheure</t>
        </is>
      </c>
      <c r="E319" s="3" t="inlineStr">
        <is>
          <t>kWh</t>
        </is>
      </c>
      <c r="F319" s="3" t="n">
        <v>0.1</v>
      </c>
      <c r="G319" s="3" t="inlineStr">
        <is>
          <t>2023-03</t>
        </is>
      </c>
      <c r="H319" s="3" t="n">
        <v>0.2157</v>
      </c>
    </row>
    <row r="320" ht="20" customHeight="1">
      <c r="A320" s="3" t="inlineStr">
        <is>
          <t>Gas for heating</t>
        </is>
      </c>
      <c r="B320" s="3" t="inlineStr">
        <is>
          <t>Gas</t>
        </is>
      </c>
      <c r="C320" s="3" t="inlineStr">
        <is>
          <t>NATURAL_GAS</t>
        </is>
      </c>
      <c r="D320" s="3" t="inlineStr">
        <is>
          <t>INSEE BDM 010767333: Gaz naturel TTF, contrats à terme à la première échéance aux Pays-Bas - ICE Futures Europe - Prix en euros par mégawattheure</t>
        </is>
      </c>
      <c r="E320" s="3" t="inlineStr">
        <is>
          <t>kWh</t>
        </is>
      </c>
      <c r="F320" s="3" t="n">
        <v>0.1</v>
      </c>
      <c r="G320" s="3" t="inlineStr">
        <is>
          <t>2023-04</t>
        </is>
      </c>
      <c r="H320" s="3" t="n">
        <v>0.2064</v>
      </c>
    </row>
    <row r="321" ht="20" customHeight="1">
      <c r="A321" s="3" t="inlineStr">
        <is>
          <t>Gas for heating</t>
        </is>
      </c>
      <c r="B321" s="3" t="inlineStr">
        <is>
          <t>Gas</t>
        </is>
      </c>
      <c r="C321" s="3" t="inlineStr">
        <is>
          <t>NATURAL_GAS</t>
        </is>
      </c>
      <c r="D321" s="3" t="inlineStr">
        <is>
          <t>INSEE BDM 010767333: Gaz naturel TTF, contrats à terme à la première échéance aux Pays-Bas - ICE Futures Europe - Prix en euros par mégawattheure</t>
        </is>
      </c>
      <c r="E321" s="3" t="inlineStr">
        <is>
          <t>kWh</t>
        </is>
      </c>
      <c r="F321" s="3" t="n">
        <v>0.1</v>
      </c>
      <c r="G321" s="3" t="inlineStr">
        <is>
          <t>2023-05</t>
        </is>
      </c>
      <c r="H321" s="3" t="n">
        <v>0.1554</v>
      </c>
    </row>
    <row r="322" ht="20" customHeight="1">
      <c r="A322" s="3" t="inlineStr">
        <is>
          <t>Gas for heating</t>
        </is>
      </c>
      <c r="B322" s="3" t="inlineStr">
        <is>
          <t>Gas</t>
        </is>
      </c>
      <c r="C322" s="3" t="inlineStr">
        <is>
          <t>NATURAL_GAS</t>
        </is>
      </c>
      <c r="D322" s="3" t="inlineStr">
        <is>
          <t>INSEE BDM 010767333: Gaz naturel TTF, contrats à terme à la première échéance aux Pays-Bas - ICE Futures Europe - Prix en euros par mégawattheure</t>
        </is>
      </c>
      <c r="E322" s="3" t="inlineStr">
        <is>
          <t>kWh</t>
        </is>
      </c>
      <c r="F322" s="3" t="n">
        <v>0.1</v>
      </c>
      <c r="G322" s="3" t="inlineStr">
        <is>
          <t>2023-06</t>
        </is>
      </c>
      <c r="H322" s="3" t="n">
        <v>0.1598</v>
      </c>
    </row>
    <row r="323" ht="20" customHeight="1">
      <c r="A323" s="3" t="inlineStr">
        <is>
          <t>Gas for heating</t>
        </is>
      </c>
      <c r="B323" s="3" t="inlineStr">
        <is>
          <t>Gas</t>
        </is>
      </c>
      <c r="C323" s="3" t="inlineStr">
        <is>
          <t>NATURAL_GAS</t>
        </is>
      </c>
      <c r="D323" s="3" t="inlineStr">
        <is>
          <t>INSEE BDM 010767333: Gaz naturel TTF, contrats à terme à la première échéance aux Pays-Bas - ICE Futures Europe - Prix en euros par mégawattheure</t>
        </is>
      </c>
      <c r="E323" s="3" t="inlineStr">
        <is>
          <t>kWh</t>
        </is>
      </c>
      <c r="F323" s="3" t="n">
        <v>0.1</v>
      </c>
      <c r="G323" s="3" t="inlineStr">
        <is>
          <t>2023-07</t>
        </is>
      </c>
      <c r="H323" s="3" t="n">
        <v>0.1446</v>
      </c>
    </row>
    <row r="324" ht="20" customHeight="1">
      <c r="A324" s="3" t="inlineStr">
        <is>
          <t>Gas for heating</t>
        </is>
      </c>
      <c r="B324" s="3" t="inlineStr">
        <is>
          <t>Gas</t>
        </is>
      </c>
      <c r="C324" s="3" t="inlineStr">
        <is>
          <t>NATURAL_GAS</t>
        </is>
      </c>
      <c r="D324" s="3" t="inlineStr">
        <is>
          <t>INSEE BDM 010767333: Gaz naturel TTF, contrats à terme à la première échéance aux Pays-Bas - ICE Futures Europe - Prix en euros par mégawattheure</t>
        </is>
      </c>
      <c r="E324" s="3" t="inlineStr">
        <is>
          <t>kWh</t>
        </is>
      </c>
      <c r="F324" s="3" t="n">
        <v>0.1</v>
      </c>
      <c r="G324" s="3" t="inlineStr">
        <is>
          <t>2023-08</t>
        </is>
      </c>
      <c r="H324" s="3" t="n">
        <v>0.1716</v>
      </c>
    </row>
    <row r="325" ht="20" customHeight="1">
      <c r="A325" s="3" t="inlineStr">
        <is>
          <t>Gas for heating</t>
        </is>
      </c>
      <c r="B325" s="3" t="inlineStr">
        <is>
          <t>Gas</t>
        </is>
      </c>
      <c r="C325" s="3" t="inlineStr">
        <is>
          <t>NATURAL_GAS</t>
        </is>
      </c>
      <c r="D325" s="3" t="inlineStr">
        <is>
          <t>INSEE BDM 010767333: Gaz naturel TTF, contrats à terme à la première échéance aux Pays-Bas - ICE Futures Europe - Prix en euros par mégawattheure</t>
        </is>
      </c>
      <c r="E325" s="3" t="inlineStr">
        <is>
          <t>kWh</t>
        </is>
      </c>
      <c r="F325" s="3" t="n">
        <v>0.1</v>
      </c>
      <c r="G325" s="3" t="inlineStr">
        <is>
          <t>2023-09</t>
        </is>
      </c>
      <c r="H325" s="3" t="n">
        <v>0.1809</v>
      </c>
    </row>
    <row r="326" ht="20" customHeight="1">
      <c r="A326" s="3" t="inlineStr">
        <is>
          <t>Gas for heating</t>
        </is>
      </c>
      <c r="B326" s="3" t="inlineStr">
        <is>
          <t>Gas</t>
        </is>
      </c>
      <c r="C326" s="3" t="inlineStr">
        <is>
          <t>NATURAL_GAS</t>
        </is>
      </c>
      <c r="D326" s="3" t="inlineStr">
        <is>
          <t>INSEE BDM 010767333: Gaz naturel TTF, contrats à terme à la première échéance aux Pays-Bas - ICE Futures Europe - Prix en euros par mégawattheure</t>
        </is>
      </c>
      <c r="E326" s="3" t="inlineStr">
        <is>
          <t>kWh</t>
        </is>
      </c>
      <c r="F326" s="3" t="n">
        <v>0.1</v>
      </c>
      <c r="G326" s="3" t="inlineStr">
        <is>
          <t>2023-10</t>
        </is>
      </c>
      <c r="H326" s="3" t="n">
        <v>0.2309</v>
      </c>
    </row>
    <row r="327" ht="20" customHeight="1">
      <c r="A327" s="3" t="inlineStr">
        <is>
          <t>Gas for heating</t>
        </is>
      </c>
      <c r="B327" s="3" t="inlineStr">
        <is>
          <t>Gas</t>
        </is>
      </c>
      <c r="C327" s="3" t="inlineStr">
        <is>
          <t>NATURAL_GAS</t>
        </is>
      </c>
      <c r="D327" s="3" t="inlineStr">
        <is>
          <t>INSEE BDM 010767333: Gaz naturel TTF, contrats à terme à la première échéance aux Pays-Bas - ICE Futures Europe - Prix en euros par mégawattheure</t>
        </is>
      </c>
      <c r="E327" s="3" t="inlineStr">
        <is>
          <t>kWh</t>
        </is>
      </c>
      <c r="F327" s="3" t="n">
        <v>0.1</v>
      </c>
      <c r="G327" s="3" t="inlineStr">
        <is>
          <t>2023-11</t>
        </is>
      </c>
      <c r="H327" s="3" t="n">
        <v>0.224</v>
      </c>
    </row>
    <row r="328" ht="20" customHeight="1">
      <c r="A328" s="3" t="inlineStr">
        <is>
          <t>Gas for heating</t>
        </is>
      </c>
      <c r="B328" s="3" t="inlineStr">
        <is>
          <t>Gas</t>
        </is>
      </c>
      <c r="C328" s="3" t="inlineStr">
        <is>
          <t>NATURAL_GAS</t>
        </is>
      </c>
      <c r="D328" s="3" t="inlineStr">
        <is>
          <t>INSEE BDM 010767333: Gaz naturel TTF, contrats à terme à la première échéance aux Pays-Bas - ICE Futures Europe - Prix en euros par mégawattheure</t>
        </is>
      </c>
      <c r="E328" s="3" t="inlineStr">
        <is>
          <t>kWh</t>
        </is>
      </c>
      <c r="F328" s="3" t="n">
        <v>0.1</v>
      </c>
      <c r="G328" s="3" t="inlineStr">
        <is>
          <t>2023-12</t>
        </is>
      </c>
      <c r="H328" s="3" t="n">
        <v>0.1765</v>
      </c>
    </row>
    <row r="329" ht="20" customHeight="1">
      <c r="A329" s="3" t="inlineStr">
        <is>
          <t>Packaging</t>
        </is>
      </c>
      <c r="B329" s="3" t="inlineStr">
        <is>
          <t>Packaging</t>
        </is>
      </c>
      <c r="C329" s="3" t="inlineStr">
        <is>
          <t>PACKAGING_PAPER</t>
        </is>
      </c>
      <c r="D32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9" s="3" t="inlineStr">
        <is>
          <t>unit</t>
        </is>
      </c>
      <c r="F329" s="3" t="n">
        <v>0.06</v>
      </c>
      <c r="G329" s="3" t="inlineStr">
        <is>
          <t>2021-01</t>
        </is>
      </c>
      <c r="H329" s="3" t="n">
        <v>0.06</v>
      </c>
    </row>
    <row r="330" ht="20" customHeight="1">
      <c r="A330" s="3" t="inlineStr">
        <is>
          <t>Packaging</t>
        </is>
      </c>
      <c r="B330" s="3" t="inlineStr">
        <is>
          <t>Packaging</t>
        </is>
      </c>
      <c r="C330" s="3" t="inlineStr">
        <is>
          <t>PACKAGING_PAPER</t>
        </is>
      </c>
      <c r="D33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0" s="3" t="inlineStr">
        <is>
          <t>unit</t>
        </is>
      </c>
      <c r="F330" s="3" t="n">
        <v>0.06</v>
      </c>
      <c r="G330" s="3" t="inlineStr">
        <is>
          <t>2021-02</t>
        </is>
      </c>
      <c r="H330" s="3" t="n">
        <v>0.0605</v>
      </c>
    </row>
    <row r="331" ht="20" customHeight="1">
      <c r="A331" s="3" t="inlineStr">
        <is>
          <t>Packaging</t>
        </is>
      </c>
      <c r="B331" s="3" t="inlineStr">
        <is>
          <t>Packaging</t>
        </is>
      </c>
      <c r="C331" s="3" t="inlineStr">
        <is>
          <t>PACKAGING_PAPER</t>
        </is>
      </c>
      <c r="D33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1" s="3" t="inlineStr">
        <is>
          <t>unit</t>
        </is>
      </c>
      <c r="F331" s="3" t="n">
        <v>0.06</v>
      </c>
      <c r="G331" s="3" t="inlineStr">
        <is>
          <t>2021-03</t>
        </is>
      </c>
      <c r="H331" s="3" t="n">
        <v>0.0603</v>
      </c>
    </row>
    <row r="332" ht="20" customHeight="1">
      <c r="A332" s="3" t="inlineStr">
        <is>
          <t>Packaging</t>
        </is>
      </c>
      <c r="B332" s="3" t="inlineStr">
        <is>
          <t>Packaging</t>
        </is>
      </c>
      <c r="C332" s="3" t="inlineStr">
        <is>
          <t>PACKAGING_PAPER</t>
        </is>
      </c>
      <c r="D33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2" s="3" t="inlineStr">
        <is>
          <t>unit</t>
        </is>
      </c>
      <c r="F332" s="3" t="n">
        <v>0.06</v>
      </c>
      <c r="G332" s="3" t="inlineStr">
        <is>
          <t>2021-04</t>
        </is>
      </c>
      <c r="H332" s="3" t="n">
        <v>0.0612</v>
      </c>
    </row>
    <row r="333" ht="20" customHeight="1">
      <c r="A333" s="3" t="inlineStr">
        <is>
          <t>Packaging</t>
        </is>
      </c>
      <c r="B333" s="3" t="inlineStr">
        <is>
          <t>Packaging</t>
        </is>
      </c>
      <c r="C333" s="3" t="inlineStr">
        <is>
          <t>PACKAGING_PAPER</t>
        </is>
      </c>
      <c r="D33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3" s="3" t="inlineStr">
        <is>
          <t>unit</t>
        </is>
      </c>
      <c r="F333" s="3" t="n">
        <v>0.06</v>
      </c>
      <c r="G333" s="3" t="inlineStr">
        <is>
          <t>2021-05</t>
        </is>
      </c>
      <c r="H333" s="3" t="n">
        <v>0.0616</v>
      </c>
    </row>
    <row r="334" ht="20" customHeight="1">
      <c r="A334" s="3" t="inlineStr">
        <is>
          <t>Packaging</t>
        </is>
      </c>
      <c r="B334" s="3" t="inlineStr">
        <is>
          <t>Packaging</t>
        </is>
      </c>
      <c r="C334" s="3" t="inlineStr">
        <is>
          <t>PACKAGING_PAPER</t>
        </is>
      </c>
      <c r="D33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4" s="3" t="inlineStr">
        <is>
          <t>unit</t>
        </is>
      </c>
      <c r="F334" s="3" t="n">
        <v>0.06</v>
      </c>
      <c r="G334" s="3" t="inlineStr">
        <is>
          <t>2021-06</t>
        </is>
      </c>
      <c r="H334" s="3" t="n">
        <v>0.0621</v>
      </c>
    </row>
    <row r="335" ht="20" customHeight="1">
      <c r="A335" s="3" t="inlineStr">
        <is>
          <t>Packaging</t>
        </is>
      </c>
      <c r="B335" s="3" t="inlineStr">
        <is>
          <t>Packaging</t>
        </is>
      </c>
      <c r="C335" s="3" t="inlineStr">
        <is>
          <t>PACKAGING_PAPER</t>
        </is>
      </c>
      <c r="D33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5" s="3" t="inlineStr">
        <is>
          <t>unit</t>
        </is>
      </c>
      <c r="F335" s="3" t="n">
        <v>0.06</v>
      </c>
      <c r="G335" s="3" t="inlineStr">
        <is>
          <t>2021-07</t>
        </is>
      </c>
      <c r="H335" s="3" t="n">
        <v>0.0633</v>
      </c>
    </row>
    <row r="336" ht="20" customHeight="1">
      <c r="A336" s="3" t="inlineStr">
        <is>
          <t>Packaging</t>
        </is>
      </c>
      <c r="B336" s="3" t="inlineStr">
        <is>
          <t>Packaging</t>
        </is>
      </c>
      <c r="C336" s="3" t="inlineStr">
        <is>
          <t>PACKAGING_PAPER</t>
        </is>
      </c>
      <c r="D33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6" s="3" t="inlineStr">
        <is>
          <t>unit</t>
        </is>
      </c>
      <c r="F336" s="3" t="n">
        <v>0.06</v>
      </c>
      <c r="G336" s="3" t="inlineStr">
        <is>
          <t>2021-08</t>
        </is>
      </c>
      <c r="H336" s="3" t="n">
        <v>0.0639</v>
      </c>
    </row>
    <row r="337" ht="20" customHeight="1">
      <c r="A337" s="3" t="inlineStr">
        <is>
          <t>Packaging</t>
        </is>
      </c>
      <c r="B337" s="3" t="inlineStr">
        <is>
          <t>Packaging</t>
        </is>
      </c>
      <c r="C337" s="3" t="inlineStr">
        <is>
          <t>PACKAGING_PAPER</t>
        </is>
      </c>
      <c r="D33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7" s="3" t="inlineStr">
        <is>
          <t>unit</t>
        </is>
      </c>
      <c r="F337" s="3" t="n">
        <v>0.06</v>
      </c>
      <c r="G337" s="3" t="inlineStr">
        <is>
          <t>2021-09</t>
        </is>
      </c>
      <c r="H337" s="3" t="n">
        <v>0.06569999999999999</v>
      </c>
    </row>
    <row r="338" ht="20" customHeight="1">
      <c r="A338" s="3" t="inlineStr">
        <is>
          <t>Packaging</t>
        </is>
      </c>
      <c r="B338" s="3" t="inlineStr">
        <is>
          <t>Packaging</t>
        </is>
      </c>
      <c r="C338" s="3" t="inlineStr">
        <is>
          <t>PACKAGING_PAPER</t>
        </is>
      </c>
      <c r="D33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8" s="3" t="inlineStr">
        <is>
          <t>unit</t>
        </is>
      </c>
      <c r="F338" s="3" t="n">
        <v>0.06</v>
      </c>
      <c r="G338" s="3" t="inlineStr">
        <is>
          <t>2021-10</t>
        </is>
      </c>
      <c r="H338" s="3" t="n">
        <v>0.0663</v>
      </c>
    </row>
    <row r="339" ht="20" customHeight="1">
      <c r="A339" s="3" t="inlineStr">
        <is>
          <t>Packaging</t>
        </is>
      </c>
      <c r="B339" s="3" t="inlineStr">
        <is>
          <t>Packaging</t>
        </is>
      </c>
      <c r="C339" s="3" t="inlineStr">
        <is>
          <t>PACKAGING_PAPER</t>
        </is>
      </c>
      <c r="D33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9" s="3" t="inlineStr">
        <is>
          <t>unit</t>
        </is>
      </c>
      <c r="F339" s="3" t="n">
        <v>0.06</v>
      </c>
      <c r="G339" s="3" t="inlineStr">
        <is>
          <t>2021-11</t>
        </is>
      </c>
      <c r="H339" s="3" t="n">
        <v>0.0669</v>
      </c>
    </row>
    <row r="340" ht="20" customHeight="1">
      <c r="A340" s="3" t="inlineStr">
        <is>
          <t>Packaging</t>
        </is>
      </c>
      <c r="B340" s="3" t="inlineStr">
        <is>
          <t>Packaging</t>
        </is>
      </c>
      <c r="C340" s="3" t="inlineStr">
        <is>
          <t>PACKAGING_PAPER</t>
        </is>
      </c>
      <c r="D34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0" s="3" t="inlineStr">
        <is>
          <t>unit</t>
        </is>
      </c>
      <c r="F340" s="3" t="n">
        <v>0.06</v>
      </c>
      <c r="G340" s="3" t="inlineStr">
        <is>
          <t>2021-12</t>
        </is>
      </c>
      <c r="H340" s="3" t="n">
        <v>0.0677</v>
      </c>
    </row>
    <row r="341" ht="20" customHeight="1">
      <c r="A341" s="3" t="inlineStr">
        <is>
          <t>Packaging</t>
        </is>
      </c>
      <c r="B341" s="3" t="inlineStr">
        <is>
          <t>Packaging</t>
        </is>
      </c>
      <c r="C341" s="3" t="inlineStr">
        <is>
          <t>PACKAGING_PAPER</t>
        </is>
      </c>
      <c r="D34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1" s="3" t="inlineStr">
        <is>
          <t>unit</t>
        </is>
      </c>
      <c r="F341" s="3" t="n">
        <v>0.06</v>
      </c>
      <c r="G341" s="3" t="inlineStr">
        <is>
          <t>2022-01</t>
        </is>
      </c>
      <c r="H341" s="3" t="n">
        <v>0.0699</v>
      </c>
    </row>
    <row r="342" ht="20" customHeight="1">
      <c r="A342" s="3" t="inlineStr">
        <is>
          <t>Packaging</t>
        </is>
      </c>
      <c r="B342" s="3" t="inlineStr">
        <is>
          <t>Packaging</t>
        </is>
      </c>
      <c r="C342" s="3" t="inlineStr">
        <is>
          <t>PACKAGING_PAPER</t>
        </is>
      </c>
      <c r="D34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2" s="3" t="inlineStr">
        <is>
          <t>unit</t>
        </is>
      </c>
      <c r="F342" s="3" t="n">
        <v>0.06</v>
      </c>
      <c r="G342" s="3" t="inlineStr">
        <is>
          <t>2022-02</t>
        </is>
      </c>
      <c r="H342" s="3" t="n">
        <v>0.0712</v>
      </c>
    </row>
    <row r="343" ht="20" customHeight="1">
      <c r="A343" s="3" t="inlineStr">
        <is>
          <t>Packaging</t>
        </is>
      </c>
      <c r="B343" s="3" t="inlineStr">
        <is>
          <t>Packaging</t>
        </is>
      </c>
      <c r="C343" s="3" t="inlineStr">
        <is>
          <t>PACKAGING_PAPER</t>
        </is>
      </c>
      <c r="D34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3" s="3" t="inlineStr">
        <is>
          <t>unit</t>
        </is>
      </c>
      <c r="F343" s="3" t="n">
        <v>0.06</v>
      </c>
      <c r="G343" s="3" t="inlineStr">
        <is>
          <t>2022-03</t>
        </is>
      </c>
      <c r="H343" s="3" t="n">
        <v>0.0727</v>
      </c>
    </row>
    <row r="344" ht="20" customHeight="1">
      <c r="A344" s="3" t="inlineStr">
        <is>
          <t>Packaging</t>
        </is>
      </c>
      <c r="B344" s="3" t="inlineStr">
        <is>
          <t>Packaging</t>
        </is>
      </c>
      <c r="C344" s="3" t="inlineStr">
        <is>
          <t>PACKAGING_PAPER</t>
        </is>
      </c>
      <c r="D34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4" s="3" t="inlineStr">
        <is>
          <t>unit</t>
        </is>
      </c>
      <c r="F344" s="3" t="n">
        <v>0.06</v>
      </c>
      <c r="G344" s="3" t="inlineStr">
        <is>
          <t>2022-04</t>
        </is>
      </c>
      <c r="H344" s="3" t="n">
        <v>0.0755</v>
      </c>
    </row>
    <row r="345" ht="20" customHeight="1">
      <c r="A345" s="3" t="inlineStr">
        <is>
          <t>Packaging</t>
        </is>
      </c>
      <c r="B345" s="3" t="inlineStr">
        <is>
          <t>Packaging</t>
        </is>
      </c>
      <c r="C345" s="3" t="inlineStr">
        <is>
          <t>PACKAGING_PAPER</t>
        </is>
      </c>
      <c r="D34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5" s="3" t="inlineStr">
        <is>
          <t>unit</t>
        </is>
      </c>
      <c r="F345" s="3" t="n">
        <v>0.06</v>
      </c>
      <c r="G345" s="3" t="inlineStr">
        <is>
          <t>2022-05</t>
        </is>
      </c>
      <c r="H345" s="3" t="n">
        <v>0.0781</v>
      </c>
    </row>
    <row r="346" ht="20" customHeight="1">
      <c r="A346" s="3" t="inlineStr">
        <is>
          <t>Packaging</t>
        </is>
      </c>
      <c r="B346" s="3" t="inlineStr">
        <is>
          <t>Packaging</t>
        </is>
      </c>
      <c r="C346" s="3" t="inlineStr">
        <is>
          <t>PACKAGING_PAPER</t>
        </is>
      </c>
      <c r="D34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6" s="3" t="inlineStr">
        <is>
          <t>unit</t>
        </is>
      </c>
      <c r="F346" s="3" t="n">
        <v>0.06</v>
      </c>
      <c r="G346" s="3" t="inlineStr">
        <is>
          <t>2022-06</t>
        </is>
      </c>
      <c r="H346" s="3" t="n">
        <v>0.0798</v>
      </c>
    </row>
    <row r="347" ht="20" customHeight="1">
      <c r="A347" s="3" t="inlineStr">
        <is>
          <t>Packaging</t>
        </is>
      </c>
      <c r="B347" s="3" t="inlineStr">
        <is>
          <t>Packaging</t>
        </is>
      </c>
      <c r="C347" s="3" t="inlineStr">
        <is>
          <t>PACKAGING_PAPER</t>
        </is>
      </c>
      <c r="D34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7" s="3" t="inlineStr">
        <is>
          <t>unit</t>
        </is>
      </c>
      <c r="F347" s="3" t="n">
        <v>0.06</v>
      </c>
      <c r="G347" s="3" t="inlineStr">
        <is>
          <t>2022-07</t>
        </is>
      </c>
      <c r="H347" s="3" t="n">
        <v>0.0808</v>
      </c>
    </row>
    <row r="348" ht="20" customHeight="1">
      <c r="A348" s="3" t="inlineStr">
        <is>
          <t>Packaging</t>
        </is>
      </c>
      <c r="B348" s="3" t="inlineStr">
        <is>
          <t>Packaging</t>
        </is>
      </c>
      <c r="C348" s="3" t="inlineStr">
        <is>
          <t>PACKAGING_PAPER</t>
        </is>
      </c>
      <c r="D34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8" s="3" t="inlineStr">
        <is>
          <t>unit</t>
        </is>
      </c>
      <c r="F348" s="3" t="n">
        <v>0.06</v>
      </c>
      <c r="G348" s="3" t="inlineStr">
        <is>
          <t>2022-08</t>
        </is>
      </c>
      <c r="H348" s="3" t="n">
        <v>0.0813</v>
      </c>
    </row>
    <row r="349" ht="20" customHeight="1">
      <c r="A349" s="3" t="inlineStr">
        <is>
          <t>Packaging</t>
        </is>
      </c>
      <c r="B349" s="3" t="inlineStr">
        <is>
          <t>Packaging</t>
        </is>
      </c>
      <c r="C349" s="3" t="inlineStr">
        <is>
          <t>PACKAGING_PAPER</t>
        </is>
      </c>
      <c r="D34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9" s="3" t="inlineStr">
        <is>
          <t>unit</t>
        </is>
      </c>
      <c r="F349" s="3" t="n">
        <v>0.06</v>
      </c>
      <c r="G349" s="3" t="inlineStr">
        <is>
          <t>2022-09</t>
        </is>
      </c>
      <c r="H349" s="3" t="n">
        <v>0.08160000000000001</v>
      </c>
    </row>
    <row r="350" ht="20" customHeight="1">
      <c r="A350" s="3" t="inlineStr">
        <is>
          <t>Packaging</t>
        </is>
      </c>
      <c r="B350" s="3" t="inlineStr">
        <is>
          <t>Packaging</t>
        </is>
      </c>
      <c r="C350" s="3" t="inlineStr">
        <is>
          <t>PACKAGING_PAPER</t>
        </is>
      </c>
      <c r="D35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0" s="3" t="inlineStr">
        <is>
          <t>unit</t>
        </is>
      </c>
      <c r="F350" s="3" t="n">
        <v>0.06</v>
      </c>
      <c r="G350" s="3" t="inlineStr">
        <is>
          <t>2022-10</t>
        </is>
      </c>
      <c r="H350" s="3" t="n">
        <v>0.0827</v>
      </c>
    </row>
    <row r="351" ht="20" customHeight="1">
      <c r="A351" s="3" t="inlineStr">
        <is>
          <t>Packaging</t>
        </is>
      </c>
      <c r="B351" s="3" t="inlineStr">
        <is>
          <t>Packaging</t>
        </is>
      </c>
      <c r="C351" s="3" t="inlineStr">
        <is>
          <t>PACKAGING_PAPER</t>
        </is>
      </c>
      <c r="D35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1" s="3" t="inlineStr">
        <is>
          <t>unit</t>
        </is>
      </c>
      <c r="F351" s="3" t="n">
        <v>0.06</v>
      </c>
      <c r="G351" s="3" t="inlineStr">
        <is>
          <t>2022-11</t>
        </is>
      </c>
      <c r="H351" s="3" t="n">
        <v>0.08110000000000001</v>
      </c>
    </row>
    <row r="352" ht="20" customHeight="1">
      <c r="A352" s="3" t="inlineStr">
        <is>
          <t>Packaging</t>
        </is>
      </c>
      <c r="B352" s="3" t="inlineStr">
        <is>
          <t>Packaging</t>
        </is>
      </c>
      <c r="C352" s="3" t="inlineStr">
        <is>
          <t>PACKAGING_PAPER</t>
        </is>
      </c>
      <c r="D35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2" s="3" t="inlineStr">
        <is>
          <t>unit</t>
        </is>
      </c>
      <c r="F352" s="3" t="n">
        <v>0.06</v>
      </c>
      <c r="G352" s="3" t="inlineStr">
        <is>
          <t>2022-12</t>
        </is>
      </c>
      <c r="H352" s="3" t="n">
        <v>0.0809</v>
      </c>
    </row>
    <row r="353" ht="20" customHeight="1">
      <c r="A353" s="3" t="inlineStr">
        <is>
          <t>Packaging</t>
        </is>
      </c>
      <c r="B353" s="3" t="inlineStr">
        <is>
          <t>Packaging</t>
        </is>
      </c>
      <c r="C353" s="3" t="inlineStr">
        <is>
          <t>PACKAGING_PAPER</t>
        </is>
      </c>
      <c r="D35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3" s="3" t="inlineStr">
        <is>
          <t>unit</t>
        </is>
      </c>
      <c r="F353" s="3" t="n">
        <v>0.06</v>
      </c>
      <c r="G353" s="3" t="inlineStr">
        <is>
          <t>2023-01</t>
        </is>
      </c>
      <c r="H353" s="3" t="n">
        <v>0.0815</v>
      </c>
    </row>
    <row r="354" ht="20" customHeight="1">
      <c r="A354" s="3" t="inlineStr">
        <is>
          <t>Packaging</t>
        </is>
      </c>
      <c r="B354" s="3" t="inlineStr">
        <is>
          <t>Packaging</t>
        </is>
      </c>
      <c r="C354" s="3" t="inlineStr">
        <is>
          <t>PACKAGING_PAPER</t>
        </is>
      </c>
      <c r="D35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4" s="3" t="inlineStr">
        <is>
          <t>unit</t>
        </is>
      </c>
      <c r="F354" s="3" t="n">
        <v>0.06</v>
      </c>
      <c r="G354" s="3" t="inlineStr">
        <is>
          <t>2023-02</t>
        </is>
      </c>
      <c r="H354" s="3" t="n">
        <v>0.082</v>
      </c>
    </row>
    <row r="355" ht="20" customHeight="1">
      <c r="A355" s="3" t="inlineStr">
        <is>
          <t>Packaging</t>
        </is>
      </c>
      <c r="B355" s="3" t="inlineStr">
        <is>
          <t>Packaging</t>
        </is>
      </c>
      <c r="C355" s="3" t="inlineStr">
        <is>
          <t>PACKAGING_PAPER</t>
        </is>
      </c>
      <c r="D35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5" s="3" t="inlineStr">
        <is>
          <t>unit</t>
        </is>
      </c>
      <c r="F355" s="3" t="n">
        <v>0.06</v>
      </c>
      <c r="G355" s="3" t="inlineStr">
        <is>
          <t>2023-03</t>
        </is>
      </c>
      <c r="H355" s="3" t="n">
        <v>0.0801</v>
      </c>
    </row>
    <row r="356" ht="20" customHeight="1">
      <c r="A356" s="3" t="inlineStr">
        <is>
          <t>Packaging</t>
        </is>
      </c>
      <c r="B356" s="3" t="inlineStr">
        <is>
          <t>Packaging</t>
        </is>
      </c>
      <c r="C356" s="3" t="inlineStr">
        <is>
          <t>PACKAGING_PAPER</t>
        </is>
      </c>
      <c r="D35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6" s="3" t="inlineStr">
        <is>
          <t>unit</t>
        </is>
      </c>
      <c r="F356" s="3" t="n">
        <v>0.06</v>
      </c>
      <c r="G356" s="3" t="inlineStr">
        <is>
          <t>2023-04</t>
        </is>
      </c>
      <c r="H356" s="3" t="n">
        <v>0.0805</v>
      </c>
    </row>
    <row r="357" ht="20" customHeight="1">
      <c r="A357" s="3" t="inlineStr">
        <is>
          <t>Packaging</t>
        </is>
      </c>
      <c r="B357" s="3" t="inlineStr">
        <is>
          <t>Packaging</t>
        </is>
      </c>
      <c r="C357" s="3" t="inlineStr">
        <is>
          <t>PACKAGING_PAPER</t>
        </is>
      </c>
      <c r="D35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7" s="3" t="inlineStr">
        <is>
          <t>unit</t>
        </is>
      </c>
      <c r="F357" s="3" t="n">
        <v>0.06</v>
      </c>
      <c r="G357" s="3" t="inlineStr">
        <is>
          <t>2023-05</t>
        </is>
      </c>
      <c r="H357" s="3" t="n">
        <v>0.079</v>
      </c>
    </row>
    <row r="358" ht="20" customHeight="1">
      <c r="A358" s="3" t="inlineStr">
        <is>
          <t>Packaging</t>
        </is>
      </c>
      <c r="B358" s="3" t="inlineStr">
        <is>
          <t>Packaging</t>
        </is>
      </c>
      <c r="C358" s="3" t="inlineStr">
        <is>
          <t>PACKAGING_PAPER</t>
        </is>
      </c>
      <c r="D35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8" s="3" t="inlineStr">
        <is>
          <t>unit</t>
        </is>
      </c>
      <c r="F358" s="3" t="n">
        <v>0.06</v>
      </c>
      <c r="G358" s="3" t="inlineStr">
        <is>
          <t>2023-06</t>
        </is>
      </c>
      <c r="H358" s="3" t="n">
        <v>0.0779</v>
      </c>
    </row>
    <row r="359" ht="20" customHeight="1">
      <c r="A359" s="3" t="inlineStr">
        <is>
          <t>Packaging</t>
        </is>
      </c>
      <c r="B359" s="3" t="inlineStr">
        <is>
          <t>Packaging</t>
        </is>
      </c>
      <c r="C359" s="3" t="inlineStr">
        <is>
          <t>PACKAGING_PAPER</t>
        </is>
      </c>
      <c r="D35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9" s="3" t="inlineStr">
        <is>
          <t>unit</t>
        </is>
      </c>
      <c r="F359" s="3" t="n">
        <v>0.06</v>
      </c>
      <c r="G359" s="3" t="inlineStr">
        <is>
          <t>2023-07</t>
        </is>
      </c>
      <c r="H359" s="3" t="n">
        <v>0.07679999999999999</v>
      </c>
    </row>
    <row r="360" ht="20" customHeight="1">
      <c r="A360" s="3" t="inlineStr">
        <is>
          <t>Packaging</t>
        </is>
      </c>
      <c r="B360" s="3" t="inlineStr">
        <is>
          <t>Packaging</t>
        </is>
      </c>
      <c r="C360" s="3" t="inlineStr">
        <is>
          <t>PACKAGING_PAPER</t>
        </is>
      </c>
      <c r="D36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0" s="3" t="inlineStr">
        <is>
          <t>unit</t>
        </is>
      </c>
      <c r="F360" s="3" t="n">
        <v>0.06</v>
      </c>
      <c r="G360" s="3" t="inlineStr">
        <is>
          <t>2023-08</t>
        </is>
      </c>
      <c r="H360" s="3" t="n">
        <v>0.0745</v>
      </c>
    </row>
    <row r="361" ht="20" customHeight="1">
      <c r="A361" s="3" t="inlineStr">
        <is>
          <t>Packaging</t>
        </is>
      </c>
      <c r="B361" s="3" t="inlineStr">
        <is>
          <t>Packaging</t>
        </is>
      </c>
      <c r="C361" s="3" t="inlineStr">
        <is>
          <t>PACKAGING_PAPER</t>
        </is>
      </c>
      <c r="D36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1" s="3" t="inlineStr">
        <is>
          <t>unit</t>
        </is>
      </c>
      <c r="F361" s="3" t="n">
        <v>0.06</v>
      </c>
      <c r="G361" s="3" t="inlineStr">
        <is>
          <t>2023-09</t>
        </is>
      </c>
      <c r="H361" s="3" t="n">
        <v>0.07389999999999999</v>
      </c>
    </row>
    <row r="362" ht="20" customHeight="1">
      <c r="A362" s="3" t="inlineStr">
        <is>
          <t>Packaging</t>
        </is>
      </c>
      <c r="B362" s="3" t="inlineStr">
        <is>
          <t>Packaging</t>
        </is>
      </c>
      <c r="C362" s="3" t="inlineStr">
        <is>
          <t>PACKAGING_PAPER</t>
        </is>
      </c>
      <c r="D36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2" s="3" t="inlineStr">
        <is>
          <t>unit</t>
        </is>
      </c>
      <c r="F362" s="3" t="n">
        <v>0.06</v>
      </c>
      <c r="G362" s="3" t="inlineStr">
        <is>
          <t>2023-10</t>
        </is>
      </c>
      <c r="H362" s="3" t="n">
        <v>0.07389999999999999</v>
      </c>
    </row>
    <row r="363" ht="20" customHeight="1">
      <c r="A363" s="3" t="inlineStr">
        <is>
          <t>Packaging</t>
        </is>
      </c>
      <c r="B363" s="3" t="inlineStr">
        <is>
          <t>Packaging</t>
        </is>
      </c>
      <c r="C363" s="3" t="inlineStr">
        <is>
          <t>PACKAGING_PAPER</t>
        </is>
      </c>
      <c r="D36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3" s="3" t="inlineStr">
        <is>
          <t>unit</t>
        </is>
      </c>
      <c r="F363" s="3" t="n">
        <v>0.06</v>
      </c>
      <c r="G363" s="3" t="inlineStr">
        <is>
          <t>2023-11</t>
        </is>
      </c>
      <c r="H363" s="3" t="n">
        <v>0.0732</v>
      </c>
    </row>
    <row r="364" ht="20" customHeight="1">
      <c r="A364" s="3" t="inlineStr">
        <is>
          <t>Packaging</t>
        </is>
      </c>
      <c r="B364" s="3" t="inlineStr">
        <is>
          <t>Packaging</t>
        </is>
      </c>
      <c r="C364" s="3" t="inlineStr">
        <is>
          <t>PACKAGING_PAPER</t>
        </is>
      </c>
      <c r="D36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4" s="3" t="inlineStr">
        <is>
          <t>unit</t>
        </is>
      </c>
      <c r="F364" s="3" t="n">
        <v>0.06</v>
      </c>
      <c r="G364" s="3" t="inlineStr">
        <is>
          <t>2023-12</t>
        </is>
      </c>
      <c r="H364" s="3" t="n">
        <v>0.073</v>
      </c>
    </row>
    <row r="365" ht="20" customHeight="1">
      <c r="A365" s="3" t="inlineStr">
        <is>
          <t>Commercial rent</t>
        </is>
      </c>
      <c r="B365" s="3" t="n"/>
      <c r="C365" s="3" t="inlineStr">
        <is>
          <t>RENT_COMMERCIAL</t>
        </is>
      </c>
      <c r="D365" s="3" t="inlineStr">
        <is>
          <t>INSEE BDM 001532540: Indice des loyers commerciaux (ILC) - Base 100 au 1er trimestre 2008</t>
        </is>
      </c>
      <c r="E365" s="3" t="inlineStr">
        <is>
          <t>monthly package</t>
        </is>
      </c>
      <c r="F365" s="3" t="n">
        <v>3200</v>
      </c>
      <c r="G365" s="3" t="inlineStr">
        <is>
          <t>2021-01</t>
        </is>
      </c>
      <c r="H365" s="3" t="n">
        <v>3200</v>
      </c>
    </row>
    <row r="366" ht="20" customHeight="1">
      <c r="A366" s="3" t="inlineStr">
        <is>
          <t>Commercial rent</t>
        </is>
      </c>
      <c r="B366" s="3" t="n"/>
      <c r="C366" s="3" t="inlineStr">
        <is>
          <t>RENT_COMMERCIAL</t>
        </is>
      </c>
      <c r="D366" s="3" t="inlineStr">
        <is>
          <t>INSEE BDM 001532540: Indice des loyers commerciaux (ILC) - Base 100 au 1er trimestre 2008</t>
        </is>
      </c>
      <c r="E366" s="3" t="inlineStr">
        <is>
          <t>monthly package</t>
        </is>
      </c>
      <c r="F366" s="3" t="n">
        <v>3200</v>
      </c>
      <c r="G366" s="3" t="inlineStr">
        <is>
          <t>2021-02</t>
        </is>
      </c>
      <c r="H366" s="3" t="n">
        <v>3200</v>
      </c>
    </row>
    <row r="367" ht="20" customHeight="1">
      <c r="A367" s="3" t="inlineStr">
        <is>
          <t>Commercial rent</t>
        </is>
      </c>
      <c r="B367" s="3" t="n"/>
      <c r="C367" s="3" t="inlineStr">
        <is>
          <t>RENT_COMMERCIAL</t>
        </is>
      </c>
      <c r="D367" s="3" t="inlineStr">
        <is>
          <t>INSEE BDM 001532540: Indice des loyers commerciaux (ILC) - Base 100 au 1er trimestre 2008</t>
        </is>
      </c>
      <c r="E367" s="3" t="inlineStr">
        <is>
          <t>monthly package</t>
        </is>
      </c>
      <c r="F367" s="3" t="n">
        <v>3200</v>
      </c>
      <c r="G367" s="3" t="inlineStr">
        <is>
          <t>2021-03</t>
        </is>
      </c>
      <c r="H367" s="3" t="n">
        <v>3200</v>
      </c>
    </row>
    <row r="368" ht="20" customHeight="1">
      <c r="A368" s="3" t="inlineStr">
        <is>
          <t>Commercial rent</t>
        </is>
      </c>
      <c r="B368" s="3" t="n"/>
      <c r="C368" s="3" t="inlineStr">
        <is>
          <t>RENT_COMMERCIAL</t>
        </is>
      </c>
      <c r="D368" s="3" t="inlineStr">
        <is>
          <t>INSEE BDM 001532540: Indice des loyers commerciaux (ILC) - Base 100 au 1er trimestre 2008</t>
        </is>
      </c>
      <c r="E368" s="3" t="inlineStr">
        <is>
          <t>monthly package</t>
        </is>
      </c>
      <c r="F368" s="3" t="n">
        <v>3200</v>
      </c>
      <c r="G368" s="3" t="inlineStr">
        <is>
          <t>2021-04</t>
        </is>
      </c>
      <c r="H368" s="3" t="n">
        <v>3200</v>
      </c>
    </row>
    <row r="369" ht="20" customHeight="1">
      <c r="A369" s="3" t="inlineStr">
        <is>
          <t>Commercial rent</t>
        </is>
      </c>
      <c r="B369" s="3" t="n"/>
      <c r="C369" s="3" t="inlineStr">
        <is>
          <t>RENT_COMMERCIAL</t>
        </is>
      </c>
      <c r="D369" s="3" t="inlineStr">
        <is>
          <t>INSEE BDM 001532540: Indice des loyers commerciaux (ILC) - Base 100 au 1er trimestre 2008</t>
        </is>
      </c>
      <c r="E369" s="3" t="inlineStr">
        <is>
          <t>monthly package</t>
        </is>
      </c>
      <c r="F369" s="3" t="n">
        <v>3200</v>
      </c>
      <c r="G369" s="3" t="inlineStr">
        <is>
          <t>2021-05</t>
        </is>
      </c>
      <c r="H369" s="3" t="n">
        <v>3200</v>
      </c>
    </row>
    <row r="370" ht="20" customHeight="1">
      <c r="A370" s="3" t="inlineStr">
        <is>
          <t>Commercial rent</t>
        </is>
      </c>
      <c r="B370" s="3" t="n"/>
      <c r="C370" s="3" t="inlineStr">
        <is>
          <t>RENT_COMMERCIAL</t>
        </is>
      </c>
      <c r="D370" s="3" t="inlineStr">
        <is>
          <t>INSEE BDM 001532540: Indice des loyers commerciaux (ILC) - Base 100 au 1er trimestre 2008</t>
        </is>
      </c>
      <c r="E370" s="3" t="inlineStr">
        <is>
          <t>monthly package</t>
        </is>
      </c>
      <c r="F370" s="3" t="n">
        <v>3200</v>
      </c>
      <c r="G370" s="3" t="inlineStr">
        <is>
          <t>2021-06</t>
        </is>
      </c>
      <c r="H370" s="3" t="n">
        <v>3200</v>
      </c>
    </row>
    <row r="371" ht="20" customHeight="1">
      <c r="A371" s="3" t="inlineStr">
        <is>
          <t>Commercial rent</t>
        </is>
      </c>
      <c r="B371" s="3" t="n"/>
      <c r="C371" s="3" t="inlineStr">
        <is>
          <t>RENT_COMMERCIAL</t>
        </is>
      </c>
      <c r="D371" s="3" t="inlineStr">
        <is>
          <t>INSEE BDM 001532540: Indice des loyers commerciaux (ILC) - Base 100 au 1er trimestre 2008</t>
        </is>
      </c>
      <c r="E371" s="3" t="inlineStr">
        <is>
          <t>monthly package</t>
        </is>
      </c>
      <c r="F371" s="3" t="n">
        <v>3200</v>
      </c>
      <c r="G371" s="3" t="inlineStr">
        <is>
          <t>2021-07</t>
        </is>
      </c>
      <c r="H371" s="3" t="n">
        <v>3200</v>
      </c>
    </row>
    <row r="372" ht="20" customHeight="1">
      <c r="A372" s="3" t="inlineStr">
        <is>
          <t>Commercial rent</t>
        </is>
      </c>
      <c r="B372" s="3" t="n"/>
      <c r="C372" s="3" t="inlineStr">
        <is>
          <t>RENT_COMMERCIAL</t>
        </is>
      </c>
      <c r="D372" s="3" t="inlineStr">
        <is>
          <t>INSEE BDM 001532540: Indice des loyers commerciaux (ILC) - Base 100 au 1er trimestre 2008</t>
        </is>
      </c>
      <c r="E372" s="3" t="inlineStr">
        <is>
          <t>monthly package</t>
        </is>
      </c>
      <c r="F372" s="3" t="n">
        <v>3200</v>
      </c>
      <c r="G372" s="3" t="inlineStr">
        <is>
          <t>2021-08</t>
        </is>
      </c>
      <c r="H372" s="3" t="n">
        <v>3200</v>
      </c>
    </row>
    <row r="373" ht="20" customHeight="1">
      <c r="A373" s="3" t="inlineStr">
        <is>
          <t>Commercial rent</t>
        </is>
      </c>
      <c r="B373" s="3" t="n"/>
      <c r="C373" s="3" t="inlineStr">
        <is>
          <t>RENT_COMMERCIAL</t>
        </is>
      </c>
      <c r="D373" s="3" t="inlineStr">
        <is>
          <t>INSEE BDM 001532540: Indice des loyers commerciaux (ILC) - Base 100 au 1er trimestre 2008</t>
        </is>
      </c>
      <c r="E373" s="3" t="inlineStr">
        <is>
          <t>monthly package</t>
        </is>
      </c>
      <c r="F373" s="3" t="n">
        <v>3200</v>
      </c>
      <c r="G373" s="3" t="inlineStr">
        <is>
          <t>2021-09</t>
        </is>
      </c>
      <c r="H373" s="3" t="n">
        <v>3200</v>
      </c>
    </row>
    <row r="374" ht="20" customHeight="1">
      <c r="A374" s="3" t="inlineStr">
        <is>
          <t>Commercial rent</t>
        </is>
      </c>
      <c r="B374" s="3" t="n"/>
      <c r="C374" s="3" t="inlineStr">
        <is>
          <t>RENT_COMMERCIAL</t>
        </is>
      </c>
      <c r="D374" s="3" t="inlineStr">
        <is>
          <t>INSEE BDM 001532540: Indice des loyers commerciaux (ILC) - Base 100 au 1er trimestre 2008</t>
        </is>
      </c>
      <c r="E374" s="3" t="inlineStr">
        <is>
          <t>monthly package</t>
        </is>
      </c>
      <c r="F374" s="3" t="n">
        <v>3200</v>
      </c>
      <c r="G374" s="3" t="inlineStr">
        <is>
          <t>2021-10</t>
        </is>
      </c>
      <c r="H374" s="3" t="n">
        <v>3200</v>
      </c>
    </row>
    <row r="375" ht="20" customHeight="1">
      <c r="A375" s="3" t="inlineStr">
        <is>
          <t>Commercial rent</t>
        </is>
      </c>
      <c r="B375" s="3" t="n"/>
      <c r="C375" s="3" t="inlineStr">
        <is>
          <t>RENT_COMMERCIAL</t>
        </is>
      </c>
      <c r="D375" s="3" t="inlineStr">
        <is>
          <t>INSEE BDM 001532540: Indice des loyers commerciaux (ILC) - Base 100 au 1er trimestre 2008</t>
        </is>
      </c>
      <c r="E375" s="3" t="inlineStr">
        <is>
          <t>monthly package</t>
        </is>
      </c>
      <c r="F375" s="3" t="n">
        <v>3200</v>
      </c>
      <c r="G375" s="3" t="inlineStr">
        <is>
          <t>2021-11</t>
        </is>
      </c>
      <c r="H375" s="3" t="n">
        <v>3200</v>
      </c>
    </row>
    <row r="376" ht="20" customHeight="1">
      <c r="A376" s="3" t="inlineStr">
        <is>
          <t>Commercial rent</t>
        </is>
      </c>
      <c r="B376" s="3" t="n"/>
      <c r="C376" s="3" t="inlineStr">
        <is>
          <t>RENT_COMMERCIAL</t>
        </is>
      </c>
      <c r="D376" s="3" t="inlineStr">
        <is>
          <t>INSEE BDM 001532540: Indice des loyers commerciaux (ILC) - Base 100 au 1er trimestre 2008</t>
        </is>
      </c>
      <c r="E376" s="3" t="inlineStr">
        <is>
          <t>monthly package</t>
        </is>
      </c>
      <c r="F376" s="3" t="n">
        <v>3200</v>
      </c>
      <c r="G376" s="3" t="inlineStr">
        <is>
          <t>2021-12</t>
        </is>
      </c>
      <c r="H376" s="3" t="n">
        <v>3200</v>
      </c>
    </row>
    <row r="377" ht="20" customHeight="1">
      <c r="A377" s="3" t="inlineStr">
        <is>
          <t>Commercial rent</t>
        </is>
      </c>
      <c r="B377" s="3" t="n"/>
      <c r="C377" s="3" t="inlineStr">
        <is>
          <t>RENT_COMMERCIAL</t>
        </is>
      </c>
      <c r="D377" s="3" t="inlineStr">
        <is>
          <t>INSEE BDM 001532540: Indice des loyers commerciaux (ILC) - Base 100 au 1er trimestre 2008</t>
        </is>
      </c>
      <c r="E377" s="3" t="inlineStr">
        <is>
          <t>monthly package</t>
        </is>
      </c>
      <c r="F377" s="3" t="n">
        <v>3200</v>
      </c>
      <c r="G377" s="3" t="inlineStr">
        <is>
          <t>2022-01</t>
        </is>
      </c>
      <c r="H377" s="3" t="n">
        <v>3200</v>
      </c>
    </row>
    <row r="378" ht="20" customHeight="1">
      <c r="A378" s="3" t="inlineStr">
        <is>
          <t>Commercial rent</t>
        </is>
      </c>
      <c r="B378" s="3" t="n"/>
      <c r="C378" s="3" t="inlineStr">
        <is>
          <t>RENT_COMMERCIAL</t>
        </is>
      </c>
      <c r="D378" s="3" t="inlineStr">
        <is>
          <t>INSEE BDM 001532540: Indice des loyers commerciaux (ILC) - Base 100 au 1er trimestre 2008</t>
        </is>
      </c>
      <c r="E378" s="3" t="inlineStr">
        <is>
          <t>monthly package</t>
        </is>
      </c>
      <c r="F378" s="3" t="n">
        <v>3200</v>
      </c>
      <c r="G378" s="3" t="inlineStr">
        <is>
          <t>2022-02</t>
        </is>
      </c>
      <c r="H378" s="3" t="n">
        <v>3200</v>
      </c>
    </row>
    <row r="379" ht="20" customHeight="1">
      <c r="A379" s="3" t="inlineStr">
        <is>
          <t>Commercial rent</t>
        </is>
      </c>
      <c r="B379" s="3" t="n"/>
      <c r="C379" s="3" t="inlineStr">
        <is>
          <t>RENT_COMMERCIAL</t>
        </is>
      </c>
      <c r="D379" s="3" t="inlineStr">
        <is>
          <t>INSEE BDM 001532540: Indice des loyers commerciaux (ILC) - Base 100 au 1er trimestre 2008</t>
        </is>
      </c>
      <c r="E379" s="3" t="inlineStr">
        <is>
          <t>monthly package</t>
        </is>
      </c>
      <c r="F379" s="3" t="n">
        <v>3200</v>
      </c>
      <c r="G379" s="3" t="inlineStr">
        <is>
          <t>2022-03</t>
        </is>
      </c>
      <c r="H379" s="3" t="n">
        <v>3200</v>
      </c>
    </row>
    <row r="380" ht="20" customHeight="1">
      <c r="A380" s="3" t="inlineStr">
        <is>
          <t>Commercial rent</t>
        </is>
      </c>
      <c r="B380" s="3" t="n"/>
      <c r="C380" s="3" t="inlineStr">
        <is>
          <t>RENT_COMMERCIAL</t>
        </is>
      </c>
      <c r="D380" s="3" t="inlineStr">
        <is>
          <t>INSEE BDM 001532540: Indice des loyers commerciaux (ILC) - Base 100 au 1er trimestre 2008</t>
        </is>
      </c>
      <c r="E380" s="3" t="inlineStr">
        <is>
          <t>monthly package</t>
        </is>
      </c>
      <c r="F380" s="3" t="n">
        <v>3200</v>
      </c>
      <c r="G380" s="3" t="inlineStr">
        <is>
          <t>2022-04</t>
        </is>
      </c>
      <c r="H380" s="3" t="n">
        <v>3200</v>
      </c>
    </row>
    <row r="381" ht="20" customHeight="1">
      <c r="A381" s="3" t="inlineStr">
        <is>
          <t>Commercial rent</t>
        </is>
      </c>
      <c r="B381" s="3" t="n"/>
      <c r="C381" s="3" t="inlineStr">
        <is>
          <t>RENT_COMMERCIAL</t>
        </is>
      </c>
      <c r="D381" s="3" t="inlineStr">
        <is>
          <t>INSEE BDM 001532540: Indice des loyers commerciaux (ILC) - Base 100 au 1er trimestre 2008</t>
        </is>
      </c>
      <c r="E381" s="3" t="inlineStr">
        <is>
          <t>monthly package</t>
        </is>
      </c>
      <c r="F381" s="3" t="n">
        <v>3200</v>
      </c>
      <c r="G381" s="3" t="inlineStr">
        <is>
          <t>2022-05</t>
        </is>
      </c>
      <c r="H381" s="3" t="n">
        <v>3200</v>
      </c>
    </row>
    <row r="382" ht="20" customHeight="1">
      <c r="A382" s="3" t="inlineStr">
        <is>
          <t>Commercial rent</t>
        </is>
      </c>
      <c r="B382" s="3" t="n"/>
      <c r="C382" s="3" t="inlineStr">
        <is>
          <t>RENT_COMMERCIAL</t>
        </is>
      </c>
      <c r="D382" s="3" t="inlineStr">
        <is>
          <t>INSEE BDM 001532540: Indice des loyers commerciaux (ILC) - Base 100 au 1er trimestre 2008</t>
        </is>
      </c>
      <c r="E382" s="3" t="inlineStr">
        <is>
          <t>monthly package</t>
        </is>
      </c>
      <c r="F382" s="3" t="n">
        <v>3200</v>
      </c>
      <c r="G382" s="3" t="inlineStr">
        <is>
          <t>2022-06</t>
        </is>
      </c>
      <c r="H382" s="3" t="n">
        <v>3200</v>
      </c>
    </row>
    <row r="383" ht="20" customHeight="1">
      <c r="A383" s="3" t="inlineStr">
        <is>
          <t>Commercial rent</t>
        </is>
      </c>
      <c r="B383" s="3" t="n"/>
      <c r="C383" s="3" t="inlineStr">
        <is>
          <t>RENT_COMMERCIAL</t>
        </is>
      </c>
      <c r="D383" s="3" t="inlineStr">
        <is>
          <t>INSEE BDM 001532540: Indice des loyers commerciaux (ILC) - Base 100 au 1er trimestre 2008</t>
        </is>
      </c>
      <c r="E383" s="3" t="inlineStr">
        <is>
          <t>monthly package</t>
        </is>
      </c>
      <c r="F383" s="3" t="n">
        <v>3200</v>
      </c>
      <c r="G383" s="3" t="inlineStr">
        <is>
          <t>2022-07</t>
        </is>
      </c>
      <c r="H383" s="3" t="n">
        <v>3200</v>
      </c>
    </row>
    <row r="384" ht="20" customHeight="1">
      <c r="A384" s="3" t="inlineStr">
        <is>
          <t>Commercial rent</t>
        </is>
      </c>
      <c r="B384" s="3" t="n"/>
      <c r="C384" s="3" t="inlineStr">
        <is>
          <t>RENT_COMMERCIAL</t>
        </is>
      </c>
      <c r="D384" s="3" t="inlineStr">
        <is>
          <t>INSEE BDM 001532540: Indice des loyers commerciaux (ILC) - Base 100 au 1er trimestre 2008</t>
        </is>
      </c>
      <c r="E384" s="3" t="inlineStr">
        <is>
          <t>monthly package</t>
        </is>
      </c>
      <c r="F384" s="3" t="n">
        <v>3200</v>
      </c>
      <c r="G384" s="3" t="inlineStr">
        <is>
          <t>2022-08</t>
        </is>
      </c>
      <c r="H384" s="3" t="n">
        <v>3200</v>
      </c>
    </row>
    <row r="385" ht="20" customHeight="1">
      <c r="A385" s="3" t="inlineStr">
        <is>
          <t>Commercial rent</t>
        </is>
      </c>
      <c r="B385" s="3" t="n"/>
      <c r="C385" s="3" t="inlineStr">
        <is>
          <t>RENT_COMMERCIAL</t>
        </is>
      </c>
      <c r="D385" s="3" t="inlineStr">
        <is>
          <t>INSEE BDM 001532540: Indice des loyers commerciaux (ILC) - Base 100 au 1er trimestre 2008</t>
        </is>
      </c>
      <c r="E385" s="3" t="inlineStr">
        <is>
          <t>monthly package</t>
        </is>
      </c>
      <c r="F385" s="3" t="n">
        <v>3200</v>
      </c>
      <c r="G385" s="3" t="inlineStr">
        <is>
          <t>2022-09</t>
        </is>
      </c>
      <c r="H385" s="3" t="n">
        <v>3200</v>
      </c>
    </row>
    <row r="386" ht="20" customHeight="1">
      <c r="A386" s="3" t="inlineStr">
        <is>
          <t>Commercial rent</t>
        </is>
      </c>
      <c r="B386" s="3" t="n"/>
      <c r="C386" s="3" t="inlineStr">
        <is>
          <t>RENT_COMMERCIAL</t>
        </is>
      </c>
      <c r="D386" s="3" t="inlineStr">
        <is>
          <t>INSEE BDM 001532540: Indice des loyers commerciaux (ILC) - Base 100 au 1er trimestre 2008</t>
        </is>
      </c>
      <c r="E386" s="3" t="inlineStr">
        <is>
          <t>monthly package</t>
        </is>
      </c>
      <c r="F386" s="3" t="n">
        <v>3200</v>
      </c>
      <c r="G386" s="3" t="inlineStr">
        <is>
          <t>2022-10</t>
        </is>
      </c>
      <c r="H386" s="3" t="n">
        <v>3200</v>
      </c>
    </row>
    <row r="387" ht="20" customHeight="1">
      <c r="A387" s="3" t="inlineStr">
        <is>
          <t>Commercial rent</t>
        </is>
      </c>
      <c r="B387" s="3" t="n"/>
      <c r="C387" s="3" t="inlineStr">
        <is>
          <t>RENT_COMMERCIAL</t>
        </is>
      </c>
      <c r="D387" s="3" t="inlineStr">
        <is>
          <t>INSEE BDM 001532540: Indice des loyers commerciaux (ILC) - Base 100 au 1er trimestre 2008</t>
        </is>
      </c>
      <c r="E387" s="3" t="inlineStr">
        <is>
          <t>monthly package</t>
        </is>
      </c>
      <c r="F387" s="3" t="n">
        <v>3200</v>
      </c>
      <c r="G387" s="3" t="inlineStr">
        <is>
          <t>2022-11</t>
        </is>
      </c>
      <c r="H387" s="3" t="n">
        <v>3200</v>
      </c>
    </row>
    <row r="388" ht="20" customHeight="1">
      <c r="A388" s="3" t="inlineStr">
        <is>
          <t>Commercial rent</t>
        </is>
      </c>
      <c r="B388" s="3" t="n"/>
      <c r="C388" s="3" t="inlineStr">
        <is>
          <t>RENT_COMMERCIAL</t>
        </is>
      </c>
      <c r="D388" s="3" t="inlineStr">
        <is>
          <t>INSEE BDM 001532540: Indice des loyers commerciaux (ILC) - Base 100 au 1er trimestre 2008</t>
        </is>
      </c>
      <c r="E388" s="3" t="inlineStr">
        <is>
          <t>monthly package</t>
        </is>
      </c>
      <c r="F388" s="3" t="n">
        <v>3200</v>
      </c>
      <c r="G388" s="3" t="inlineStr">
        <is>
          <t>2022-12</t>
        </is>
      </c>
      <c r="H388" s="3" t="n">
        <v>3200</v>
      </c>
    </row>
    <row r="389" ht="20" customHeight="1">
      <c r="A389" s="3" t="inlineStr">
        <is>
          <t>Commercial rent</t>
        </is>
      </c>
      <c r="B389" s="3" t="n"/>
      <c r="C389" s="3" t="inlineStr">
        <is>
          <t>RENT_COMMERCIAL</t>
        </is>
      </c>
      <c r="D389" s="3" t="inlineStr">
        <is>
          <t>INSEE BDM 001532540: Indice des loyers commerciaux (ILC) - Base 100 au 1er trimestre 2008</t>
        </is>
      </c>
      <c r="E389" s="3" t="inlineStr">
        <is>
          <t>monthly package</t>
        </is>
      </c>
      <c r="F389" s="3" t="n">
        <v>3200</v>
      </c>
      <c r="G389" s="3" t="inlineStr">
        <is>
          <t>2023-01</t>
        </is>
      </c>
      <c r="H389" s="3" t="n">
        <v>3200</v>
      </c>
    </row>
    <row r="390" ht="20" customHeight="1">
      <c r="A390" s="3" t="inlineStr">
        <is>
          <t>Commercial rent</t>
        </is>
      </c>
      <c r="B390" s="3" t="n"/>
      <c r="C390" s="3" t="inlineStr">
        <is>
          <t>RENT_COMMERCIAL</t>
        </is>
      </c>
      <c r="D390" s="3" t="inlineStr">
        <is>
          <t>INSEE BDM 001532540: Indice des loyers commerciaux (ILC) - Base 100 au 1er trimestre 2008</t>
        </is>
      </c>
      <c r="E390" s="3" t="inlineStr">
        <is>
          <t>monthly package</t>
        </is>
      </c>
      <c r="F390" s="3" t="n">
        <v>3200</v>
      </c>
      <c r="G390" s="3" t="inlineStr">
        <is>
          <t>2023-02</t>
        </is>
      </c>
      <c r="H390" s="3" t="n">
        <v>3200</v>
      </c>
    </row>
    <row r="391" ht="20" customHeight="1">
      <c r="A391" s="3" t="inlineStr">
        <is>
          <t>Commercial rent</t>
        </is>
      </c>
      <c r="B391" s="3" t="n"/>
      <c r="C391" s="3" t="inlineStr">
        <is>
          <t>RENT_COMMERCIAL</t>
        </is>
      </c>
      <c r="D391" s="3" t="inlineStr">
        <is>
          <t>INSEE BDM 001532540: Indice des loyers commerciaux (ILC) - Base 100 au 1er trimestre 2008</t>
        </is>
      </c>
      <c r="E391" s="3" t="inlineStr">
        <is>
          <t>monthly package</t>
        </is>
      </c>
      <c r="F391" s="3" t="n">
        <v>3200</v>
      </c>
      <c r="G391" s="3" t="inlineStr">
        <is>
          <t>2023-03</t>
        </is>
      </c>
      <c r="H391" s="3" t="n">
        <v>3200</v>
      </c>
    </row>
    <row r="392" ht="20" customHeight="1">
      <c r="A392" s="3" t="inlineStr">
        <is>
          <t>Commercial rent</t>
        </is>
      </c>
      <c r="B392" s="3" t="n"/>
      <c r="C392" s="3" t="inlineStr">
        <is>
          <t>RENT_COMMERCIAL</t>
        </is>
      </c>
      <c r="D392" s="3" t="inlineStr">
        <is>
          <t>INSEE BDM 001532540: Indice des loyers commerciaux (ILC) - Base 100 au 1er trimestre 2008</t>
        </is>
      </c>
      <c r="E392" s="3" t="inlineStr">
        <is>
          <t>monthly package</t>
        </is>
      </c>
      <c r="F392" s="3" t="n">
        <v>3200</v>
      </c>
      <c r="G392" s="3" t="inlineStr">
        <is>
          <t>2023-04</t>
        </is>
      </c>
      <c r="H392" s="3" t="n">
        <v>3200</v>
      </c>
    </row>
    <row r="393" ht="20" customHeight="1">
      <c r="A393" s="3" t="inlineStr">
        <is>
          <t>Commercial rent</t>
        </is>
      </c>
      <c r="B393" s="3" t="n"/>
      <c r="C393" s="3" t="inlineStr">
        <is>
          <t>RENT_COMMERCIAL</t>
        </is>
      </c>
      <c r="D393" s="3" t="inlineStr">
        <is>
          <t>INSEE BDM 001532540: Indice des loyers commerciaux (ILC) - Base 100 au 1er trimestre 2008</t>
        </is>
      </c>
      <c r="E393" s="3" t="inlineStr">
        <is>
          <t>monthly package</t>
        </is>
      </c>
      <c r="F393" s="3" t="n">
        <v>3200</v>
      </c>
      <c r="G393" s="3" t="inlineStr">
        <is>
          <t>2023-05</t>
        </is>
      </c>
      <c r="H393" s="3" t="n">
        <v>3200</v>
      </c>
    </row>
    <row r="394" ht="20" customHeight="1">
      <c r="A394" s="3" t="inlineStr">
        <is>
          <t>Commercial rent</t>
        </is>
      </c>
      <c r="B394" s="3" t="n"/>
      <c r="C394" s="3" t="inlineStr">
        <is>
          <t>RENT_COMMERCIAL</t>
        </is>
      </c>
      <c r="D394" s="3" t="inlineStr">
        <is>
          <t>INSEE BDM 001532540: Indice des loyers commerciaux (ILC) - Base 100 au 1er trimestre 2008</t>
        </is>
      </c>
      <c r="E394" s="3" t="inlineStr">
        <is>
          <t>monthly package</t>
        </is>
      </c>
      <c r="F394" s="3" t="n">
        <v>3200</v>
      </c>
      <c r="G394" s="3" t="inlineStr">
        <is>
          <t>2023-06</t>
        </is>
      </c>
      <c r="H394" s="3" t="n">
        <v>3200</v>
      </c>
    </row>
    <row r="395" ht="20" customHeight="1">
      <c r="A395" s="3" t="inlineStr">
        <is>
          <t>Commercial rent</t>
        </is>
      </c>
      <c r="B395" s="3" t="n"/>
      <c r="C395" s="3" t="inlineStr">
        <is>
          <t>RENT_COMMERCIAL</t>
        </is>
      </c>
      <c r="D395" s="3" t="inlineStr">
        <is>
          <t>INSEE BDM 001532540: Indice des loyers commerciaux (ILC) - Base 100 au 1er trimestre 2008</t>
        </is>
      </c>
      <c r="E395" s="3" t="inlineStr">
        <is>
          <t>monthly package</t>
        </is>
      </c>
      <c r="F395" s="3" t="n">
        <v>3200</v>
      </c>
      <c r="G395" s="3" t="inlineStr">
        <is>
          <t>2023-07</t>
        </is>
      </c>
      <c r="H395" s="3" t="n">
        <v>3200</v>
      </c>
    </row>
    <row r="396" ht="20" customHeight="1">
      <c r="A396" s="3" t="inlineStr">
        <is>
          <t>Commercial rent</t>
        </is>
      </c>
      <c r="B396" s="3" t="n"/>
      <c r="C396" s="3" t="inlineStr">
        <is>
          <t>RENT_COMMERCIAL</t>
        </is>
      </c>
      <c r="D396" s="3" t="inlineStr">
        <is>
          <t>INSEE BDM 001532540: Indice des loyers commerciaux (ILC) - Base 100 au 1er trimestre 2008</t>
        </is>
      </c>
      <c r="E396" s="3" t="inlineStr">
        <is>
          <t>monthly package</t>
        </is>
      </c>
      <c r="F396" s="3" t="n">
        <v>3200</v>
      </c>
      <c r="G396" s="3" t="inlineStr">
        <is>
          <t>2023-08</t>
        </is>
      </c>
      <c r="H396" s="3" t="n">
        <v>3200</v>
      </c>
    </row>
    <row r="397" ht="20" customHeight="1">
      <c r="A397" s="3" t="inlineStr">
        <is>
          <t>Commercial rent</t>
        </is>
      </c>
      <c r="B397" s="3" t="n"/>
      <c r="C397" s="3" t="inlineStr">
        <is>
          <t>RENT_COMMERCIAL</t>
        </is>
      </c>
      <c r="D397" s="3" t="inlineStr">
        <is>
          <t>INSEE BDM 001532540: Indice des loyers commerciaux (ILC) - Base 100 au 1er trimestre 2008</t>
        </is>
      </c>
      <c r="E397" s="3" t="inlineStr">
        <is>
          <t>monthly package</t>
        </is>
      </c>
      <c r="F397" s="3" t="n">
        <v>3200</v>
      </c>
      <c r="G397" s="3" t="inlineStr">
        <is>
          <t>2023-09</t>
        </is>
      </c>
      <c r="H397" s="3" t="n">
        <v>3200</v>
      </c>
    </row>
    <row r="398" ht="20" customHeight="1">
      <c r="A398" s="3" t="inlineStr">
        <is>
          <t>Commercial rent</t>
        </is>
      </c>
      <c r="B398" s="3" t="n"/>
      <c r="C398" s="3" t="inlineStr">
        <is>
          <t>RENT_COMMERCIAL</t>
        </is>
      </c>
      <c r="D398" s="3" t="inlineStr">
        <is>
          <t>INSEE BDM 001532540: Indice des loyers commerciaux (ILC) - Base 100 au 1er trimestre 2008</t>
        </is>
      </c>
      <c r="E398" s="3" t="inlineStr">
        <is>
          <t>monthly package</t>
        </is>
      </c>
      <c r="F398" s="3" t="n">
        <v>3200</v>
      </c>
      <c r="G398" s="3" t="inlineStr">
        <is>
          <t>2023-10</t>
        </is>
      </c>
      <c r="H398" s="3" t="n">
        <v>3200</v>
      </c>
    </row>
    <row r="399" ht="20" customHeight="1">
      <c r="A399" s="3" t="inlineStr">
        <is>
          <t>Commercial rent</t>
        </is>
      </c>
      <c r="B399" s="3" t="n"/>
      <c r="C399" s="3" t="inlineStr">
        <is>
          <t>RENT_COMMERCIAL</t>
        </is>
      </c>
      <c r="D399" s="3" t="inlineStr">
        <is>
          <t>INSEE BDM 001532540: Indice des loyers commerciaux (ILC) - Base 100 au 1er trimestre 2008</t>
        </is>
      </c>
      <c r="E399" s="3" t="inlineStr">
        <is>
          <t>monthly package</t>
        </is>
      </c>
      <c r="F399" s="3" t="n">
        <v>3200</v>
      </c>
      <c r="G399" s="3" t="inlineStr">
        <is>
          <t>2023-11</t>
        </is>
      </c>
      <c r="H399" s="3" t="n">
        <v>3200</v>
      </c>
    </row>
    <row r="400" ht="20" customHeight="1">
      <c r="A400" s="3" t="inlineStr">
        <is>
          <t>Commercial rent</t>
        </is>
      </c>
      <c r="B400" s="3" t="n"/>
      <c r="C400" s="3" t="inlineStr">
        <is>
          <t>RENT_COMMERCIAL</t>
        </is>
      </c>
      <c r="D400" s="3" t="inlineStr">
        <is>
          <t>INSEE BDM 001532540: Indice des loyers commerciaux (ILC) - Base 100 au 1er trimestre 2008</t>
        </is>
      </c>
      <c r="E400" s="3" t="inlineStr">
        <is>
          <t>monthly package</t>
        </is>
      </c>
      <c r="F400" s="3" t="n">
        <v>3200</v>
      </c>
      <c r="G400" s="3" t="inlineStr">
        <is>
          <t>2023-12</t>
        </is>
      </c>
      <c r="H400" s="3" t="n">
        <v>3200</v>
      </c>
    </row>
    <row r="401" ht="20" customHeight="1">
      <c r="A401" s="3" t="inlineStr">
        <is>
          <t>Salt</t>
        </is>
      </c>
      <c r="B401" s="3" t="n"/>
      <c r="C401" s="3" t="inlineStr">
        <is>
          <t>SALT</t>
        </is>
      </c>
      <c r="D401" s="3" t="inlineStr">
        <is>
          <t>INSEE BDM 010766282: Indice de prix de production de l'industrie française pour l'ensemble des marchés − CPF 08.93 − Sel et chlorure de sodium pur, eau de mer - Série arrêtée</t>
        </is>
      </c>
      <c r="E401" s="3" t="inlineStr">
        <is>
          <t>kg</t>
        </is>
      </c>
      <c r="F401" s="3" t="n">
        <v>0.65</v>
      </c>
      <c r="G401" s="3" t="inlineStr">
        <is>
          <t>2021-01</t>
        </is>
      </c>
      <c r="H401" s="3" t="n">
        <v>0.65</v>
      </c>
    </row>
    <row r="402" ht="20" customHeight="1">
      <c r="A402" s="3" t="inlineStr">
        <is>
          <t>Salt</t>
        </is>
      </c>
      <c r="B402" s="3" t="n"/>
      <c r="C402" s="3" t="inlineStr">
        <is>
          <t>SALT</t>
        </is>
      </c>
      <c r="D402" s="3" t="inlineStr">
        <is>
          <t>INSEE BDM 010766282: Indice de prix de production de l'industrie française pour l'ensemble des marchés − CPF 08.93 − Sel et chlorure de sodium pur, eau de mer - Série arrêtée</t>
        </is>
      </c>
      <c r="E402" s="3" t="inlineStr">
        <is>
          <t>kg</t>
        </is>
      </c>
      <c r="F402" s="3" t="n">
        <v>0.65</v>
      </c>
      <c r="G402" s="3" t="inlineStr">
        <is>
          <t>2021-02</t>
        </is>
      </c>
      <c r="H402" s="3" t="n">
        <v>0.652</v>
      </c>
    </row>
    <row r="403" ht="20" customHeight="1">
      <c r="A403" s="3" t="inlineStr">
        <is>
          <t>Salt</t>
        </is>
      </c>
      <c r="B403" s="3" t="n"/>
      <c r="C403" s="3" t="inlineStr">
        <is>
          <t>SALT</t>
        </is>
      </c>
      <c r="D403" s="3" t="inlineStr">
        <is>
          <t>INSEE BDM 010766282: Indice de prix de production de l'industrie française pour l'ensemble des marchés − CPF 08.93 − Sel et chlorure de sodium pur, eau de mer - Série arrêtée</t>
        </is>
      </c>
      <c r="E403" s="3" t="inlineStr">
        <is>
          <t>kg</t>
        </is>
      </c>
      <c r="F403" s="3" t="n">
        <v>0.65</v>
      </c>
      <c r="G403" s="3" t="inlineStr">
        <is>
          <t>2021-03</t>
        </is>
      </c>
      <c r="H403" s="3" t="n">
        <v>0.6514</v>
      </c>
    </row>
    <row r="404" ht="20" customHeight="1">
      <c r="A404" s="3" t="inlineStr">
        <is>
          <t>Salt</t>
        </is>
      </c>
      <c r="B404" s="3" t="n"/>
      <c r="C404" s="3" t="inlineStr">
        <is>
          <t>SALT</t>
        </is>
      </c>
      <c r="D404" s="3" t="inlineStr">
        <is>
          <t>INSEE BDM 010766282: Indice de prix de production de l'industrie française pour l'ensemble des marchés − CPF 08.93 − Sel et chlorure de sodium pur, eau de mer - Série arrêtée</t>
        </is>
      </c>
      <c r="E404" s="3" t="inlineStr">
        <is>
          <t>kg</t>
        </is>
      </c>
      <c r="F404" s="3" t="n">
        <v>0.65</v>
      </c>
      <c r="G404" s="3" t="inlineStr">
        <is>
          <t>2021-04</t>
        </is>
      </c>
      <c r="H404" s="3" t="n">
        <v>0.6657</v>
      </c>
    </row>
    <row r="405" ht="20" customHeight="1">
      <c r="A405" s="3" t="inlineStr">
        <is>
          <t>Salt</t>
        </is>
      </c>
      <c r="B405" s="3" t="n"/>
      <c r="C405" s="3" t="inlineStr">
        <is>
          <t>SALT</t>
        </is>
      </c>
      <c r="D405" s="3" t="inlineStr">
        <is>
          <t>INSEE BDM 010766282: Indice de prix de production de l'industrie française pour l'ensemble des marchés − CPF 08.93 − Sel et chlorure de sodium pur, eau de mer - Série arrêtée</t>
        </is>
      </c>
      <c r="E405" s="3" t="inlineStr">
        <is>
          <t>kg</t>
        </is>
      </c>
      <c r="F405" s="3" t="n">
        <v>0.65</v>
      </c>
      <c r="G405" s="3" t="inlineStr">
        <is>
          <t>2021-05</t>
        </is>
      </c>
      <c r="H405" s="3" t="n">
        <v>0.6657</v>
      </c>
    </row>
    <row r="406" ht="20" customHeight="1">
      <c r="A406" s="3" t="inlineStr">
        <is>
          <t>Salt</t>
        </is>
      </c>
      <c r="B406" s="3" t="n"/>
      <c r="C406" s="3" t="inlineStr">
        <is>
          <t>SALT</t>
        </is>
      </c>
      <c r="D406" s="3" t="inlineStr">
        <is>
          <t>INSEE BDM 010766282: Indice de prix de production de l'industrie française pour l'ensemble des marchés − CPF 08.93 − Sel et chlorure de sodium pur, eau de mer - Série arrêtée</t>
        </is>
      </c>
      <c r="E406" s="3" t="inlineStr">
        <is>
          <t>kg</t>
        </is>
      </c>
      <c r="F406" s="3" t="n">
        <v>0.65</v>
      </c>
      <c r="G406" s="3" t="inlineStr">
        <is>
          <t>2021-06</t>
        </is>
      </c>
      <c r="H406" s="3" t="n">
        <v>0.6657</v>
      </c>
    </row>
    <row r="407" ht="20" customHeight="1">
      <c r="A407" s="3" t="inlineStr">
        <is>
          <t>Salt</t>
        </is>
      </c>
      <c r="B407" s="3" t="n"/>
      <c r="C407" s="3" t="inlineStr">
        <is>
          <t>SALT</t>
        </is>
      </c>
      <c r="D407" s="3" t="inlineStr">
        <is>
          <t>INSEE BDM 010766282: Indice de prix de production de l'industrie française pour l'ensemble des marchés − CPF 08.93 − Sel et chlorure de sodium pur, eau de mer - Série arrêtée</t>
        </is>
      </c>
      <c r="E407" s="3" t="inlineStr">
        <is>
          <t>kg</t>
        </is>
      </c>
      <c r="F407" s="3" t="n">
        <v>0.65</v>
      </c>
      <c r="G407" s="3" t="inlineStr">
        <is>
          <t>2021-07</t>
        </is>
      </c>
      <c r="H407" s="3" t="n">
        <v>0.6869</v>
      </c>
    </row>
    <row r="408" ht="20" customHeight="1">
      <c r="A408" s="3" t="inlineStr">
        <is>
          <t>Salt</t>
        </is>
      </c>
      <c r="B408" s="3" t="n"/>
      <c r="C408" s="3" t="inlineStr">
        <is>
          <t>SALT</t>
        </is>
      </c>
      <c r="D408" s="3" t="inlineStr">
        <is>
          <t>INSEE BDM 010766282: Indice de prix de production de l'industrie française pour l'ensemble des marchés − CPF 08.93 − Sel et chlorure de sodium pur, eau de mer - Série arrêtée</t>
        </is>
      </c>
      <c r="E408" s="3" t="inlineStr">
        <is>
          <t>kg</t>
        </is>
      </c>
      <c r="F408" s="3" t="n">
        <v>0.65</v>
      </c>
      <c r="G408" s="3" t="inlineStr">
        <is>
          <t>2021-08</t>
        </is>
      </c>
      <c r="H408" s="3" t="n">
        <v>0.6855</v>
      </c>
    </row>
    <row r="409" ht="20" customHeight="1">
      <c r="A409" s="3" t="inlineStr">
        <is>
          <t>Salt</t>
        </is>
      </c>
      <c r="B409" s="3" t="n"/>
      <c r="C409" s="3" t="inlineStr">
        <is>
          <t>SALT</t>
        </is>
      </c>
      <c r="D409" s="3" t="inlineStr">
        <is>
          <t>INSEE BDM 010766282: Indice de prix de production de l'industrie française pour l'ensemble des marchés − CPF 08.93 − Sel et chlorure de sodium pur, eau de mer - Série arrêtée</t>
        </is>
      </c>
      <c r="E409" s="3" t="inlineStr">
        <is>
          <t>kg</t>
        </is>
      </c>
      <c r="F409" s="3" t="n">
        <v>0.65</v>
      </c>
      <c r="G409" s="3" t="inlineStr">
        <is>
          <t>2021-09</t>
        </is>
      </c>
      <c r="H409" s="3" t="n">
        <v>0.678</v>
      </c>
    </row>
    <row r="410" ht="20" customHeight="1">
      <c r="A410" s="3" t="inlineStr">
        <is>
          <t>Salt</t>
        </is>
      </c>
      <c r="B410" s="3" t="n"/>
      <c r="C410" s="3" t="inlineStr">
        <is>
          <t>SALT</t>
        </is>
      </c>
      <c r="D410" s="3" t="inlineStr">
        <is>
          <t>INSEE BDM 010766282: Indice de prix de production de l'industrie française pour l'ensemble des marchés − CPF 08.93 − Sel et chlorure de sodium pur, eau de mer - Série arrêtée</t>
        </is>
      </c>
      <c r="E410" s="3" t="inlineStr">
        <is>
          <t>kg</t>
        </is>
      </c>
      <c r="F410" s="3" t="n">
        <v>0.65</v>
      </c>
      <c r="G410" s="3" t="inlineStr">
        <is>
          <t>2021-10</t>
        </is>
      </c>
      <c r="H410" s="3" t="n">
        <v>0.7039</v>
      </c>
    </row>
    <row r="411" ht="20" customHeight="1">
      <c r="A411" s="3" t="inlineStr">
        <is>
          <t>Salt</t>
        </is>
      </c>
      <c r="B411" s="3" t="n"/>
      <c r="C411" s="3" t="inlineStr">
        <is>
          <t>SALT</t>
        </is>
      </c>
      <c r="D411" s="3" t="inlineStr">
        <is>
          <t>INSEE BDM 010766282: Indice de prix de production de l'industrie française pour l'ensemble des marchés − CPF 08.93 − Sel et chlorure de sodium pur, eau de mer - Série arrêtée</t>
        </is>
      </c>
      <c r="E411" s="3" t="inlineStr">
        <is>
          <t>kg</t>
        </is>
      </c>
      <c r="F411" s="3" t="n">
        <v>0.65</v>
      </c>
      <c r="G411" s="3" t="inlineStr">
        <is>
          <t>2021-11</t>
        </is>
      </c>
      <c r="H411" s="3" t="n">
        <v>0.7312</v>
      </c>
    </row>
    <row r="412" ht="20" customHeight="1">
      <c r="A412" s="3" t="inlineStr">
        <is>
          <t>Salt</t>
        </is>
      </c>
      <c r="B412" s="3" t="n"/>
      <c r="C412" s="3" t="inlineStr">
        <is>
          <t>SALT</t>
        </is>
      </c>
      <c r="D412" s="3" t="inlineStr">
        <is>
          <t>INSEE BDM 010766282: Indice de prix de production de l'industrie française pour l'ensemble des marchés − CPF 08.93 − Sel et chlorure de sodium pur, eau de mer - Série arrêtée</t>
        </is>
      </c>
      <c r="E412" s="3" t="inlineStr">
        <is>
          <t>kg</t>
        </is>
      </c>
      <c r="F412" s="3" t="n">
        <v>0.65</v>
      </c>
      <c r="G412" s="3" t="inlineStr">
        <is>
          <t>2021-12</t>
        </is>
      </c>
      <c r="H412" s="3" t="n">
        <v>0.7565</v>
      </c>
    </row>
    <row r="413" ht="20" customHeight="1">
      <c r="A413" s="3" t="inlineStr">
        <is>
          <t>Salt</t>
        </is>
      </c>
      <c r="B413" s="3" t="n"/>
      <c r="C413" s="3" t="inlineStr">
        <is>
          <t>SALT</t>
        </is>
      </c>
      <c r="D413" s="3" t="inlineStr">
        <is>
          <t>INSEE BDM 010766282: Indice de prix de production de l'industrie française pour l'ensemble des marchés − CPF 08.93 − Sel et chlorure de sodium pur, eau de mer - Série arrêtée</t>
        </is>
      </c>
      <c r="E413" s="3" t="inlineStr">
        <is>
          <t>kg</t>
        </is>
      </c>
      <c r="F413" s="3" t="n">
        <v>0.65</v>
      </c>
      <c r="G413" s="3" t="inlineStr">
        <is>
          <t>2022-01</t>
        </is>
      </c>
      <c r="H413" s="3" t="n">
        <v>0.8794</v>
      </c>
    </row>
    <row r="414" ht="20" customHeight="1">
      <c r="A414" s="3" t="inlineStr">
        <is>
          <t>Salt</t>
        </is>
      </c>
      <c r="B414" s="3" t="n"/>
      <c r="C414" s="3" t="inlineStr">
        <is>
          <t>SALT</t>
        </is>
      </c>
      <c r="D414" s="3" t="inlineStr">
        <is>
          <t>INSEE BDM 010766282: Indice de prix de production de l'industrie française pour l'ensemble des marchés − CPF 08.93 − Sel et chlorure de sodium pur, eau de mer - Série arrêtée</t>
        </is>
      </c>
      <c r="E414" s="3" t="inlineStr">
        <is>
          <t>kg</t>
        </is>
      </c>
      <c r="F414" s="3" t="n">
        <v>0.65</v>
      </c>
      <c r="G414" s="3" t="inlineStr">
        <is>
          <t>2022-02</t>
        </is>
      </c>
      <c r="H414" s="3" t="n">
        <v>0.8152</v>
      </c>
    </row>
    <row r="415" ht="20" customHeight="1">
      <c r="A415" s="3" t="inlineStr">
        <is>
          <t>Salt</t>
        </is>
      </c>
      <c r="B415" s="3" t="n"/>
      <c r="C415" s="3" t="inlineStr">
        <is>
          <t>SALT</t>
        </is>
      </c>
      <c r="D415" s="3" t="inlineStr">
        <is>
          <t>INSEE BDM 010766282: Indice de prix de production de l'industrie française pour l'ensemble des marchés − CPF 08.93 − Sel et chlorure de sodium pur, eau de mer - Série arrêtée</t>
        </is>
      </c>
      <c r="E415" s="3" t="inlineStr">
        <is>
          <t>kg</t>
        </is>
      </c>
      <c r="F415" s="3" t="n">
        <v>0.65</v>
      </c>
      <c r="G415" s="3" t="inlineStr">
        <is>
          <t>2022-03</t>
        </is>
      </c>
      <c r="H415" s="3" t="n">
        <v>0.7408</v>
      </c>
    </row>
    <row r="416" ht="20" customHeight="1">
      <c r="A416" s="3" t="inlineStr">
        <is>
          <t>Salt</t>
        </is>
      </c>
      <c r="B416" s="3" t="n"/>
      <c r="C416" s="3" t="inlineStr">
        <is>
          <t>SALT</t>
        </is>
      </c>
      <c r="D416" s="3" t="inlineStr">
        <is>
          <t>INSEE BDM 010766282: Indice de prix de production de l'industrie française pour l'ensemble des marchés − CPF 08.93 − Sel et chlorure de sodium pur, eau de mer - Série arrêtée</t>
        </is>
      </c>
      <c r="E416" s="3" t="inlineStr">
        <is>
          <t>kg</t>
        </is>
      </c>
      <c r="F416" s="3" t="n">
        <v>0.65</v>
      </c>
      <c r="G416" s="3" t="inlineStr">
        <is>
          <t>2022-04</t>
        </is>
      </c>
      <c r="H416" s="3" t="n">
        <v>0.8186</v>
      </c>
    </row>
    <row r="417" ht="20" customHeight="1">
      <c r="A417" s="3" t="inlineStr">
        <is>
          <t>Salt</t>
        </is>
      </c>
      <c r="B417" s="3" t="n"/>
      <c r="C417" s="3" t="inlineStr">
        <is>
          <t>SALT</t>
        </is>
      </c>
      <c r="D417" s="3" t="inlineStr">
        <is>
          <t>INSEE BDM 010766282: Indice de prix de production de l'industrie française pour l'ensemble des marchés − CPF 08.93 − Sel et chlorure de sodium pur, eau de mer - Série arrêtée</t>
        </is>
      </c>
      <c r="E417" s="3" t="inlineStr">
        <is>
          <t>kg</t>
        </is>
      </c>
      <c r="F417" s="3" t="n">
        <v>0.65</v>
      </c>
      <c r="G417" s="3" t="inlineStr">
        <is>
          <t>2022-05</t>
        </is>
      </c>
      <c r="H417" s="3" t="n">
        <v>0.8193</v>
      </c>
    </row>
    <row r="418" ht="20" customHeight="1">
      <c r="A418" s="3" t="inlineStr">
        <is>
          <t>Salt</t>
        </is>
      </c>
      <c r="B418" s="3" t="n"/>
      <c r="C418" s="3" t="inlineStr">
        <is>
          <t>SALT</t>
        </is>
      </c>
      <c r="D418" s="3" t="inlineStr">
        <is>
          <t>INSEE BDM 010766282: Indice de prix de production de l'industrie française pour l'ensemble des marchés − CPF 08.93 − Sel et chlorure de sodium pur, eau de mer - Série arrêtée</t>
        </is>
      </c>
      <c r="E418" s="3" t="inlineStr">
        <is>
          <t>kg</t>
        </is>
      </c>
      <c r="F418" s="3" t="n">
        <v>0.65</v>
      </c>
      <c r="G418" s="3" t="inlineStr">
        <is>
          <t>2022-06</t>
        </is>
      </c>
      <c r="H418" s="3" t="n">
        <v>0.8214</v>
      </c>
    </row>
    <row r="419" ht="20" customHeight="1">
      <c r="A419" s="3" t="inlineStr">
        <is>
          <t>Salt</t>
        </is>
      </c>
      <c r="B419" s="3" t="n"/>
      <c r="C419" s="3" t="inlineStr">
        <is>
          <t>SALT</t>
        </is>
      </c>
      <c r="D419" s="3" t="inlineStr">
        <is>
          <t>INSEE BDM 010766282: Indice de prix de production de l'industrie française pour l'ensemble des marchés − CPF 08.93 − Sel et chlorure de sodium pur, eau de mer - Série arrêtée</t>
        </is>
      </c>
      <c r="E419" s="3" t="inlineStr">
        <is>
          <t>kg</t>
        </is>
      </c>
      <c r="F419" s="3" t="n">
        <v>0.65</v>
      </c>
      <c r="G419" s="3" t="inlineStr">
        <is>
          <t>2022-07</t>
        </is>
      </c>
      <c r="H419" s="3" t="n">
        <v>0.8439</v>
      </c>
    </row>
    <row r="420" ht="20" customHeight="1">
      <c r="A420" s="3" t="inlineStr">
        <is>
          <t>Salt</t>
        </is>
      </c>
      <c r="B420" s="3" t="n"/>
      <c r="C420" s="3" t="inlineStr">
        <is>
          <t>SALT</t>
        </is>
      </c>
      <c r="D420" s="3" t="inlineStr">
        <is>
          <t>INSEE BDM 010766282: Indice de prix de production de l'industrie française pour l'ensemble des marchés − CPF 08.93 − Sel et chlorure de sodium pur, eau de mer - Série arrêtée</t>
        </is>
      </c>
      <c r="E420" s="3" t="inlineStr">
        <is>
          <t>kg</t>
        </is>
      </c>
      <c r="F420" s="3" t="n">
        <v>0.65</v>
      </c>
      <c r="G420" s="3" t="inlineStr">
        <is>
          <t>2022-08</t>
        </is>
      </c>
      <c r="H420" s="3" t="n">
        <v>0.8576</v>
      </c>
    </row>
    <row r="421" ht="20" customHeight="1">
      <c r="A421" s="3" t="inlineStr">
        <is>
          <t>Salt</t>
        </is>
      </c>
      <c r="B421" s="3" t="n"/>
      <c r="C421" s="3" t="inlineStr">
        <is>
          <t>SALT</t>
        </is>
      </c>
      <c r="D421" s="3" t="inlineStr">
        <is>
          <t>INSEE BDM 010766282: Indice de prix de production de l'industrie française pour l'ensemble des marchés − CPF 08.93 − Sel et chlorure de sodium pur, eau de mer - Série arrêtée</t>
        </is>
      </c>
      <c r="E421" s="3" t="inlineStr">
        <is>
          <t>kg</t>
        </is>
      </c>
      <c r="F421" s="3" t="n">
        <v>0.65</v>
      </c>
      <c r="G421" s="3" t="inlineStr">
        <is>
          <t>2022-09</t>
        </is>
      </c>
      <c r="H421" s="3" t="n">
        <v>0.8733</v>
      </c>
    </row>
    <row r="422" ht="20" customHeight="1">
      <c r="A422" s="3" t="inlineStr">
        <is>
          <t>Salt</t>
        </is>
      </c>
      <c r="B422" s="3" t="n"/>
      <c r="C422" s="3" t="inlineStr">
        <is>
          <t>SALT</t>
        </is>
      </c>
      <c r="D422" s="3" t="inlineStr">
        <is>
          <t>INSEE BDM 010766282: Indice de prix de production de l'industrie française pour l'ensemble des marchés − CPF 08.93 − Sel et chlorure de sodium pur, eau de mer - Série arrêtée</t>
        </is>
      </c>
      <c r="E422" s="3" t="inlineStr">
        <is>
          <t>kg</t>
        </is>
      </c>
      <c r="F422" s="3" t="n">
        <v>0.65</v>
      </c>
      <c r="G422" s="3" t="inlineStr">
        <is>
          <t>2022-10</t>
        </is>
      </c>
      <c r="H422" s="3" t="n">
        <v>0.8958</v>
      </c>
    </row>
    <row r="423" ht="20" customHeight="1">
      <c r="A423" s="3" t="inlineStr">
        <is>
          <t>Salt</t>
        </is>
      </c>
      <c r="B423" s="3" t="n"/>
      <c r="C423" s="3" t="inlineStr">
        <is>
          <t>SALT</t>
        </is>
      </c>
      <c r="D423" s="3" t="inlineStr">
        <is>
          <t>INSEE BDM 010766282: Indice de prix de production de l'industrie française pour l'ensemble des marchés − CPF 08.93 − Sel et chlorure de sodium pur, eau de mer - Série arrêtée</t>
        </is>
      </c>
      <c r="E423" s="3" t="inlineStr">
        <is>
          <t>kg</t>
        </is>
      </c>
      <c r="F423" s="3" t="n">
        <v>0.65</v>
      </c>
      <c r="G423" s="3" t="inlineStr">
        <is>
          <t>2022-11</t>
        </is>
      </c>
      <c r="H423" s="3" t="n">
        <v>0.9436</v>
      </c>
    </row>
    <row r="424" ht="20" customHeight="1">
      <c r="A424" s="3" t="inlineStr">
        <is>
          <t>Salt</t>
        </is>
      </c>
      <c r="B424" s="3" t="n"/>
      <c r="C424" s="3" t="inlineStr">
        <is>
          <t>SALT</t>
        </is>
      </c>
      <c r="D424" s="3" t="inlineStr">
        <is>
          <t>INSEE BDM 010766282: Indice de prix de production de l'industrie française pour l'ensemble des marchés − CPF 08.93 − Sel et chlorure de sodium pur, eau de mer - Série arrêtée</t>
        </is>
      </c>
      <c r="E424" s="3" t="inlineStr">
        <is>
          <t>kg</t>
        </is>
      </c>
      <c r="F424" s="3" t="n">
        <v>0.65</v>
      </c>
      <c r="G424" s="3" t="inlineStr">
        <is>
          <t>2022-12</t>
        </is>
      </c>
      <c r="H424" s="3" t="n">
        <v>0.9463</v>
      </c>
    </row>
    <row r="425" ht="20" customHeight="1">
      <c r="A425" s="3" t="inlineStr">
        <is>
          <t>Salt</t>
        </is>
      </c>
      <c r="B425" s="3" t="n"/>
      <c r="C425" s="3" t="inlineStr">
        <is>
          <t>SALT</t>
        </is>
      </c>
      <c r="D425" s="3" t="inlineStr">
        <is>
          <t>INSEE BDM 010766282: Indice de prix de production de l'industrie française pour l'ensemble des marchés − CPF 08.93 − Sel et chlorure de sodium pur, eau de mer - Série arrêtée</t>
        </is>
      </c>
      <c r="E425" s="3" t="inlineStr">
        <is>
          <t>kg</t>
        </is>
      </c>
      <c r="F425" s="3" t="n">
        <v>0.65</v>
      </c>
      <c r="G425" s="3" t="inlineStr">
        <is>
          <t>2023-01</t>
        </is>
      </c>
      <c r="H425" s="3" t="n">
        <v>0.8733</v>
      </c>
    </row>
    <row r="426" ht="20" customHeight="1">
      <c r="A426" s="3" t="inlineStr">
        <is>
          <t>Salt</t>
        </is>
      </c>
      <c r="B426" s="3" t="n"/>
      <c r="C426" s="3" t="inlineStr">
        <is>
          <t>SALT</t>
        </is>
      </c>
      <c r="D426" s="3" t="inlineStr">
        <is>
          <t>INSEE BDM 010766282: Indice de prix de production de l'industrie française pour l'ensemble des marchés − CPF 08.93 − Sel et chlorure de sodium pur, eau de mer - Série arrêtée</t>
        </is>
      </c>
      <c r="E426" s="3" t="inlineStr">
        <is>
          <t>kg</t>
        </is>
      </c>
      <c r="F426" s="3" t="n">
        <v>0.65</v>
      </c>
      <c r="G426" s="3" t="inlineStr">
        <is>
          <t>2023-02</t>
        </is>
      </c>
      <c r="H426" s="3" t="n">
        <v>0.8917</v>
      </c>
    </row>
    <row r="427" ht="20" customHeight="1">
      <c r="A427" s="3" t="inlineStr">
        <is>
          <t>Salt</t>
        </is>
      </c>
      <c r="B427" s="3" t="n"/>
      <c r="C427" s="3" t="inlineStr">
        <is>
          <t>SALT</t>
        </is>
      </c>
      <c r="D427" s="3" t="inlineStr">
        <is>
          <t>INSEE BDM 010766282: Indice de prix de production de l'industrie française pour l'ensemble des marchés − CPF 08.93 − Sel et chlorure de sodium pur, eau de mer - Série arrêtée</t>
        </is>
      </c>
      <c r="E427" s="3" t="inlineStr">
        <is>
          <t>kg</t>
        </is>
      </c>
      <c r="F427" s="3" t="n">
        <v>0.65</v>
      </c>
      <c r="G427" s="3" t="inlineStr">
        <is>
          <t>2023-03</t>
        </is>
      </c>
      <c r="H427" s="3" t="n">
        <v>0.8917</v>
      </c>
    </row>
    <row r="428" ht="20" customHeight="1">
      <c r="A428" s="3" t="inlineStr">
        <is>
          <t>Salt</t>
        </is>
      </c>
      <c r="B428" s="3" t="n"/>
      <c r="C428" s="3" t="inlineStr">
        <is>
          <t>SALT</t>
        </is>
      </c>
      <c r="D428" s="3" t="inlineStr">
        <is>
          <t>INSEE BDM 010766282: Indice de prix de production de l'industrie française pour l'ensemble des marchés − CPF 08.93 − Sel et chlorure de sodium pur, eau de mer - Série arrêtée</t>
        </is>
      </c>
      <c r="E428" s="3" t="inlineStr">
        <is>
          <t>kg</t>
        </is>
      </c>
      <c r="F428" s="3" t="n">
        <v>0.65</v>
      </c>
      <c r="G428" s="3" t="inlineStr">
        <is>
          <t>2023-04</t>
        </is>
      </c>
      <c r="H428" s="3" t="n">
        <v>0.906</v>
      </c>
    </row>
    <row r="429" ht="20" customHeight="1">
      <c r="A429" s="3" t="inlineStr">
        <is>
          <t>Salt</t>
        </is>
      </c>
      <c r="B429" s="3" t="n"/>
      <c r="C429" s="3" t="inlineStr">
        <is>
          <t>SALT</t>
        </is>
      </c>
      <c r="D429" s="3" t="inlineStr">
        <is>
          <t>INSEE BDM 010766282: Indice de prix de production de l'industrie française pour l'ensemble des marchés − CPF 08.93 − Sel et chlorure de sodium pur, eau de mer - Série arrêtée</t>
        </is>
      </c>
      <c r="E429" s="3" t="inlineStr">
        <is>
          <t>kg</t>
        </is>
      </c>
      <c r="F429" s="3" t="n">
        <v>0.65</v>
      </c>
      <c r="G429" s="3" t="inlineStr">
        <is>
          <t>2023-05</t>
        </is>
      </c>
      <c r="H429" s="3" t="n">
        <v>0.9026</v>
      </c>
    </row>
    <row r="430" ht="20" customHeight="1">
      <c r="A430" s="3" t="inlineStr">
        <is>
          <t>Salt</t>
        </is>
      </c>
      <c r="B430" s="3" t="n"/>
      <c r="C430" s="3" t="inlineStr">
        <is>
          <t>SALT</t>
        </is>
      </c>
      <c r="D430" s="3" t="inlineStr">
        <is>
          <t>INSEE BDM 010766282: Indice de prix de production de l'industrie française pour l'ensemble des marchés − CPF 08.93 − Sel et chlorure de sodium pur, eau de mer - Série arrêtée</t>
        </is>
      </c>
      <c r="E430" s="3" t="inlineStr">
        <is>
          <t>kg</t>
        </is>
      </c>
      <c r="F430" s="3" t="n">
        <v>0.65</v>
      </c>
      <c r="G430" s="3" t="inlineStr">
        <is>
          <t>2023-06</t>
        </is>
      </c>
      <c r="H430" s="3" t="n">
        <v>0.876</v>
      </c>
    </row>
    <row r="431" ht="20" customHeight="1">
      <c r="A431" s="3" t="inlineStr">
        <is>
          <t>Salt</t>
        </is>
      </c>
      <c r="B431" s="3" t="n"/>
      <c r="C431" s="3" t="inlineStr">
        <is>
          <t>SALT</t>
        </is>
      </c>
      <c r="D431" s="3" t="inlineStr">
        <is>
          <t>INSEE BDM 010766282: Indice de prix de production de l'industrie française pour l'ensemble des marchés − CPF 08.93 − Sel et chlorure de sodium pur, eau de mer - Série arrêtée</t>
        </is>
      </c>
      <c r="E431" s="3" t="inlineStr">
        <is>
          <t>kg</t>
        </is>
      </c>
      <c r="F431" s="3" t="n">
        <v>0.65</v>
      </c>
      <c r="G431" s="3" t="inlineStr">
        <is>
          <t>2023-07</t>
        </is>
      </c>
      <c r="H431" s="3" t="n">
        <v>0.8145</v>
      </c>
    </row>
    <row r="432" ht="20" customHeight="1">
      <c r="A432" s="3" t="inlineStr">
        <is>
          <t>Salt</t>
        </is>
      </c>
      <c r="B432" s="3" t="n"/>
      <c r="C432" s="3" t="inlineStr">
        <is>
          <t>SALT</t>
        </is>
      </c>
      <c r="D432" s="3" t="inlineStr">
        <is>
          <t>INSEE BDM 010766282: Indice de prix de production de l'industrie française pour l'ensemble des marchés − CPF 08.93 − Sel et chlorure de sodium pur, eau de mer - Série arrêtée</t>
        </is>
      </c>
      <c r="E432" s="3" t="inlineStr">
        <is>
          <t>kg</t>
        </is>
      </c>
      <c r="F432" s="3" t="n">
        <v>0.65</v>
      </c>
      <c r="G432" s="3" t="inlineStr">
        <is>
          <t>2023-08</t>
        </is>
      </c>
      <c r="H432" s="3" t="n">
        <v>0.8234</v>
      </c>
    </row>
    <row r="433" ht="20" customHeight="1">
      <c r="A433" s="3" t="inlineStr">
        <is>
          <t>Salt</t>
        </is>
      </c>
      <c r="B433" s="3" t="n"/>
      <c r="C433" s="3" t="inlineStr">
        <is>
          <t>SALT</t>
        </is>
      </c>
      <c r="D433" s="3" t="inlineStr">
        <is>
          <t>INSEE BDM 010766282: Indice de prix de production de l'industrie française pour l'ensemble des marchés − CPF 08.93 − Sel et chlorure de sodium pur, eau de mer - Série arrêtée</t>
        </is>
      </c>
      <c r="E433" s="3" t="inlineStr">
        <is>
          <t>kg</t>
        </is>
      </c>
      <c r="F433" s="3" t="n">
        <v>0.65</v>
      </c>
      <c r="G433" s="3" t="inlineStr">
        <is>
          <t>2023-09</t>
        </is>
      </c>
      <c r="H433" s="3" t="n">
        <v>0.8139</v>
      </c>
    </row>
    <row r="434" ht="20" customHeight="1">
      <c r="A434" s="3" t="inlineStr">
        <is>
          <t>Salt</t>
        </is>
      </c>
      <c r="B434" s="3" t="n"/>
      <c r="C434" s="3" t="inlineStr">
        <is>
          <t>SALT</t>
        </is>
      </c>
      <c r="D434" s="3" t="inlineStr">
        <is>
          <t>INSEE BDM 010766282: Indice de prix de production de l'industrie française pour l'ensemble des marchés − CPF 08.93 − Sel et chlorure de sodium pur, eau de mer - Série arrêtée</t>
        </is>
      </c>
      <c r="E434" s="3" t="inlineStr">
        <is>
          <t>kg</t>
        </is>
      </c>
      <c r="F434" s="3" t="n">
        <v>0.65</v>
      </c>
      <c r="G434" s="3" t="inlineStr">
        <is>
          <t>2023-10</t>
        </is>
      </c>
      <c r="H434" s="3" t="n">
        <v>0.8043</v>
      </c>
    </row>
    <row r="435" ht="20" customHeight="1">
      <c r="A435" s="3" t="inlineStr">
        <is>
          <t>Salt</t>
        </is>
      </c>
      <c r="B435" s="3" t="n"/>
      <c r="C435" s="3" t="inlineStr">
        <is>
          <t>SALT</t>
        </is>
      </c>
      <c r="D435" s="3" t="inlineStr">
        <is>
          <t>INSEE BDM 010766282: Indice de prix de production de l'industrie française pour l'ensemble des marchés − CPF 08.93 − Sel et chlorure de sodium pur, eau de mer - Série arrêtée</t>
        </is>
      </c>
      <c r="E435" s="3" t="inlineStr">
        <is>
          <t>kg</t>
        </is>
      </c>
      <c r="F435" s="3" t="n">
        <v>0.65</v>
      </c>
      <c r="G435" s="3" t="inlineStr">
        <is>
          <t>2023-11</t>
        </is>
      </c>
      <c r="H435" s="3" t="n">
        <v>0.8036</v>
      </c>
    </row>
    <row r="436" ht="20" customHeight="1">
      <c r="A436" s="3" t="inlineStr">
        <is>
          <t>Salt</t>
        </is>
      </c>
      <c r="B436" s="3" t="n"/>
      <c r="C436" s="3" t="inlineStr">
        <is>
          <t>SALT</t>
        </is>
      </c>
      <c r="D436" s="3" t="inlineStr">
        <is>
          <t>INSEE BDM 010766282: Indice de prix de production de l'industrie française pour l'ensemble des marchés − CPF 08.93 − Sel et chlorure de sodium pur, eau de mer - Série arrêtée</t>
        </is>
      </c>
      <c r="E436" s="3" t="inlineStr">
        <is>
          <t>kg</t>
        </is>
      </c>
      <c r="F436" s="3" t="n">
        <v>0.65</v>
      </c>
      <c r="G436" s="3" t="inlineStr">
        <is>
          <t>2023-12</t>
        </is>
      </c>
      <c r="H436" s="3" t="n">
        <v>0.8028999999999999</v>
      </c>
    </row>
    <row r="437" ht="20" customHeight="1">
      <c r="A437" s="3" t="inlineStr">
        <is>
          <t>Water</t>
        </is>
      </c>
      <c r="B437" s="3" t="n"/>
      <c r="C437" s="3" t="inlineStr">
        <is>
          <t>WATER</t>
        </is>
      </c>
      <c r="D43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7" s="3" t="inlineStr">
        <is>
          <t>monthly package</t>
        </is>
      </c>
      <c r="F437" s="3" t="n">
        <v>150</v>
      </c>
      <c r="G437" s="3" t="inlineStr">
        <is>
          <t>2021-01</t>
        </is>
      </c>
      <c r="H437" s="3" t="n">
        <v>150</v>
      </c>
    </row>
    <row r="438" ht="20" customHeight="1">
      <c r="A438" s="3" t="inlineStr">
        <is>
          <t>Water</t>
        </is>
      </c>
      <c r="B438" s="3" t="n"/>
      <c r="C438" s="3" t="inlineStr">
        <is>
          <t>WATER</t>
        </is>
      </c>
      <c r="D43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8" s="3" t="inlineStr">
        <is>
          <t>monthly package</t>
        </is>
      </c>
      <c r="F438" s="3" t="n">
        <v>150</v>
      </c>
      <c r="G438" s="3" t="inlineStr">
        <is>
          <t>2021-02</t>
        </is>
      </c>
      <c r="H438" s="3" t="n">
        <v>150.1463</v>
      </c>
    </row>
    <row r="439" ht="20" customHeight="1">
      <c r="A439" s="3" t="inlineStr">
        <is>
          <t>Water</t>
        </is>
      </c>
      <c r="B439" s="3" t="n"/>
      <c r="C439" s="3" t="inlineStr">
        <is>
          <t>WATER</t>
        </is>
      </c>
      <c r="D43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9" s="3" t="inlineStr">
        <is>
          <t>monthly package</t>
        </is>
      </c>
      <c r="F439" s="3" t="n">
        <v>150</v>
      </c>
      <c r="G439" s="3" t="inlineStr">
        <is>
          <t>2021-03</t>
        </is>
      </c>
      <c r="H439" s="3" t="n">
        <v>150.286</v>
      </c>
    </row>
    <row r="440" ht="20" customHeight="1">
      <c r="A440" s="3" t="inlineStr">
        <is>
          <t>Water</t>
        </is>
      </c>
      <c r="B440" s="3" t="n"/>
      <c r="C440" s="3" t="inlineStr">
        <is>
          <t>WATER</t>
        </is>
      </c>
      <c r="D44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0" s="3" t="inlineStr">
        <is>
          <t>monthly package</t>
        </is>
      </c>
      <c r="F440" s="3" t="n">
        <v>150</v>
      </c>
      <c r="G440" s="3" t="inlineStr">
        <is>
          <t>2021-04</t>
        </is>
      </c>
      <c r="H440" s="3" t="n">
        <v>150.5787</v>
      </c>
    </row>
    <row r="441" ht="20" customHeight="1">
      <c r="A441" s="3" t="inlineStr">
        <is>
          <t>Water</t>
        </is>
      </c>
      <c r="B441" s="3" t="n"/>
      <c r="C441" s="3" t="inlineStr">
        <is>
          <t>WATER</t>
        </is>
      </c>
      <c r="D44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1" s="3" t="inlineStr">
        <is>
          <t>monthly package</t>
        </is>
      </c>
      <c r="F441" s="3" t="n">
        <v>150</v>
      </c>
      <c r="G441" s="3" t="inlineStr">
        <is>
          <t>2021-05</t>
        </is>
      </c>
      <c r="H441" s="3" t="n">
        <v>150.7316</v>
      </c>
    </row>
    <row r="442" ht="20" customHeight="1">
      <c r="A442" s="3" t="inlineStr">
        <is>
          <t>Water</t>
        </is>
      </c>
      <c r="B442" s="3" t="n"/>
      <c r="C442" s="3" t="inlineStr">
        <is>
          <t>WATER</t>
        </is>
      </c>
      <c r="D44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2" s="3" t="inlineStr">
        <is>
          <t>monthly package</t>
        </is>
      </c>
      <c r="F442" s="3" t="n">
        <v>150</v>
      </c>
      <c r="G442" s="3" t="inlineStr">
        <is>
          <t>2021-06</t>
        </is>
      </c>
      <c r="H442" s="3" t="n">
        <v>150.9777</v>
      </c>
    </row>
    <row r="443" ht="20" customHeight="1">
      <c r="A443" s="3" t="inlineStr">
        <is>
          <t>Water</t>
        </is>
      </c>
      <c r="B443" s="3" t="n"/>
      <c r="C443" s="3" t="inlineStr">
        <is>
          <t>WATER</t>
        </is>
      </c>
      <c r="D44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3" s="3" t="inlineStr">
        <is>
          <t>monthly package</t>
        </is>
      </c>
      <c r="F443" s="3" t="n">
        <v>150</v>
      </c>
      <c r="G443" s="3" t="inlineStr">
        <is>
          <t>2021-07</t>
        </is>
      </c>
      <c r="H443" s="3" t="n">
        <v>150.9844</v>
      </c>
    </row>
    <row r="444" ht="20" customHeight="1">
      <c r="A444" s="3" t="inlineStr">
        <is>
          <t>Water</t>
        </is>
      </c>
      <c r="B444" s="3" t="n"/>
      <c r="C444" s="3" t="inlineStr">
        <is>
          <t>WATER</t>
        </is>
      </c>
      <c r="D44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4" s="3" t="inlineStr">
        <is>
          <t>monthly package</t>
        </is>
      </c>
      <c r="F444" s="3" t="n">
        <v>150</v>
      </c>
      <c r="G444" s="3" t="inlineStr">
        <is>
          <t>2021-08</t>
        </is>
      </c>
      <c r="H444" s="3" t="n">
        <v>151.0908</v>
      </c>
    </row>
    <row r="445" ht="20" customHeight="1">
      <c r="A445" s="3" t="inlineStr">
        <is>
          <t>Water</t>
        </is>
      </c>
      <c r="B445" s="3" t="n"/>
      <c r="C445" s="3" t="inlineStr">
        <is>
          <t>WATER</t>
        </is>
      </c>
      <c r="D44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5" s="3" t="inlineStr">
        <is>
          <t>monthly package</t>
        </is>
      </c>
      <c r="F445" s="3" t="n">
        <v>150</v>
      </c>
      <c r="G445" s="3" t="inlineStr">
        <is>
          <t>2021-09</t>
        </is>
      </c>
      <c r="H445" s="3" t="n">
        <v>151.2172</v>
      </c>
    </row>
    <row r="446" ht="20" customHeight="1">
      <c r="A446" s="3" t="inlineStr">
        <is>
          <t>Water</t>
        </is>
      </c>
      <c r="B446" s="3" t="n"/>
      <c r="C446" s="3" t="inlineStr">
        <is>
          <t>WATER</t>
        </is>
      </c>
      <c r="D44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6" s="3" t="inlineStr">
        <is>
          <t>monthly package</t>
        </is>
      </c>
      <c r="F446" s="3" t="n">
        <v>150</v>
      </c>
      <c r="G446" s="3" t="inlineStr">
        <is>
          <t>2021-10</t>
        </is>
      </c>
      <c r="H446" s="3" t="n">
        <v>151.1906</v>
      </c>
    </row>
    <row r="447" ht="20" customHeight="1">
      <c r="A447" s="3" t="inlineStr">
        <is>
          <t>Water</t>
        </is>
      </c>
      <c r="B447" s="3" t="n"/>
      <c r="C447" s="3" t="inlineStr">
        <is>
          <t>WATER</t>
        </is>
      </c>
      <c r="D44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7" s="3" t="inlineStr">
        <is>
          <t>monthly package</t>
        </is>
      </c>
      <c r="F447" s="3" t="n">
        <v>150</v>
      </c>
      <c r="G447" s="3" t="inlineStr">
        <is>
          <t>2021-11</t>
        </is>
      </c>
      <c r="H447" s="3" t="n">
        <v>151.4234</v>
      </c>
    </row>
    <row r="448" ht="20" customHeight="1">
      <c r="A448" s="3" t="inlineStr">
        <is>
          <t>Water</t>
        </is>
      </c>
      <c r="B448" s="3" t="n"/>
      <c r="C448" s="3" t="inlineStr">
        <is>
          <t>WATER</t>
        </is>
      </c>
      <c r="D44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8" s="3" t="inlineStr">
        <is>
          <t>monthly package</t>
        </is>
      </c>
      <c r="F448" s="3" t="n">
        <v>150</v>
      </c>
      <c r="G448" s="3" t="inlineStr">
        <is>
          <t>2021-12</t>
        </is>
      </c>
      <c r="H448" s="3" t="n">
        <v>151.4234</v>
      </c>
    </row>
    <row r="449" ht="20" customHeight="1">
      <c r="A449" s="3" t="inlineStr">
        <is>
          <t>Water</t>
        </is>
      </c>
      <c r="B449" s="3" t="n"/>
      <c r="C449" s="3" t="inlineStr">
        <is>
          <t>WATER</t>
        </is>
      </c>
      <c r="D44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9" s="3" t="inlineStr">
        <is>
          <t>monthly package</t>
        </is>
      </c>
      <c r="F449" s="3" t="n">
        <v>150</v>
      </c>
      <c r="G449" s="3" t="inlineStr">
        <is>
          <t>2022-01</t>
        </is>
      </c>
      <c r="H449" s="3" t="n">
        <v>151.9488</v>
      </c>
    </row>
    <row r="450" ht="20" customHeight="1">
      <c r="A450" s="3" t="inlineStr">
        <is>
          <t>Water</t>
        </is>
      </c>
      <c r="B450" s="3" t="n"/>
      <c r="C450" s="3" t="inlineStr">
        <is>
          <t>WATER</t>
        </is>
      </c>
      <c r="D45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0" s="3" t="inlineStr">
        <is>
          <t>monthly package</t>
        </is>
      </c>
      <c r="F450" s="3" t="n">
        <v>150</v>
      </c>
      <c r="G450" s="3" t="inlineStr">
        <is>
          <t>2022-02</t>
        </is>
      </c>
      <c r="H450" s="3" t="n">
        <v>152.6073</v>
      </c>
    </row>
    <row r="451" ht="20" customHeight="1">
      <c r="A451" s="3" t="inlineStr">
        <is>
          <t>Water</t>
        </is>
      </c>
      <c r="B451" s="3" t="n"/>
      <c r="C451" s="3" t="inlineStr">
        <is>
          <t>WATER</t>
        </is>
      </c>
      <c r="D45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1" s="3" t="inlineStr">
        <is>
          <t>monthly package</t>
        </is>
      </c>
      <c r="F451" s="3" t="n">
        <v>150</v>
      </c>
      <c r="G451" s="3" t="inlineStr">
        <is>
          <t>2022-03</t>
        </is>
      </c>
      <c r="H451" s="3" t="n">
        <v>152.9931</v>
      </c>
    </row>
    <row r="452" ht="20" customHeight="1">
      <c r="A452" s="3" t="inlineStr">
        <is>
          <t>Water</t>
        </is>
      </c>
      <c r="B452" s="3" t="n"/>
      <c r="C452" s="3" t="inlineStr">
        <is>
          <t>WATER</t>
        </is>
      </c>
      <c r="D45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2" s="3" t="inlineStr">
        <is>
          <t>monthly package</t>
        </is>
      </c>
      <c r="F452" s="3" t="n">
        <v>150</v>
      </c>
      <c r="G452" s="3" t="inlineStr">
        <is>
          <t>2022-04</t>
        </is>
      </c>
      <c r="H452" s="3" t="n">
        <v>153.2458</v>
      </c>
    </row>
    <row r="453" ht="20" customHeight="1">
      <c r="A453" s="3" t="inlineStr">
        <is>
          <t>Water</t>
        </is>
      </c>
      <c r="B453" s="3" t="n"/>
      <c r="C453" s="3" t="inlineStr">
        <is>
          <t>WATER</t>
        </is>
      </c>
      <c r="D45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3" s="3" t="inlineStr">
        <is>
          <t>monthly package</t>
        </is>
      </c>
      <c r="F453" s="3" t="n">
        <v>150</v>
      </c>
      <c r="G453" s="3" t="inlineStr">
        <is>
          <t>2022-05</t>
        </is>
      </c>
      <c r="H453" s="3" t="n">
        <v>153.186</v>
      </c>
    </row>
    <row r="454" ht="20" customHeight="1">
      <c r="A454" s="3" t="inlineStr">
        <is>
          <t>Water</t>
        </is>
      </c>
      <c r="B454" s="3" t="n"/>
      <c r="C454" s="3" t="inlineStr">
        <is>
          <t>WATER</t>
        </is>
      </c>
      <c r="D45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4" s="3" t="inlineStr">
        <is>
          <t>monthly package</t>
        </is>
      </c>
      <c r="F454" s="3" t="n">
        <v>150</v>
      </c>
      <c r="G454" s="3" t="inlineStr">
        <is>
          <t>2022-06</t>
        </is>
      </c>
      <c r="H454" s="3" t="n">
        <v>153.2126</v>
      </c>
    </row>
    <row r="455" ht="20" customHeight="1">
      <c r="A455" s="3" t="inlineStr">
        <is>
          <t>Water</t>
        </is>
      </c>
      <c r="B455" s="3" t="n"/>
      <c r="C455" s="3" t="inlineStr">
        <is>
          <t>WATER</t>
        </is>
      </c>
      <c r="D45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5" s="3" t="inlineStr">
        <is>
          <t>monthly package</t>
        </is>
      </c>
      <c r="F455" s="3" t="n">
        <v>150</v>
      </c>
      <c r="G455" s="3" t="inlineStr">
        <is>
          <t>2022-07</t>
        </is>
      </c>
      <c r="H455" s="3" t="n">
        <v>153.1926</v>
      </c>
    </row>
    <row r="456" ht="20" customHeight="1">
      <c r="A456" s="3" t="inlineStr">
        <is>
          <t>Water</t>
        </is>
      </c>
      <c r="B456" s="3" t="n"/>
      <c r="C456" s="3" t="inlineStr">
        <is>
          <t>WATER</t>
        </is>
      </c>
      <c r="D45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6" s="3" t="inlineStr">
        <is>
          <t>monthly package</t>
        </is>
      </c>
      <c r="F456" s="3" t="n">
        <v>150</v>
      </c>
      <c r="G456" s="3" t="inlineStr">
        <is>
          <t>2022-08</t>
        </is>
      </c>
      <c r="H456" s="3" t="n">
        <v>153.585</v>
      </c>
    </row>
    <row r="457" ht="20" customHeight="1">
      <c r="A457" s="3" t="inlineStr">
        <is>
          <t>Water</t>
        </is>
      </c>
      <c r="B457" s="3" t="n"/>
      <c r="C457" s="3" t="inlineStr">
        <is>
          <t>WATER</t>
        </is>
      </c>
      <c r="D45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7" s="3" t="inlineStr">
        <is>
          <t>monthly package</t>
        </is>
      </c>
      <c r="F457" s="3" t="n">
        <v>150</v>
      </c>
      <c r="G457" s="3" t="inlineStr">
        <is>
          <t>2022-09</t>
        </is>
      </c>
      <c r="H457" s="3" t="n">
        <v>153.6449</v>
      </c>
    </row>
    <row r="458" ht="20" customHeight="1">
      <c r="A458" s="3" t="inlineStr">
        <is>
          <t>Water</t>
        </is>
      </c>
      <c r="B458" s="3" t="n"/>
      <c r="C458" s="3" t="inlineStr">
        <is>
          <t>WATER</t>
        </is>
      </c>
      <c r="D45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8" s="3" t="inlineStr">
        <is>
          <t>monthly package</t>
        </is>
      </c>
      <c r="F458" s="3" t="n">
        <v>150</v>
      </c>
      <c r="G458" s="3" t="inlineStr">
        <is>
          <t>2022-10</t>
        </is>
      </c>
      <c r="H458" s="3" t="n">
        <v>153.6582</v>
      </c>
    </row>
    <row r="459" ht="20" customHeight="1">
      <c r="A459" s="3" t="inlineStr">
        <is>
          <t>Water</t>
        </is>
      </c>
      <c r="B459" s="3" t="n"/>
      <c r="C459" s="3" t="inlineStr">
        <is>
          <t>WATER</t>
        </is>
      </c>
      <c r="D45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9" s="3" t="inlineStr">
        <is>
          <t>monthly package</t>
        </is>
      </c>
      <c r="F459" s="3" t="n">
        <v>150</v>
      </c>
      <c r="G459" s="3" t="inlineStr">
        <is>
          <t>2022-11</t>
        </is>
      </c>
      <c r="H459" s="3" t="n">
        <v>153.8112</v>
      </c>
    </row>
    <row r="460" ht="20" customHeight="1">
      <c r="A460" s="3" t="inlineStr">
        <is>
          <t>Water</t>
        </is>
      </c>
      <c r="B460" s="3" t="n"/>
      <c r="C460" s="3" t="inlineStr">
        <is>
          <t>WATER</t>
        </is>
      </c>
      <c r="D46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0" s="3" t="inlineStr">
        <is>
          <t>monthly package</t>
        </is>
      </c>
      <c r="F460" s="3" t="n">
        <v>150</v>
      </c>
      <c r="G460" s="3" t="inlineStr">
        <is>
          <t>2022-12</t>
        </is>
      </c>
      <c r="H460" s="3" t="n">
        <v>153.8112</v>
      </c>
    </row>
    <row r="461" ht="20" customHeight="1">
      <c r="A461" s="3" t="inlineStr">
        <is>
          <t>Water</t>
        </is>
      </c>
      <c r="B461" s="3" t="n"/>
      <c r="C461" s="3" t="inlineStr">
        <is>
          <t>WATER</t>
        </is>
      </c>
      <c r="D46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1" s="3" t="inlineStr">
        <is>
          <t>monthly package</t>
        </is>
      </c>
      <c r="F461" s="3" t="n">
        <v>150</v>
      </c>
      <c r="G461" s="3" t="inlineStr">
        <is>
          <t>2023-01</t>
        </is>
      </c>
      <c r="H461" s="3" t="n">
        <v>154.6626</v>
      </c>
    </row>
    <row r="462" ht="20" customHeight="1">
      <c r="A462" s="3" t="inlineStr">
        <is>
          <t>Water</t>
        </is>
      </c>
      <c r="B462" s="3" t="n"/>
      <c r="C462" s="3" t="inlineStr">
        <is>
          <t>WATER</t>
        </is>
      </c>
      <c r="D46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2" s="3" t="inlineStr">
        <is>
          <t>monthly package</t>
        </is>
      </c>
      <c r="F462" s="3" t="n">
        <v>150</v>
      </c>
      <c r="G462" s="3" t="inlineStr">
        <is>
          <t>2023-02</t>
        </is>
      </c>
      <c r="H462" s="3" t="n">
        <v>156.3719</v>
      </c>
    </row>
    <row r="463" ht="20" customHeight="1">
      <c r="A463" s="3" t="inlineStr">
        <is>
          <t>Water</t>
        </is>
      </c>
      <c r="B463" s="3" t="n"/>
      <c r="C463" s="3" t="inlineStr">
        <is>
          <t>WATER</t>
        </is>
      </c>
      <c r="D46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3" s="3" t="inlineStr">
        <is>
          <t>monthly package</t>
        </is>
      </c>
      <c r="F463" s="3" t="n">
        <v>150</v>
      </c>
      <c r="G463" s="3" t="inlineStr">
        <is>
          <t>2023-03</t>
        </is>
      </c>
      <c r="H463" s="3" t="n">
        <v>157.7222</v>
      </c>
    </row>
    <row r="464" ht="20" customHeight="1">
      <c r="A464" s="3" t="inlineStr">
        <is>
          <t>Water</t>
        </is>
      </c>
      <c r="B464" s="3" t="n"/>
      <c r="C464" s="3" t="inlineStr">
        <is>
          <t>WATER</t>
        </is>
      </c>
      <c r="D46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4" s="3" t="inlineStr">
        <is>
          <t>monthly package</t>
        </is>
      </c>
      <c r="F464" s="3" t="n">
        <v>150</v>
      </c>
      <c r="G464" s="3" t="inlineStr">
        <is>
          <t>2023-04</t>
        </is>
      </c>
      <c r="H464" s="3" t="n">
        <v>158.9726</v>
      </c>
    </row>
    <row r="465" ht="20" customHeight="1">
      <c r="A465" s="3" t="inlineStr">
        <is>
          <t>Water</t>
        </is>
      </c>
      <c r="B465" s="3" t="n"/>
      <c r="C465" s="3" t="inlineStr">
        <is>
          <t>WATER</t>
        </is>
      </c>
      <c r="D46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5" s="3" t="inlineStr">
        <is>
          <t>monthly package</t>
        </is>
      </c>
      <c r="F465" s="3" t="n">
        <v>150</v>
      </c>
      <c r="G465" s="3" t="inlineStr">
        <is>
          <t>2023-05</t>
        </is>
      </c>
      <c r="H465" s="3" t="n">
        <v>159.0724</v>
      </c>
    </row>
    <row r="466" ht="20" customHeight="1">
      <c r="A466" s="3" t="inlineStr">
        <is>
          <t>Water</t>
        </is>
      </c>
      <c r="B466" s="3" t="n"/>
      <c r="C466" s="3" t="inlineStr">
        <is>
          <t>WATER</t>
        </is>
      </c>
      <c r="D46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6" s="3" t="inlineStr">
        <is>
          <t>monthly package</t>
        </is>
      </c>
      <c r="F466" s="3" t="n">
        <v>150</v>
      </c>
      <c r="G466" s="3" t="inlineStr">
        <is>
          <t>2023-06</t>
        </is>
      </c>
      <c r="H466" s="3" t="n">
        <v>159.3185</v>
      </c>
    </row>
    <row r="467" ht="20" customHeight="1">
      <c r="A467" s="3" t="inlineStr">
        <is>
          <t>Water</t>
        </is>
      </c>
      <c r="B467" s="3" t="n"/>
      <c r="C467" s="3" t="inlineStr">
        <is>
          <t>WATER</t>
        </is>
      </c>
      <c r="D46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7" s="3" t="inlineStr">
        <is>
          <t>monthly package</t>
        </is>
      </c>
      <c r="F467" s="3" t="n">
        <v>150</v>
      </c>
      <c r="G467" s="3" t="inlineStr">
        <is>
          <t>2023-07</t>
        </is>
      </c>
      <c r="H467" s="3" t="n">
        <v>159.6045</v>
      </c>
    </row>
    <row r="468" ht="20" customHeight="1">
      <c r="A468" s="3" t="inlineStr">
        <is>
          <t>Water</t>
        </is>
      </c>
      <c r="B468" s="3" t="n"/>
      <c r="C468" s="3" t="inlineStr">
        <is>
          <t>WATER</t>
        </is>
      </c>
      <c r="D46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8" s="3" t="inlineStr">
        <is>
          <t>monthly package</t>
        </is>
      </c>
      <c r="F468" s="3" t="n">
        <v>150</v>
      </c>
      <c r="G468" s="3" t="inlineStr">
        <is>
          <t>2023-08</t>
        </is>
      </c>
      <c r="H468" s="3" t="n">
        <v>159.8173</v>
      </c>
    </row>
    <row r="469" ht="20" customHeight="1">
      <c r="A469" s="3" t="inlineStr">
        <is>
          <t>Water</t>
        </is>
      </c>
      <c r="B469" s="3" t="n"/>
      <c r="C469" s="3" t="inlineStr">
        <is>
          <t>WATER</t>
        </is>
      </c>
      <c r="D46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9" s="3" t="inlineStr">
        <is>
          <t>monthly package</t>
        </is>
      </c>
      <c r="F469" s="3" t="n">
        <v>150</v>
      </c>
      <c r="G469" s="3" t="inlineStr">
        <is>
          <t>2023-09</t>
        </is>
      </c>
      <c r="H469" s="3" t="n">
        <v>160.1033</v>
      </c>
    </row>
    <row r="470" ht="20" customHeight="1">
      <c r="A470" s="3" t="inlineStr">
        <is>
          <t>Water</t>
        </is>
      </c>
      <c r="B470" s="3" t="n"/>
      <c r="C470" s="3" t="inlineStr">
        <is>
          <t>WATER</t>
        </is>
      </c>
      <c r="D47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0" s="3" t="inlineStr">
        <is>
          <t>monthly package</t>
        </is>
      </c>
      <c r="F470" s="3" t="n">
        <v>150</v>
      </c>
      <c r="G470" s="3" t="inlineStr">
        <is>
          <t>2023-10</t>
        </is>
      </c>
      <c r="H470" s="3" t="n">
        <v>160.1831</v>
      </c>
    </row>
    <row r="471" ht="20" customHeight="1">
      <c r="A471" s="3" t="inlineStr">
        <is>
          <t>Water</t>
        </is>
      </c>
      <c r="B471" s="3" t="n"/>
      <c r="C471" s="3" t="inlineStr">
        <is>
          <t>WATER</t>
        </is>
      </c>
      <c r="D47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1" s="3" t="inlineStr">
        <is>
          <t>monthly package</t>
        </is>
      </c>
      <c r="F471" s="3" t="n">
        <v>150</v>
      </c>
      <c r="G471" s="3" t="inlineStr">
        <is>
          <t>2023-11</t>
        </is>
      </c>
      <c r="H471" s="3" t="n">
        <v>160.2563</v>
      </c>
    </row>
    <row r="472" ht="20" customHeight="1">
      <c r="A472" s="3" t="inlineStr">
        <is>
          <t>Water</t>
        </is>
      </c>
      <c r="B472" s="3" t="n"/>
      <c r="C472" s="3" t="inlineStr">
        <is>
          <t>WATER</t>
        </is>
      </c>
      <c r="D47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2" s="3" t="inlineStr">
        <is>
          <t>monthly package</t>
        </is>
      </c>
      <c r="F472" s="3" t="n">
        <v>150</v>
      </c>
      <c r="G472" s="3" t="inlineStr">
        <is>
          <t>2023-12</t>
        </is>
      </c>
      <c r="H472" s="3" t="n">
        <v>160.3162</v>
      </c>
    </row>
    <row r="473" ht="20" customHeight="1">
      <c r="A473" s="3" t="inlineStr">
        <is>
          <t>Wheat flour T55/T65</t>
        </is>
      </c>
      <c r="B473" s="3" t="inlineStr">
        <is>
          <t>Wheat</t>
        </is>
      </c>
      <c r="C473" s="3" t="inlineStr">
        <is>
          <t>WHEAT</t>
        </is>
      </c>
      <c r="D47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3" s="3" t="inlineStr">
        <is>
          <t>kg</t>
        </is>
      </c>
      <c r="F473" s="3" t="n">
        <v>0.5600000000000001</v>
      </c>
      <c r="G473" s="3" t="inlineStr">
        <is>
          <t>2021-01</t>
        </is>
      </c>
      <c r="H473" s="3" t="n">
        <v>0.5600000000000001</v>
      </c>
    </row>
    <row r="474" ht="20" customHeight="1">
      <c r="A474" s="3" t="inlineStr">
        <is>
          <t>Wheat flour T55/T65</t>
        </is>
      </c>
      <c r="B474" s="3" t="inlineStr">
        <is>
          <t>Wheat</t>
        </is>
      </c>
      <c r="C474" s="3" t="inlineStr">
        <is>
          <t>WHEAT</t>
        </is>
      </c>
      <c r="D47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4" s="3" t="inlineStr">
        <is>
          <t>kg</t>
        </is>
      </c>
      <c r="F474" s="3" t="n">
        <v>0.5600000000000001</v>
      </c>
      <c r="G474" s="3" t="inlineStr">
        <is>
          <t>2021-02</t>
        </is>
      </c>
      <c r="H474" s="3" t="n">
        <v>0.5668</v>
      </c>
    </row>
    <row r="475" ht="20" customHeight="1">
      <c r="A475" s="3" t="inlineStr">
        <is>
          <t>Wheat flour T55/T65</t>
        </is>
      </c>
      <c r="B475" s="3" t="inlineStr">
        <is>
          <t>Wheat</t>
        </is>
      </c>
      <c r="C475" s="3" t="inlineStr">
        <is>
          <t>WHEAT</t>
        </is>
      </c>
      <c r="D47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5" s="3" t="inlineStr">
        <is>
          <t>kg</t>
        </is>
      </c>
      <c r="F475" s="3" t="n">
        <v>0.5600000000000001</v>
      </c>
      <c r="G475" s="3" t="inlineStr">
        <is>
          <t>2021-03</t>
        </is>
      </c>
      <c r="H475" s="3" t="n">
        <v>0.5356</v>
      </c>
    </row>
    <row r="476" ht="20" customHeight="1">
      <c r="A476" s="3" t="inlineStr">
        <is>
          <t>Wheat flour T55/T65</t>
        </is>
      </c>
      <c r="B476" s="3" t="inlineStr">
        <is>
          <t>Wheat</t>
        </is>
      </c>
      <c r="C476" s="3" t="inlineStr">
        <is>
          <t>WHEAT</t>
        </is>
      </c>
      <c r="D47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6" s="3" t="inlineStr">
        <is>
          <t>kg</t>
        </is>
      </c>
      <c r="F476" s="3" t="n">
        <v>0.5600000000000001</v>
      </c>
      <c r="G476" s="3" t="inlineStr">
        <is>
          <t>2021-04</t>
        </is>
      </c>
      <c r="H476" s="3" t="n">
        <v>0.5604</v>
      </c>
    </row>
    <row r="477" ht="20" customHeight="1">
      <c r="A477" s="3" t="inlineStr">
        <is>
          <t>Wheat flour T55/T65</t>
        </is>
      </c>
      <c r="B477" s="3" t="inlineStr">
        <is>
          <t>Wheat</t>
        </is>
      </c>
      <c r="C477" s="3" t="inlineStr">
        <is>
          <t>WHEAT</t>
        </is>
      </c>
      <c r="D47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7" s="3" t="inlineStr">
        <is>
          <t>kg</t>
        </is>
      </c>
      <c r="F477" s="3" t="n">
        <v>0.5600000000000001</v>
      </c>
      <c r="G477" s="3" t="inlineStr">
        <is>
          <t>2021-05</t>
        </is>
      </c>
      <c r="H477" s="3" t="n">
        <v>0.592</v>
      </c>
    </row>
    <row r="478" ht="20" customHeight="1">
      <c r="A478" s="3" t="inlineStr">
        <is>
          <t>Wheat flour T55/T65</t>
        </is>
      </c>
      <c r="B478" s="3" t="inlineStr">
        <is>
          <t>Wheat</t>
        </is>
      </c>
      <c r="C478" s="3" t="inlineStr">
        <is>
          <t>WHEAT</t>
        </is>
      </c>
      <c r="D47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8" s="3" t="inlineStr">
        <is>
          <t>kg</t>
        </is>
      </c>
      <c r="F478" s="3" t="n">
        <v>0.5600000000000001</v>
      </c>
      <c r="G478" s="3" t="inlineStr">
        <is>
          <t>2021-06</t>
        </is>
      </c>
      <c r="H478" s="3" t="n">
        <v>0.5584</v>
      </c>
    </row>
    <row r="479" ht="20" customHeight="1">
      <c r="A479" s="3" t="inlineStr">
        <is>
          <t>Wheat flour T55/T65</t>
        </is>
      </c>
      <c r="B479" s="3" t="inlineStr">
        <is>
          <t>Wheat</t>
        </is>
      </c>
      <c r="C479" s="3" t="inlineStr">
        <is>
          <t>WHEAT</t>
        </is>
      </c>
      <c r="D47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9" s="3" t="inlineStr">
        <is>
          <t>kg</t>
        </is>
      </c>
      <c r="F479" s="3" t="n">
        <v>0.5600000000000001</v>
      </c>
      <c r="G479" s="3" t="inlineStr">
        <is>
          <t>2021-07</t>
        </is>
      </c>
      <c r="H479" s="3" t="n">
        <v>0.5701000000000001</v>
      </c>
    </row>
    <row r="480" ht="20" customHeight="1">
      <c r="A480" s="3" t="inlineStr">
        <is>
          <t>Wheat flour T55/T65</t>
        </is>
      </c>
      <c r="B480" s="3" t="inlineStr">
        <is>
          <t>Wheat</t>
        </is>
      </c>
      <c r="C480" s="3" t="inlineStr">
        <is>
          <t>WHEAT</t>
        </is>
      </c>
      <c r="D48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0" s="3" t="inlineStr">
        <is>
          <t>kg</t>
        </is>
      </c>
      <c r="F480" s="3" t="n">
        <v>0.5600000000000001</v>
      </c>
      <c r="G480" s="3" t="inlineStr">
        <is>
          <t>2021-08</t>
        </is>
      </c>
      <c r="H480" s="3" t="n">
        <v>0.6401</v>
      </c>
    </row>
    <row r="481" ht="20" customHeight="1">
      <c r="A481" s="3" t="inlineStr">
        <is>
          <t>Wheat flour T55/T65</t>
        </is>
      </c>
      <c r="B481" s="3" t="inlineStr">
        <is>
          <t>Wheat</t>
        </is>
      </c>
      <c r="C481" s="3" t="inlineStr">
        <is>
          <t>WHEAT</t>
        </is>
      </c>
      <c r="D48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1" s="3" t="inlineStr">
        <is>
          <t>kg</t>
        </is>
      </c>
      <c r="F481" s="3" t="n">
        <v>0.5600000000000001</v>
      </c>
      <c r="G481" s="3" t="inlineStr">
        <is>
          <t>2021-09</t>
        </is>
      </c>
      <c r="H481" s="3" t="n">
        <v>0.6344</v>
      </c>
    </row>
    <row r="482" ht="20" customHeight="1">
      <c r="A482" s="3" t="inlineStr">
        <is>
          <t>Wheat flour T55/T65</t>
        </is>
      </c>
      <c r="B482" s="3" t="inlineStr">
        <is>
          <t>Wheat</t>
        </is>
      </c>
      <c r="C482" s="3" t="inlineStr">
        <is>
          <t>WHEAT</t>
        </is>
      </c>
      <c r="D48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2" s="3" t="inlineStr">
        <is>
          <t>kg</t>
        </is>
      </c>
      <c r="F482" s="3" t="n">
        <v>0.5600000000000001</v>
      </c>
      <c r="G482" s="3" t="inlineStr">
        <is>
          <t>2021-10</t>
        </is>
      </c>
      <c r="H482" s="3" t="n">
        <v>0.6788</v>
      </c>
    </row>
    <row r="483" ht="20" customHeight="1">
      <c r="A483" s="3" t="inlineStr">
        <is>
          <t>Wheat flour T55/T65</t>
        </is>
      </c>
      <c r="B483" s="3" t="inlineStr">
        <is>
          <t>Wheat</t>
        </is>
      </c>
      <c r="C483" s="3" t="inlineStr">
        <is>
          <t>WHEAT</t>
        </is>
      </c>
      <c r="D48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3" s="3" t="inlineStr">
        <is>
          <t>kg</t>
        </is>
      </c>
      <c r="F483" s="3" t="n">
        <v>0.5600000000000001</v>
      </c>
      <c r="G483" s="3" t="inlineStr">
        <is>
          <t>2021-11</t>
        </is>
      </c>
      <c r="H483" s="3" t="n">
        <v>0.7419</v>
      </c>
    </row>
    <row r="484" ht="20" customHeight="1">
      <c r="A484" s="3" t="inlineStr">
        <is>
          <t>Wheat flour T55/T65</t>
        </is>
      </c>
      <c r="B484" s="3" t="inlineStr">
        <is>
          <t>Wheat</t>
        </is>
      </c>
      <c r="C484" s="3" t="inlineStr">
        <is>
          <t>WHEAT</t>
        </is>
      </c>
      <c r="D48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4" s="3" t="inlineStr">
        <is>
          <t>kg</t>
        </is>
      </c>
      <c r="F484" s="3" t="n">
        <v>0.5600000000000001</v>
      </c>
      <c r="G484" s="3" t="inlineStr">
        <is>
          <t>2021-12</t>
        </is>
      </c>
      <c r="H484" s="3" t="n">
        <v>0.7376</v>
      </c>
    </row>
    <row r="485" ht="20" customHeight="1">
      <c r="A485" s="3" t="inlineStr">
        <is>
          <t>Wheat flour T55/T65</t>
        </is>
      </c>
      <c r="B485" s="3" t="inlineStr">
        <is>
          <t>Wheat</t>
        </is>
      </c>
      <c r="C485" s="3" t="inlineStr">
        <is>
          <t>WHEAT</t>
        </is>
      </c>
      <c r="D48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5" s="3" t="inlineStr">
        <is>
          <t>kg</t>
        </is>
      </c>
      <c r="F485" s="3" t="n">
        <v>0.5600000000000001</v>
      </c>
      <c r="G485" s="3" t="inlineStr">
        <is>
          <t>2022-01</t>
        </is>
      </c>
      <c r="H485" s="3" t="n">
        <v>0.7102000000000001</v>
      </c>
    </row>
    <row r="486" ht="20" customHeight="1">
      <c r="A486" s="3" t="inlineStr">
        <is>
          <t>Wheat flour T55/T65</t>
        </is>
      </c>
      <c r="B486" s="3" t="inlineStr">
        <is>
          <t>Wheat</t>
        </is>
      </c>
      <c r="C486" s="3" t="inlineStr">
        <is>
          <t>WHEAT</t>
        </is>
      </c>
      <c r="D48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6" s="3" t="inlineStr">
        <is>
          <t>kg</t>
        </is>
      </c>
      <c r="F486" s="3" t="n">
        <v>0.5600000000000001</v>
      </c>
      <c r="G486" s="3" t="inlineStr">
        <is>
          <t>2022-02</t>
        </is>
      </c>
      <c r="H486" s="3" t="n">
        <v>0.7503</v>
      </c>
    </row>
    <row r="487" ht="20" customHeight="1">
      <c r="A487" s="3" t="inlineStr">
        <is>
          <t>Wheat flour T55/T65</t>
        </is>
      </c>
      <c r="B487" s="3" t="inlineStr">
        <is>
          <t>Wheat</t>
        </is>
      </c>
      <c r="C487" s="3" t="inlineStr">
        <is>
          <t>WHEAT</t>
        </is>
      </c>
      <c r="D48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7" s="3" t="inlineStr">
        <is>
          <t>kg</t>
        </is>
      </c>
      <c r="F487" s="3" t="n">
        <v>0.5600000000000001</v>
      </c>
      <c r="G487" s="3" t="inlineStr">
        <is>
          <t>2022-03</t>
        </is>
      </c>
      <c r="H487" s="3" t="n">
        <v>0.9893999999999999</v>
      </c>
    </row>
    <row r="488" ht="20" customHeight="1">
      <c r="A488" s="3" t="inlineStr">
        <is>
          <t>Wheat flour T55/T65</t>
        </is>
      </c>
      <c r="B488" s="3" t="inlineStr">
        <is>
          <t>Wheat</t>
        </is>
      </c>
      <c r="C488" s="3" t="inlineStr">
        <is>
          <t>WHEAT</t>
        </is>
      </c>
      <c r="D48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8" s="3" t="inlineStr">
        <is>
          <t>kg</t>
        </is>
      </c>
      <c r="F488" s="3" t="n">
        <v>0.5600000000000001</v>
      </c>
      <c r="G488" s="3" t="inlineStr">
        <is>
          <t>2022-04</t>
        </is>
      </c>
      <c r="H488" s="3" t="n">
        <v>1.0118</v>
      </c>
    </row>
    <row r="489" ht="20" customHeight="1">
      <c r="A489" s="3" t="inlineStr">
        <is>
          <t>Wheat flour T55/T65</t>
        </is>
      </c>
      <c r="B489" s="3" t="inlineStr">
        <is>
          <t>Wheat</t>
        </is>
      </c>
      <c r="C489" s="3" t="inlineStr">
        <is>
          <t>WHEAT</t>
        </is>
      </c>
      <c r="D48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9" s="3" t="inlineStr">
        <is>
          <t>kg</t>
        </is>
      </c>
      <c r="F489" s="3" t="n">
        <v>0.5600000000000001</v>
      </c>
      <c r="G489" s="3" t="inlineStr">
        <is>
          <t>2022-05</t>
        </is>
      </c>
      <c r="H489" s="3" t="n">
        <v>1.0976</v>
      </c>
    </row>
    <row r="490" ht="20" customHeight="1">
      <c r="A490" s="3" t="inlineStr">
        <is>
          <t>Wheat flour T55/T65</t>
        </is>
      </c>
      <c r="B490" s="3" t="inlineStr">
        <is>
          <t>Wheat</t>
        </is>
      </c>
      <c r="C490" s="3" t="inlineStr">
        <is>
          <t>WHEAT</t>
        </is>
      </c>
      <c r="D49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0" s="3" t="inlineStr">
        <is>
          <t>kg</t>
        </is>
      </c>
      <c r="F490" s="3" t="n">
        <v>0.5600000000000001</v>
      </c>
      <c r="G490" s="3" t="inlineStr">
        <is>
          <t>2022-06</t>
        </is>
      </c>
      <c r="H490" s="3" t="n">
        <v>0.9787</v>
      </c>
    </row>
    <row r="491" ht="20" customHeight="1">
      <c r="A491" s="3" t="inlineStr">
        <is>
          <t>Wheat flour T55/T65</t>
        </is>
      </c>
      <c r="B491" s="3" t="inlineStr">
        <is>
          <t>Wheat</t>
        </is>
      </c>
      <c r="C491" s="3" t="inlineStr">
        <is>
          <t>WHEAT</t>
        </is>
      </c>
      <c r="D49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1" s="3" t="inlineStr">
        <is>
          <t>kg</t>
        </is>
      </c>
      <c r="F491" s="3" t="n">
        <v>0.5600000000000001</v>
      </c>
      <c r="G491" s="3" t="inlineStr">
        <is>
          <t>2022-07</t>
        </is>
      </c>
      <c r="H491" s="3" t="n">
        <v>0.7848000000000001</v>
      </c>
    </row>
    <row r="492" ht="20" customHeight="1">
      <c r="A492" s="3" t="inlineStr">
        <is>
          <t>Wheat flour T55/T65</t>
        </is>
      </c>
      <c r="B492" s="3" t="inlineStr">
        <is>
          <t>Wheat</t>
        </is>
      </c>
      <c r="C492" s="3" t="inlineStr">
        <is>
          <t>WHEAT</t>
        </is>
      </c>
      <c r="D49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2" s="3" t="inlineStr">
        <is>
          <t>kg</t>
        </is>
      </c>
      <c r="F492" s="3" t="n">
        <v>0.5600000000000001</v>
      </c>
      <c r="G492" s="3" t="inlineStr">
        <is>
          <t>2022-08</t>
        </is>
      </c>
      <c r="H492" s="3" t="n">
        <v>0.7827</v>
      </c>
    </row>
    <row r="493" ht="20" customHeight="1">
      <c r="A493" s="3" t="inlineStr">
        <is>
          <t>Wheat flour T55/T65</t>
        </is>
      </c>
      <c r="B493" s="3" t="inlineStr">
        <is>
          <t>Wheat</t>
        </is>
      </c>
      <c r="C493" s="3" t="inlineStr">
        <is>
          <t>WHEAT</t>
        </is>
      </c>
      <c r="D49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3" s="3" t="inlineStr">
        <is>
          <t>kg</t>
        </is>
      </c>
      <c r="F493" s="3" t="n">
        <v>0.5600000000000001</v>
      </c>
      <c r="G493" s="3" t="inlineStr">
        <is>
          <t>2022-09</t>
        </is>
      </c>
      <c r="H493" s="3" t="n">
        <v>0.8399</v>
      </c>
    </row>
    <row r="494" ht="20" customHeight="1">
      <c r="A494" s="3" t="inlineStr">
        <is>
          <t>Wheat flour T55/T65</t>
        </is>
      </c>
      <c r="B494" s="3" t="inlineStr">
        <is>
          <t>Wheat</t>
        </is>
      </c>
      <c r="C494" s="3" t="inlineStr">
        <is>
          <t>WHEAT</t>
        </is>
      </c>
      <c r="D49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4" s="3" t="inlineStr">
        <is>
          <t>kg</t>
        </is>
      </c>
      <c r="F494" s="3" t="n">
        <v>0.5600000000000001</v>
      </c>
      <c r="G494" s="3" t="inlineStr">
        <is>
          <t>2022-10</t>
        </is>
      </c>
      <c r="H494" s="3" t="n">
        <v>0.8657</v>
      </c>
    </row>
    <row r="495" ht="20" customHeight="1">
      <c r="A495" s="3" t="inlineStr">
        <is>
          <t>Wheat flour T55/T65</t>
        </is>
      </c>
      <c r="B495" s="3" t="inlineStr">
        <is>
          <t>Wheat</t>
        </is>
      </c>
      <c r="C495" s="3" t="inlineStr">
        <is>
          <t>WHEAT</t>
        </is>
      </c>
      <c r="D49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5" s="3" t="inlineStr">
        <is>
          <t>kg</t>
        </is>
      </c>
      <c r="F495" s="3" t="n">
        <v>0.5600000000000001</v>
      </c>
      <c r="G495" s="3" t="inlineStr">
        <is>
          <t>2022-11</t>
        </is>
      </c>
      <c r="H495" s="3" t="n">
        <v>0.8442</v>
      </c>
    </row>
    <row r="496" ht="20" customHeight="1">
      <c r="A496" s="3" t="inlineStr">
        <is>
          <t>Wheat flour T55/T65</t>
        </is>
      </c>
      <c r="B496" s="3" t="inlineStr">
        <is>
          <t>Wheat</t>
        </is>
      </c>
      <c r="C496" s="3" t="inlineStr">
        <is>
          <t>WHEAT</t>
        </is>
      </c>
      <c r="D49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6" s="3" t="inlineStr">
        <is>
          <t>kg</t>
        </is>
      </c>
      <c r="F496" s="3" t="n">
        <v>0.5600000000000001</v>
      </c>
      <c r="G496" s="3" t="inlineStr">
        <is>
          <t>2022-12</t>
        </is>
      </c>
      <c r="H496" s="3" t="n">
        <v>0.7794</v>
      </c>
    </row>
    <row r="497" ht="20" customHeight="1">
      <c r="A497" s="3" t="inlineStr">
        <is>
          <t>Wheat flour T55/T65</t>
        </is>
      </c>
      <c r="B497" s="3" t="inlineStr">
        <is>
          <t>Wheat</t>
        </is>
      </c>
      <c r="C497" s="3" t="inlineStr">
        <is>
          <t>WHEAT</t>
        </is>
      </c>
      <c r="D49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7" s="3" t="inlineStr">
        <is>
          <t>kg</t>
        </is>
      </c>
      <c r="F497" s="3" t="n">
        <v>0.5600000000000001</v>
      </c>
      <c r="G497" s="3" t="inlineStr">
        <is>
          <t>2023-01</t>
        </is>
      </c>
      <c r="H497" s="3" t="n">
        <v>0.7595</v>
      </c>
    </row>
    <row r="498" ht="20" customHeight="1">
      <c r="A498" s="3" t="inlineStr">
        <is>
          <t>Wheat flour T55/T65</t>
        </is>
      </c>
      <c r="B498" s="3" t="inlineStr">
        <is>
          <t>Wheat</t>
        </is>
      </c>
      <c r="C498" s="3" t="inlineStr">
        <is>
          <t>WHEAT</t>
        </is>
      </c>
      <c r="D49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8" s="3" t="inlineStr">
        <is>
          <t>kg</t>
        </is>
      </c>
      <c r="F498" s="3" t="n">
        <v>0.5600000000000001</v>
      </c>
      <c r="G498" s="3" t="inlineStr">
        <is>
          <t>2023-02</t>
        </is>
      </c>
      <c r="H498" s="3" t="n">
        <v>0.792</v>
      </c>
    </row>
    <row r="499" ht="20" customHeight="1">
      <c r="A499" s="3" t="inlineStr">
        <is>
          <t>Wheat flour T55/T65</t>
        </is>
      </c>
      <c r="B499" s="3" t="inlineStr">
        <is>
          <t>Wheat</t>
        </is>
      </c>
      <c r="C499" s="3" t="inlineStr">
        <is>
          <t>WHEAT</t>
        </is>
      </c>
      <c r="D49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9" s="3" t="inlineStr">
        <is>
          <t>kg</t>
        </is>
      </c>
      <c r="F499" s="3" t="n">
        <v>0.5600000000000001</v>
      </c>
      <c r="G499" s="3" t="inlineStr">
        <is>
          <t>2023-03</t>
        </is>
      </c>
      <c r="H499" s="3" t="n">
        <v>0.7463</v>
      </c>
    </row>
    <row r="500" ht="20" customHeight="1">
      <c r="A500" s="3" t="inlineStr">
        <is>
          <t>Wheat flour T55/T65</t>
        </is>
      </c>
      <c r="B500" s="3" t="inlineStr">
        <is>
          <t>Wheat</t>
        </is>
      </c>
      <c r="C500" s="3" t="inlineStr">
        <is>
          <t>WHEAT</t>
        </is>
      </c>
      <c r="D50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0" s="3" t="inlineStr">
        <is>
          <t>kg</t>
        </is>
      </c>
      <c r="F500" s="3" t="n">
        <v>0.5600000000000001</v>
      </c>
      <c r="G500" s="3" t="inlineStr">
        <is>
          <t>2023-04</t>
        </is>
      </c>
      <c r="H500" s="3" t="n">
        <v>0.7654</v>
      </c>
    </row>
    <row r="501" ht="20" customHeight="1">
      <c r="A501" s="3" t="inlineStr">
        <is>
          <t>Wheat flour T55/T65</t>
        </is>
      </c>
      <c r="B501" s="3" t="inlineStr">
        <is>
          <t>Wheat</t>
        </is>
      </c>
      <c r="C501" s="3" t="inlineStr">
        <is>
          <t>WHEAT</t>
        </is>
      </c>
      <c r="D50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1" s="3" t="inlineStr">
        <is>
          <t>kg</t>
        </is>
      </c>
      <c r="F501" s="3" t="n">
        <v>0.5600000000000001</v>
      </c>
      <c r="G501" s="3" t="inlineStr">
        <is>
          <t>2023-05</t>
        </is>
      </c>
      <c r="H501" s="3" t="n">
        <v>0.7622</v>
      </c>
    </row>
    <row r="502" ht="20" customHeight="1">
      <c r="A502" s="3" t="inlineStr">
        <is>
          <t>Wheat flour T55/T65</t>
        </is>
      </c>
      <c r="B502" s="3" t="inlineStr">
        <is>
          <t>Wheat</t>
        </is>
      </c>
      <c r="C502" s="3" t="inlineStr">
        <is>
          <t>WHEAT</t>
        </is>
      </c>
      <c r="D50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2" s="3" t="inlineStr">
        <is>
          <t>kg</t>
        </is>
      </c>
      <c r="F502" s="3" t="n">
        <v>0.5600000000000001</v>
      </c>
      <c r="G502" s="3" t="inlineStr">
        <is>
          <t>2023-06</t>
        </is>
      </c>
      <c r="H502" s="3" t="n">
        <v>0.7376</v>
      </c>
    </row>
    <row r="503" ht="20" customHeight="1">
      <c r="A503" s="3" t="inlineStr">
        <is>
          <t>Wheat flour T55/T65</t>
        </is>
      </c>
      <c r="B503" s="3" t="inlineStr">
        <is>
          <t>Wheat</t>
        </is>
      </c>
      <c r="C503" s="3" t="inlineStr">
        <is>
          <t>WHEAT</t>
        </is>
      </c>
      <c r="D50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3" s="3" t="inlineStr">
        <is>
          <t>kg</t>
        </is>
      </c>
      <c r="F503" s="3" t="n">
        <v>0.5600000000000001</v>
      </c>
      <c r="G503" s="3" t="inlineStr">
        <is>
          <t>2023-07</t>
        </is>
      </c>
      <c r="H503" s="3" t="n">
        <v>0.7582</v>
      </c>
    </row>
    <row r="504" ht="20" customHeight="1">
      <c r="A504" s="3" t="inlineStr">
        <is>
          <t>Wheat flour T55/T65</t>
        </is>
      </c>
      <c r="B504" s="3" t="inlineStr">
        <is>
          <t>Wheat</t>
        </is>
      </c>
      <c r="C504" s="3" t="inlineStr">
        <is>
          <t>WHEAT</t>
        </is>
      </c>
      <c r="D50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4" s="3" t="inlineStr">
        <is>
          <t>kg</t>
        </is>
      </c>
      <c r="F504" s="3" t="n">
        <v>0.5600000000000001</v>
      </c>
      <c r="G504" s="3" t="inlineStr">
        <is>
          <t>2023-08</t>
        </is>
      </c>
      <c r="H504" s="3" t="n">
        <v>0.6765</v>
      </c>
    </row>
    <row r="505" ht="20" customHeight="1">
      <c r="A505" s="3" t="inlineStr">
        <is>
          <t>Wheat flour T55/T65</t>
        </is>
      </c>
      <c r="B505" s="3" t="inlineStr">
        <is>
          <t>Wheat</t>
        </is>
      </c>
      <c r="C505" s="3" t="inlineStr">
        <is>
          <t>WHEAT</t>
        </is>
      </c>
      <c r="D50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5" s="3" t="inlineStr">
        <is>
          <t>kg</t>
        </is>
      </c>
      <c r="F505" s="3" t="n">
        <v>0.5600000000000001</v>
      </c>
      <c r="G505" s="3" t="inlineStr">
        <is>
          <t>2023-09</t>
        </is>
      </c>
      <c r="H505" s="3" t="n">
        <v>0.6475</v>
      </c>
    </row>
    <row r="506" ht="20" customHeight="1">
      <c r="A506" s="3" t="inlineStr">
        <is>
          <t>Wheat flour T55/T65</t>
        </is>
      </c>
      <c r="B506" s="3" t="inlineStr">
        <is>
          <t>Wheat</t>
        </is>
      </c>
      <c r="C506" s="3" t="inlineStr">
        <is>
          <t>WHEAT</t>
        </is>
      </c>
      <c r="D50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6" s="3" t="inlineStr">
        <is>
          <t>kg</t>
        </is>
      </c>
      <c r="F506" s="3" t="n">
        <v>0.5600000000000001</v>
      </c>
      <c r="G506" s="3" t="inlineStr">
        <is>
          <t>2023-10</t>
        </is>
      </c>
      <c r="H506" s="3" t="n">
        <v>0.5998</v>
      </c>
    </row>
    <row r="507" ht="20" customHeight="1">
      <c r="A507" s="3" t="inlineStr">
        <is>
          <t>Wheat flour T55/T65</t>
        </is>
      </c>
      <c r="B507" s="3" t="inlineStr">
        <is>
          <t>Wheat</t>
        </is>
      </c>
      <c r="C507" s="3" t="inlineStr">
        <is>
          <t>WHEAT</t>
        </is>
      </c>
      <c r="D50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7" s="3" t="inlineStr">
        <is>
          <t>kg</t>
        </is>
      </c>
      <c r="F507" s="3" t="n">
        <v>0.5600000000000001</v>
      </c>
      <c r="G507" s="3" t="inlineStr">
        <is>
          <t>2023-11</t>
        </is>
      </c>
      <c r="H507" s="3" t="n">
        <v>0.5673</v>
      </c>
    </row>
    <row r="508" ht="20" customHeight="1">
      <c r="A508" s="3" t="inlineStr">
        <is>
          <t>Wheat flour T55/T65</t>
        </is>
      </c>
      <c r="B508" s="3" t="inlineStr">
        <is>
          <t>Wheat</t>
        </is>
      </c>
      <c r="C508" s="3" t="inlineStr">
        <is>
          <t>WHEAT</t>
        </is>
      </c>
      <c r="D50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8" s="3" t="inlineStr">
        <is>
          <t>kg</t>
        </is>
      </c>
      <c r="F508" s="3" t="n">
        <v>0.5600000000000001</v>
      </c>
      <c r="G508" s="3" t="inlineStr">
        <is>
          <t>2023-12</t>
        </is>
      </c>
      <c r="H508" s="3" t="n">
        <v>0.5765</v>
      </c>
    </row>
    <row r="509" ht="20" customHeight="1">
      <c r="A509" s="3" t="inlineStr">
        <is>
          <t>Baker's yeast</t>
        </is>
      </c>
      <c r="B509" s="3" t="n"/>
      <c r="C509" s="3" t="inlineStr">
        <is>
          <t>YEAST</t>
        </is>
      </c>
      <c r="D509" s="3" t="inlineStr">
        <is>
          <t xml:space="preserve">INSEE BDM 010763751: Indice de prix de production de l'industrie française pour le marché français − CPF 10.89 − Autres produits alimentaires n.c.a. </t>
        </is>
      </c>
      <c r="E509" s="3" t="inlineStr">
        <is>
          <t>kg</t>
        </is>
      </c>
      <c r="F509" s="3" t="n">
        <v>3.6</v>
      </c>
      <c r="G509" s="3" t="inlineStr">
        <is>
          <t>2021-01</t>
        </is>
      </c>
      <c r="H509" s="3" t="n">
        <v>3.6</v>
      </c>
    </row>
    <row r="510" ht="20" customHeight="1">
      <c r="A510" s="3" t="inlineStr">
        <is>
          <t>Baker's yeast</t>
        </is>
      </c>
      <c r="B510" s="3" t="n"/>
      <c r="C510" s="3" t="inlineStr">
        <is>
          <t>YEAST</t>
        </is>
      </c>
      <c r="D510" s="3" t="inlineStr">
        <is>
          <t xml:space="preserve">INSEE BDM 010763751: Indice de prix de production de l'industrie française pour le marché français − CPF 10.89 − Autres produits alimentaires n.c.a. </t>
        </is>
      </c>
      <c r="E510" s="3" t="inlineStr">
        <is>
          <t>kg</t>
        </is>
      </c>
      <c r="F510" s="3" t="n">
        <v>3.6</v>
      </c>
      <c r="G510" s="3" t="inlineStr">
        <is>
          <t>2021-02</t>
        </is>
      </c>
      <c r="H510" s="3" t="n">
        <v>3.5568</v>
      </c>
    </row>
    <row r="511" ht="20" customHeight="1">
      <c r="A511" s="3" t="inlineStr">
        <is>
          <t>Baker's yeast</t>
        </is>
      </c>
      <c r="B511" s="3" t="n"/>
      <c r="C511" s="3" t="inlineStr">
        <is>
          <t>YEAST</t>
        </is>
      </c>
      <c r="D511" s="3" t="inlineStr">
        <is>
          <t xml:space="preserve">INSEE BDM 010763751: Indice de prix de production de l'industrie française pour le marché français − CPF 10.89 − Autres produits alimentaires n.c.a. </t>
        </is>
      </c>
      <c r="E511" s="3" t="inlineStr">
        <is>
          <t>kg</t>
        </is>
      </c>
      <c r="F511" s="3" t="n">
        <v>3.6</v>
      </c>
      <c r="G511" s="3" t="inlineStr">
        <is>
          <t>2021-03</t>
        </is>
      </c>
      <c r="H511" s="3" t="n">
        <v>3.6072</v>
      </c>
    </row>
    <row r="512" ht="20" customHeight="1">
      <c r="A512" s="3" t="inlineStr">
        <is>
          <t>Baker's yeast</t>
        </is>
      </c>
      <c r="B512" s="3" t="n"/>
      <c r="C512" s="3" t="inlineStr">
        <is>
          <t>YEAST</t>
        </is>
      </c>
      <c r="D512" s="3" t="inlineStr">
        <is>
          <t xml:space="preserve">INSEE BDM 010763751: Indice de prix de production de l'industrie française pour le marché français − CPF 10.89 − Autres produits alimentaires n.c.a. </t>
        </is>
      </c>
      <c r="E512" s="3" t="inlineStr">
        <is>
          <t>kg</t>
        </is>
      </c>
      <c r="F512" s="3" t="n">
        <v>3.6</v>
      </c>
      <c r="G512" s="3" t="inlineStr">
        <is>
          <t>2021-04</t>
        </is>
      </c>
      <c r="H512" s="3" t="n">
        <v>3.5892</v>
      </c>
    </row>
    <row r="513" ht="20" customHeight="1">
      <c r="A513" s="3" t="inlineStr">
        <is>
          <t>Baker's yeast</t>
        </is>
      </c>
      <c r="B513" s="3" t="n"/>
      <c r="C513" s="3" t="inlineStr">
        <is>
          <t>YEAST</t>
        </is>
      </c>
      <c r="D513" s="3" t="inlineStr">
        <is>
          <t xml:space="preserve">INSEE BDM 010763751: Indice de prix de production de l'industrie française pour le marché français − CPF 10.89 − Autres produits alimentaires n.c.a. </t>
        </is>
      </c>
      <c r="E513" s="3" t="inlineStr">
        <is>
          <t>kg</t>
        </is>
      </c>
      <c r="F513" s="3" t="n">
        <v>3.6</v>
      </c>
      <c r="G513" s="3" t="inlineStr">
        <is>
          <t>2021-05</t>
        </is>
      </c>
      <c r="H513" s="3" t="n">
        <v>3.5892</v>
      </c>
    </row>
    <row r="514" ht="20" customHeight="1">
      <c r="A514" s="3" t="inlineStr">
        <is>
          <t>Baker's yeast</t>
        </is>
      </c>
      <c r="B514" s="3" t="n"/>
      <c r="C514" s="3" t="inlineStr">
        <is>
          <t>YEAST</t>
        </is>
      </c>
      <c r="D514" s="3" t="inlineStr">
        <is>
          <t xml:space="preserve">INSEE BDM 010763751: Indice de prix de production de l'industrie française pour le marché français − CPF 10.89 − Autres produits alimentaires n.c.a. </t>
        </is>
      </c>
      <c r="E514" s="3" t="inlineStr">
        <is>
          <t>kg</t>
        </is>
      </c>
      <c r="F514" s="3" t="n">
        <v>3.6</v>
      </c>
      <c r="G514" s="3" t="inlineStr">
        <is>
          <t>2021-06</t>
        </is>
      </c>
      <c r="H514" s="3" t="n">
        <v>3.5928</v>
      </c>
    </row>
    <row r="515" ht="20" customHeight="1">
      <c r="A515" s="3" t="inlineStr">
        <is>
          <t>Baker's yeast</t>
        </is>
      </c>
      <c r="B515" s="3" t="n"/>
      <c r="C515" s="3" t="inlineStr">
        <is>
          <t>YEAST</t>
        </is>
      </c>
      <c r="D515" s="3" t="inlineStr">
        <is>
          <t xml:space="preserve">INSEE BDM 010763751: Indice de prix de production de l'industrie française pour le marché français − CPF 10.89 − Autres produits alimentaires n.c.a. </t>
        </is>
      </c>
      <c r="E515" s="3" t="inlineStr">
        <is>
          <t>kg</t>
        </is>
      </c>
      <c r="F515" s="3" t="n">
        <v>3.6</v>
      </c>
      <c r="G515" s="3" t="inlineStr">
        <is>
          <t>2021-07</t>
        </is>
      </c>
      <c r="H515" s="3" t="n">
        <v>3.5459</v>
      </c>
    </row>
    <row r="516" ht="20" customHeight="1">
      <c r="A516" s="3" t="inlineStr">
        <is>
          <t>Baker's yeast</t>
        </is>
      </c>
      <c r="B516" s="3" t="n"/>
      <c r="C516" s="3" t="inlineStr">
        <is>
          <t>YEAST</t>
        </is>
      </c>
      <c r="D516" s="3" t="inlineStr">
        <is>
          <t xml:space="preserve">INSEE BDM 010763751: Indice de prix de production de l'industrie française pour le marché français − CPF 10.89 − Autres produits alimentaires n.c.a. </t>
        </is>
      </c>
      <c r="E516" s="3" t="inlineStr">
        <is>
          <t>kg</t>
        </is>
      </c>
      <c r="F516" s="3" t="n">
        <v>3.6</v>
      </c>
      <c r="G516" s="3" t="inlineStr">
        <is>
          <t>2021-08</t>
        </is>
      </c>
      <c r="H516" s="3" t="n">
        <v>3.5784</v>
      </c>
    </row>
    <row r="517" ht="20" customHeight="1">
      <c r="A517" s="3" t="inlineStr">
        <is>
          <t>Baker's yeast</t>
        </is>
      </c>
      <c r="B517" s="3" t="n"/>
      <c r="C517" s="3" t="inlineStr">
        <is>
          <t>YEAST</t>
        </is>
      </c>
      <c r="D517" s="3" t="inlineStr">
        <is>
          <t xml:space="preserve">INSEE BDM 010763751: Indice de prix de production de l'industrie française pour le marché français − CPF 10.89 − Autres produits alimentaires n.c.a. </t>
        </is>
      </c>
      <c r="E517" s="3" t="inlineStr">
        <is>
          <t>kg</t>
        </is>
      </c>
      <c r="F517" s="3" t="n">
        <v>3.6</v>
      </c>
      <c r="G517" s="3" t="inlineStr">
        <is>
          <t>2021-09</t>
        </is>
      </c>
      <c r="H517" s="3" t="n">
        <v>3.6072</v>
      </c>
    </row>
    <row r="518" ht="20" customHeight="1">
      <c r="A518" s="3" t="inlineStr">
        <is>
          <t>Baker's yeast</t>
        </is>
      </c>
      <c r="B518" s="3" t="n"/>
      <c r="C518" s="3" t="inlineStr">
        <is>
          <t>YEAST</t>
        </is>
      </c>
      <c r="D518" s="3" t="inlineStr">
        <is>
          <t xml:space="preserve">INSEE BDM 010763751: Indice de prix de production de l'industrie française pour le marché français − CPF 10.89 − Autres produits alimentaires n.c.a. </t>
        </is>
      </c>
      <c r="E518" s="3" t="inlineStr">
        <is>
          <t>kg</t>
        </is>
      </c>
      <c r="F518" s="3" t="n">
        <v>3.6</v>
      </c>
      <c r="G518" s="3" t="inlineStr">
        <is>
          <t>2021-10</t>
        </is>
      </c>
      <c r="H518" s="3" t="n">
        <v>3.6216</v>
      </c>
    </row>
    <row r="519" ht="20" customHeight="1">
      <c r="A519" s="3" t="inlineStr">
        <is>
          <t>Baker's yeast</t>
        </is>
      </c>
      <c r="B519" s="3" t="n"/>
      <c r="C519" s="3" t="inlineStr">
        <is>
          <t>YEAST</t>
        </is>
      </c>
      <c r="D519" s="3" t="inlineStr">
        <is>
          <t xml:space="preserve">INSEE BDM 010763751: Indice de prix de production de l'industrie française pour le marché français − CPF 10.89 − Autres produits alimentaires n.c.a. </t>
        </is>
      </c>
      <c r="E519" s="3" t="inlineStr">
        <is>
          <t>kg</t>
        </is>
      </c>
      <c r="F519" s="3" t="n">
        <v>3.6</v>
      </c>
      <c r="G519" s="3" t="inlineStr">
        <is>
          <t>2021-11</t>
        </is>
      </c>
      <c r="H519" s="3" t="n">
        <v>3.6685</v>
      </c>
    </row>
    <row r="520" ht="20" customHeight="1">
      <c r="A520" s="3" t="inlineStr">
        <is>
          <t>Baker's yeast</t>
        </is>
      </c>
      <c r="B520" s="3" t="n"/>
      <c r="C520" s="3" t="inlineStr">
        <is>
          <t>YEAST</t>
        </is>
      </c>
      <c r="D520" s="3" t="inlineStr">
        <is>
          <t xml:space="preserve">INSEE BDM 010763751: Indice de prix de production de l'industrie française pour le marché français − CPF 10.89 − Autres produits alimentaires n.c.a. </t>
        </is>
      </c>
      <c r="E520" s="3" t="inlineStr">
        <is>
          <t>kg</t>
        </is>
      </c>
      <c r="F520" s="3" t="n">
        <v>3.6</v>
      </c>
      <c r="G520" s="3" t="inlineStr">
        <is>
          <t>2021-12</t>
        </is>
      </c>
      <c r="H520" s="3" t="n">
        <v>3.6793</v>
      </c>
    </row>
    <row r="521" ht="20" customHeight="1">
      <c r="A521" s="3" t="inlineStr">
        <is>
          <t>Baker's yeast</t>
        </is>
      </c>
      <c r="B521" s="3" t="n"/>
      <c r="C521" s="3" t="inlineStr">
        <is>
          <t>YEAST</t>
        </is>
      </c>
      <c r="D521" s="3" t="inlineStr">
        <is>
          <t xml:space="preserve">INSEE BDM 010763751: Indice de prix de production de l'industrie française pour le marché français − CPF 10.89 − Autres produits alimentaires n.c.a. </t>
        </is>
      </c>
      <c r="E521" s="3" t="inlineStr">
        <is>
          <t>kg</t>
        </is>
      </c>
      <c r="F521" s="3" t="n">
        <v>3.6</v>
      </c>
      <c r="G521" s="3" t="inlineStr">
        <is>
          <t>2022-01</t>
        </is>
      </c>
      <c r="H521" s="3" t="n">
        <v>3.7405</v>
      </c>
    </row>
    <row r="522" ht="20" customHeight="1">
      <c r="A522" s="3" t="inlineStr">
        <is>
          <t>Baker's yeast</t>
        </is>
      </c>
      <c r="B522" s="3" t="n"/>
      <c r="C522" s="3" t="inlineStr">
        <is>
          <t>YEAST</t>
        </is>
      </c>
      <c r="D522" s="3" t="inlineStr">
        <is>
          <t xml:space="preserve">INSEE BDM 010763751: Indice de prix de production de l'industrie française pour le marché français − CPF 10.89 − Autres produits alimentaires n.c.a. </t>
        </is>
      </c>
      <c r="E522" s="3" t="inlineStr">
        <is>
          <t>kg</t>
        </is>
      </c>
      <c r="F522" s="3" t="n">
        <v>3.6</v>
      </c>
      <c r="G522" s="3" t="inlineStr">
        <is>
          <t>2022-02</t>
        </is>
      </c>
      <c r="H522" s="3" t="n">
        <v>3.8018</v>
      </c>
    </row>
    <row r="523" ht="20" customHeight="1">
      <c r="A523" s="3" t="inlineStr">
        <is>
          <t>Baker's yeast</t>
        </is>
      </c>
      <c r="B523" s="3" t="n"/>
      <c r="C523" s="3" t="inlineStr">
        <is>
          <t>YEAST</t>
        </is>
      </c>
      <c r="D523" s="3" t="inlineStr">
        <is>
          <t xml:space="preserve">INSEE BDM 010763751: Indice de prix de production de l'industrie française pour le marché français − CPF 10.89 − Autres produits alimentaires n.c.a. </t>
        </is>
      </c>
      <c r="E523" s="3" t="inlineStr">
        <is>
          <t>kg</t>
        </is>
      </c>
      <c r="F523" s="3" t="n">
        <v>3.6</v>
      </c>
      <c r="G523" s="3" t="inlineStr">
        <is>
          <t>2022-03</t>
        </is>
      </c>
      <c r="H523" s="3" t="n">
        <v>3.964</v>
      </c>
    </row>
    <row r="524" ht="20" customHeight="1">
      <c r="A524" s="3" t="inlineStr">
        <is>
          <t>Baker's yeast</t>
        </is>
      </c>
      <c r="B524" s="3" t="n"/>
      <c r="C524" s="3" t="inlineStr">
        <is>
          <t>YEAST</t>
        </is>
      </c>
      <c r="D524" s="3" t="inlineStr">
        <is>
          <t xml:space="preserve">INSEE BDM 010763751: Indice de prix de production de l'industrie française pour le marché français − CPF 10.89 − Autres produits alimentaires n.c.a. </t>
        </is>
      </c>
      <c r="E524" s="3" t="inlineStr">
        <is>
          <t>kg</t>
        </is>
      </c>
      <c r="F524" s="3" t="n">
        <v>3.6</v>
      </c>
      <c r="G524" s="3" t="inlineStr">
        <is>
          <t>2022-04</t>
        </is>
      </c>
      <c r="H524" s="3" t="n">
        <v>4.5333</v>
      </c>
    </row>
    <row r="525" ht="20" customHeight="1">
      <c r="A525" s="3" t="inlineStr">
        <is>
          <t>Baker's yeast</t>
        </is>
      </c>
      <c r="B525" s="3" t="n"/>
      <c r="C525" s="3" t="inlineStr">
        <is>
          <t>YEAST</t>
        </is>
      </c>
      <c r="D525" s="3" t="inlineStr">
        <is>
          <t xml:space="preserve">INSEE BDM 010763751: Indice de prix de production de l'industrie française pour le marché français − CPF 10.89 − Autres produits alimentaires n.c.a. </t>
        </is>
      </c>
      <c r="E525" s="3" t="inlineStr">
        <is>
          <t>kg</t>
        </is>
      </c>
      <c r="F525" s="3" t="n">
        <v>3.6</v>
      </c>
      <c r="G525" s="3" t="inlineStr">
        <is>
          <t>2022-05</t>
        </is>
      </c>
      <c r="H525" s="3" t="n">
        <v>4.591</v>
      </c>
    </row>
    <row r="526" ht="20" customHeight="1">
      <c r="A526" s="3" t="inlineStr">
        <is>
          <t>Baker's yeast</t>
        </is>
      </c>
      <c r="B526" s="3" t="n"/>
      <c r="C526" s="3" t="inlineStr">
        <is>
          <t>YEAST</t>
        </is>
      </c>
      <c r="D526" s="3" t="inlineStr">
        <is>
          <t xml:space="preserve">INSEE BDM 010763751: Indice de prix de production de l'industrie française pour le marché français − CPF 10.89 − Autres produits alimentaires n.c.a. </t>
        </is>
      </c>
      <c r="E526" s="3" t="inlineStr">
        <is>
          <t>kg</t>
        </is>
      </c>
      <c r="F526" s="3" t="n">
        <v>3.6</v>
      </c>
      <c r="G526" s="3" t="inlineStr">
        <is>
          <t>2022-06</t>
        </is>
      </c>
      <c r="H526" s="3" t="n">
        <v>4.7063</v>
      </c>
    </row>
    <row r="527" ht="20" customHeight="1">
      <c r="A527" s="3" t="inlineStr">
        <is>
          <t>Baker's yeast</t>
        </is>
      </c>
      <c r="B527" s="3" t="n"/>
      <c r="C527" s="3" t="inlineStr">
        <is>
          <t>YEAST</t>
        </is>
      </c>
      <c r="D527" s="3" t="inlineStr">
        <is>
          <t xml:space="preserve">INSEE BDM 010763751: Indice de prix de production de l'industrie française pour le marché français − CPF 10.89 − Autres produits alimentaires n.c.a. </t>
        </is>
      </c>
      <c r="E527" s="3" t="inlineStr">
        <is>
          <t>kg</t>
        </is>
      </c>
      <c r="F527" s="3" t="n">
        <v>3.6</v>
      </c>
      <c r="G527" s="3" t="inlineStr">
        <is>
          <t>2022-07</t>
        </is>
      </c>
      <c r="H527" s="3" t="n">
        <v>4.6595</v>
      </c>
    </row>
    <row r="528" ht="20" customHeight="1">
      <c r="A528" s="3" t="inlineStr">
        <is>
          <t>Baker's yeast</t>
        </is>
      </c>
      <c r="B528" s="3" t="n"/>
      <c r="C528" s="3" t="inlineStr">
        <is>
          <t>YEAST</t>
        </is>
      </c>
      <c r="D528" s="3" t="inlineStr">
        <is>
          <t xml:space="preserve">INSEE BDM 010763751: Indice de prix de production de l'industrie française pour le marché français − CPF 10.89 − Autres produits alimentaires n.c.a. </t>
        </is>
      </c>
      <c r="E528" s="3" t="inlineStr">
        <is>
          <t>kg</t>
        </is>
      </c>
      <c r="F528" s="3" t="n">
        <v>3.6</v>
      </c>
      <c r="G528" s="3" t="inlineStr">
        <is>
          <t>2022-08</t>
        </is>
      </c>
      <c r="H528" s="3" t="n">
        <v>4.7279</v>
      </c>
    </row>
    <row r="529" ht="20" customHeight="1">
      <c r="A529" s="3" t="inlineStr">
        <is>
          <t>Baker's yeast</t>
        </is>
      </c>
      <c r="B529" s="3" t="n"/>
      <c r="C529" s="3" t="inlineStr">
        <is>
          <t>YEAST</t>
        </is>
      </c>
      <c r="D529" s="3" t="inlineStr">
        <is>
          <t xml:space="preserve">INSEE BDM 010763751: Indice de prix de production de l'industrie française pour le marché français − CPF 10.89 − Autres produits alimentaires n.c.a. </t>
        </is>
      </c>
      <c r="E529" s="3" t="inlineStr">
        <is>
          <t>kg</t>
        </is>
      </c>
      <c r="F529" s="3" t="n">
        <v>3.6</v>
      </c>
      <c r="G529" s="3" t="inlineStr">
        <is>
          <t>2022-09</t>
        </is>
      </c>
      <c r="H529" s="3" t="n">
        <v>4.7856</v>
      </c>
    </row>
    <row r="530" ht="20" customHeight="1">
      <c r="A530" s="3" t="inlineStr">
        <is>
          <t>Baker's yeast</t>
        </is>
      </c>
      <c r="B530" s="3" t="n"/>
      <c r="C530" s="3" t="inlineStr">
        <is>
          <t>YEAST</t>
        </is>
      </c>
      <c r="D530" s="3" t="inlineStr">
        <is>
          <t xml:space="preserve">INSEE BDM 010763751: Indice de prix de production de l'industrie française pour le marché français − CPF 10.89 − Autres produits alimentaires n.c.a. </t>
        </is>
      </c>
      <c r="E530" s="3" t="inlineStr">
        <is>
          <t>kg</t>
        </is>
      </c>
      <c r="F530" s="3" t="n">
        <v>3.6</v>
      </c>
      <c r="G530" s="3" t="inlineStr">
        <is>
          <t>2022-10</t>
        </is>
      </c>
      <c r="H530" s="3" t="n">
        <v>4.9369</v>
      </c>
    </row>
    <row r="531" ht="20" customHeight="1">
      <c r="A531" s="3" t="inlineStr">
        <is>
          <t>Baker's yeast</t>
        </is>
      </c>
      <c r="B531" s="3" t="n"/>
      <c r="C531" s="3" t="inlineStr">
        <is>
          <t>YEAST</t>
        </is>
      </c>
      <c r="D531" s="3" t="inlineStr">
        <is>
          <t xml:space="preserve">INSEE BDM 010763751: Indice de prix de production de l'industrie française pour le marché français − CPF 10.89 − Autres produits alimentaires n.c.a. </t>
        </is>
      </c>
      <c r="E531" s="3" t="inlineStr">
        <is>
          <t>kg</t>
        </is>
      </c>
      <c r="F531" s="3" t="n">
        <v>3.6</v>
      </c>
      <c r="G531" s="3" t="inlineStr">
        <is>
          <t>2022-11</t>
        </is>
      </c>
      <c r="H531" s="3" t="n">
        <v>5.0342</v>
      </c>
    </row>
    <row r="532" ht="20" customHeight="1">
      <c r="A532" s="3" t="inlineStr">
        <is>
          <t>Baker's yeast</t>
        </is>
      </c>
      <c r="B532" s="3" t="n"/>
      <c r="C532" s="3" t="inlineStr">
        <is>
          <t>YEAST</t>
        </is>
      </c>
      <c r="D532" s="3" t="inlineStr">
        <is>
          <t xml:space="preserve">INSEE BDM 010763751: Indice de prix de production de l'industrie française pour le marché français − CPF 10.89 − Autres produits alimentaires n.c.a. </t>
        </is>
      </c>
      <c r="E532" s="3" t="inlineStr">
        <is>
          <t>kg</t>
        </is>
      </c>
      <c r="F532" s="3" t="n">
        <v>3.6</v>
      </c>
      <c r="G532" s="3" t="inlineStr">
        <is>
          <t>2022-12</t>
        </is>
      </c>
      <c r="H532" s="3" t="n">
        <v>5.1243</v>
      </c>
    </row>
    <row r="533" ht="20" customHeight="1">
      <c r="A533" s="3" t="inlineStr">
        <is>
          <t>Baker's yeast</t>
        </is>
      </c>
      <c r="B533" s="3" t="n"/>
      <c r="C533" s="3" t="inlineStr">
        <is>
          <t>YEAST</t>
        </is>
      </c>
      <c r="D533" s="3" t="inlineStr">
        <is>
          <t xml:space="preserve">INSEE BDM 010763751: Indice de prix de production de l'industrie française pour le marché français − CPF 10.89 − Autres produits alimentaires n.c.a. </t>
        </is>
      </c>
      <c r="E533" s="3" t="inlineStr">
        <is>
          <t>kg</t>
        </is>
      </c>
      <c r="F533" s="3" t="n">
        <v>3.6</v>
      </c>
      <c r="G533" s="3" t="inlineStr">
        <is>
          <t>2023-01</t>
        </is>
      </c>
      <c r="H533" s="3" t="n">
        <v>5.2432</v>
      </c>
    </row>
    <row r="534" ht="20" customHeight="1">
      <c r="A534" s="3" t="inlineStr">
        <is>
          <t>Baker's yeast</t>
        </is>
      </c>
      <c r="B534" s="3" t="n"/>
      <c r="C534" s="3" t="inlineStr">
        <is>
          <t>YEAST</t>
        </is>
      </c>
      <c r="D534" s="3" t="inlineStr">
        <is>
          <t xml:space="preserve">INSEE BDM 010763751: Indice de prix de production de l'industrie française pour le marché français − CPF 10.89 − Autres produits alimentaires n.c.a. </t>
        </is>
      </c>
      <c r="E534" s="3" t="inlineStr">
        <is>
          <t>kg</t>
        </is>
      </c>
      <c r="F534" s="3" t="n">
        <v>3.6</v>
      </c>
      <c r="G534" s="3" t="inlineStr">
        <is>
          <t>2023-02</t>
        </is>
      </c>
      <c r="H534" s="3" t="n">
        <v>5.2757</v>
      </c>
    </row>
    <row r="535" ht="20" customHeight="1">
      <c r="A535" s="3" t="inlineStr">
        <is>
          <t>Baker's yeast</t>
        </is>
      </c>
      <c r="B535" s="3" t="n"/>
      <c r="C535" s="3" t="inlineStr">
        <is>
          <t>YEAST</t>
        </is>
      </c>
      <c r="D535" s="3" t="inlineStr">
        <is>
          <t xml:space="preserve">INSEE BDM 010763751: Indice de prix de production de l'industrie française pour le marché français − CPF 10.89 − Autres produits alimentaires n.c.a. </t>
        </is>
      </c>
      <c r="E535" s="3" t="inlineStr">
        <is>
          <t>kg</t>
        </is>
      </c>
      <c r="F535" s="3" t="n">
        <v>3.6</v>
      </c>
      <c r="G535" s="3" t="inlineStr">
        <is>
          <t>2023-03</t>
        </is>
      </c>
      <c r="H535" s="3" t="n">
        <v>5.3946</v>
      </c>
    </row>
    <row r="536" ht="20" customHeight="1">
      <c r="A536" s="3" t="inlineStr">
        <is>
          <t>Baker's yeast</t>
        </is>
      </c>
      <c r="B536" s="3" t="n"/>
      <c r="C536" s="3" t="inlineStr">
        <is>
          <t>YEAST</t>
        </is>
      </c>
      <c r="D536" s="3" t="inlineStr">
        <is>
          <t xml:space="preserve">INSEE BDM 010763751: Indice de prix de production de l'industrie française pour le marché français − CPF 10.89 − Autres produits alimentaires n.c.a. </t>
        </is>
      </c>
      <c r="E536" s="3" t="inlineStr">
        <is>
          <t>kg</t>
        </is>
      </c>
      <c r="F536" s="3" t="n">
        <v>3.6</v>
      </c>
      <c r="G536" s="3" t="inlineStr">
        <is>
          <t>2023-04</t>
        </is>
      </c>
      <c r="H536" s="3" t="n">
        <v>5.427</v>
      </c>
    </row>
    <row r="537" ht="20" customHeight="1">
      <c r="A537" s="3" t="inlineStr">
        <is>
          <t>Baker's yeast</t>
        </is>
      </c>
      <c r="B537" s="3" t="n"/>
      <c r="C537" s="3" t="inlineStr">
        <is>
          <t>YEAST</t>
        </is>
      </c>
      <c r="D537" s="3" t="inlineStr">
        <is>
          <t xml:space="preserve">INSEE BDM 010763751: Indice de prix de production de l'industrie française pour le marché français − CPF 10.89 − Autres produits alimentaires n.c.a. </t>
        </is>
      </c>
      <c r="E537" s="3" t="inlineStr">
        <is>
          <t>kg</t>
        </is>
      </c>
      <c r="F537" s="3" t="n">
        <v>3.6</v>
      </c>
      <c r="G537" s="3" t="inlineStr">
        <is>
          <t>2023-05</t>
        </is>
      </c>
      <c r="H537" s="3" t="n">
        <v>5.3946</v>
      </c>
    </row>
    <row r="538" ht="20" customHeight="1">
      <c r="A538" s="3" t="inlineStr">
        <is>
          <t>Baker's yeast</t>
        </is>
      </c>
      <c r="B538" s="3" t="n"/>
      <c r="C538" s="3" t="inlineStr">
        <is>
          <t>YEAST</t>
        </is>
      </c>
      <c r="D538" s="3" t="inlineStr">
        <is>
          <t xml:space="preserve">INSEE BDM 010763751: Indice de prix de production de l'industrie française pour le marché français − CPF 10.89 − Autres produits alimentaires n.c.a. </t>
        </is>
      </c>
      <c r="E538" s="3" t="inlineStr">
        <is>
          <t>kg</t>
        </is>
      </c>
      <c r="F538" s="3" t="n">
        <v>3.6</v>
      </c>
      <c r="G538" s="3" t="inlineStr">
        <is>
          <t>2023-06</t>
        </is>
      </c>
      <c r="H538" s="3" t="n">
        <v>5.3838</v>
      </c>
    </row>
    <row r="539" ht="20" customHeight="1">
      <c r="A539" s="3" t="inlineStr">
        <is>
          <t>Baker's yeast</t>
        </is>
      </c>
      <c r="B539" s="3" t="n"/>
      <c r="C539" s="3" t="inlineStr">
        <is>
          <t>YEAST</t>
        </is>
      </c>
      <c r="D539" s="3" t="inlineStr">
        <is>
          <t xml:space="preserve">INSEE BDM 010763751: Indice de prix de production de l'industrie française pour le marché français − CPF 10.89 − Autres produits alimentaires n.c.a. </t>
        </is>
      </c>
      <c r="E539" s="3" t="inlineStr">
        <is>
          <t>kg</t>
        </is>
      </c>
      <c r="F539" s="3" t="n">
        <v>3.6</v>
      </c>
      <c r="G539" s="3" t="inlineStr">
        <is>
          <t>2023-07</t>
        </is>
      </c>
      <c r="H539" s="3" t="n">
        <v>5.164</v>
      </c>
    </row>
    <row r="540" ht="20" customHeight="1">
      <c r="A540" s="3" t="inlineStr">
        <is>
          <t>Baker's yeast</t>
        </is>
      </c>
      <c r="B540" s="3" t="n"/>
      <c r="C540" s="3" t="inlineStr">
        <is>
          <t>YEAST</t>
        </is>
      </c>
      <c r="D540" s="3" t="inlineStr">
        <is>
          <t xml:space="preserve">INSEE BDM 010763751: Indice de prix de production de l'industrie française pour le marché français − CPF 10.89 − Autres produits alimentaires n.c.a. </t>
        </is>
      </c>
      <c r="E540" s="3" t="inlineStr">
        <is>
          <t>kg</t>
        </is>
      </c>
      <c r="F540" s="3" t="n">
        <v>3.6</v>
      </c>
      <c r="G540" s="3" t="inlineStr">
        <is>
          <t>2023-08</t>
        </is>
      </c>
      <c r="H540" s="3" t="n">
        <v>5.164</v>
      </c>
    </row>
    <row r="541" ht="20" customHeight="1">
      <c r="A541" s="3" t="inlineStr">
        <is>
          <t>Baker's yeast</t>
        </is>
      </c>
      <c r="B541" s="3" t="n"/>
      <c r="C541" s="3" t="inlineStr">
        <is>
          <t>YEAST</t>
        </is>
      </c>
      <c r="D541" s="3" t="inlineStr">
        <is>
          <t xml:space="preserve">INSEE BDM 010763751: Indice de prix de production de l'industrie française pour le marché français − CPF 10.89 − Autres produits alimentaires n.c.a. </t>
        </is>
      </c>
      <c r="E541" s="3" t="inlineStr">
        <is>
          <t>kg</t>
        </is>
      </c>
      <c r="F541" s="3" t="n">
        <v>3.6</v>
      </c>
      <c r="G541" s="3" t="inlineStr">
        <is>
          <t>2023-09</t>
        </is>
      </c>
      <c r="H541" s="3" t="n">
        <v>5.1495</v>
      </c>
    </row>
    <row r="542" ht="20" customHeight="1">
      <c r="A542" s="3" t="inlineStr">
        <is>
          <t>Baker's yeast</t>
        </is>
      </c>
      <c r="B542" s="3" t="n"/>
      <c r="C542" s="3" t="inlineStr">
        <is>
          <t>YEAST</t>
        </is>
      </c>
      <c r="D542" s="3" t="inlineStr">
        <is>
          <t xml:space="preserve">INSEE BDM 010763751: Indice de prix de production de l'industrie française pour le marché français − CPF 10.89 − Autres produits alimentaires n.c.a. </t>
        </is>
      </c>
      <c r="E542" s="3" t="inlineStr">
        <is>
          <t>kg</t>
        </is>
      </c>
      <c r="F542" s="3" t="n">
        <v>3.6</v>
      </c>
      <c r="G542" s="3" t="inlineStr">
        <is>
          <t>2023-10</t>
        </is>
      </c>
      <c r="H542" s="3" t="n">
        <v>5.1387</v>
      </c>
    </row>
    <row r="543" ht="20" customHeight="1">
      <c r="A543" s="3" t="inlineStr">
        <is>
          <t>Baker's yeast</t>
        </is>
      </c>
      <c r="B543" s="3" t="n"/>
      <c r="C543" s="3" t="inlineStr">
        <is>
          <t>YEAST</t>
        </is>
      </c>
      <c r="D543" s="3" t="inlineStr">
        <is>
          <t xml:space="preserve">INSEE BDM 010763751: Indice de prix de production de l'industrie française pour le marché français − CPF 10.89 − Autres produits alimentaires n.c.a. </t>
        </is>
      </c>
      <c r="E543" s="3" t="inlineStr">
        <is>
          <t>kg</t>
        </is>
      </c>
      <c r="F543" s="3" t="n">
        <v>3.6</v>
      </c>
      <c r="G543" s="3" t="inlineStr">
        <is>
          <t>2023-11</t>
        </is>
      </c>
      <c r="H543" s="3" t="n">
        <v>5.1568</v>
      </c>
    </row>
    <row r="544" ht="20" customHeight="1">
      <c r="A544" s="3" t="inlineStr">
        <is>
          <t>Baker's yeast</t>
        </is>
      </c>
      <c r="B544" s="3" t="n"/>
      <c r="C544" s="3" t="inlineStr">
        <is>
          <t>YEAST</t>
        </is>
      </c>
      <c r="D544" s="3" t="inlineStr">
        <is>
          <t xml:space="preserve">INSEE BDM 010763751: Indice de prix de production de l'industrie française pour le marché français − CPF 10.89 − Autres produits alimentaires n.c.a. </t>
        </is>
      </c>
      <c r="E544" s="3" t="inlineStr">
        <is>
          <t>kg</t>
        </is>
      </c>
      <c r="F544" s="3" t="n">
        <v>3.6</v>
      </c>
      <c r="G544" s="3" t="inlineStr">
        <is>
          <t>2023-12</t>
        </is>
      </c>
      <c r="H544" s="3" t="n">
        <v>5.1387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Boulangerie Artisanale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310000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bakery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2026-06-27T18:51:26Z</dcterms:created>
  <dcterms:modified xsi:type="dcterms:W3CDTF">2026-06-27T18:51:32Z</dcterms:modified>
</cp:coreProperties>
</file>