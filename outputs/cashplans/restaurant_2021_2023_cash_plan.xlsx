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otheses" sheetId="1" state="visible" r:id="rId1"/>
    <sheet name="Revenus" sheetId="2" state="visible" r:id="rId2"/>
    <sheet name="Depenses detaillees" sheetId="3" state="visible" r:id="rId3"/>
    <sheet name="Plan de tresorerie" sheetId="4" state="visible" r:id="rId4"/>
    <sheet name="Market data" sheetId="5" state="visible" r:id="rId5"/>
    <sheet name="Benchmarks &amp; 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b val="1"/>
      <color rgb="00111827"/>
    </font>
    <font>
      <name val="Calibri"/>
      <family val="2"/>
      <color theme="10"/>
      <sz val="12"/>
      <scheme val="minor"/>
    </font>
    <font>
      <name val="Aptos"/>
      <family val="2"/>
      <color rgb="00111827"/>
      <sz val="11"/>
      <scheme val="minor"/>
    </font>
    <font>
      <name val="Aptos Display"/>
      <b val="1"/>
      <color rgb="00FFFFFF"/>
      <sz val="16"/>
    </font>
    <font>
      <name val="Aptos"/>
      <i val="1"/>
      <color rgb="006B7280"/>
      <sz val="10"/>
    </font>
    <font>
      <name val="Aptos"/>
      <family val="2"/>
      <color rgb="00111827"/>
      <sz val="12"/>
      <scheme val="minor"/>
    </font>
  </fonts>
  <fills count="9">
    <fill>
      <patternFill/>
    </fill>
    <fill>
      <patternFill patternType="gray125"/>
    </fill>
    <fill>
      <patternFill patternType="solid">
        <fgColor rgb="00DDEBFF"/>
      </patternFill>
    </fill>
    <fill>
      <patternFill patternType="solid">
        <fgColor rgb="00F3F4F6"/>
      </patternFill>
    </fill>
    <fill>
      <patternFill patternType="solid">
        <fgColor rgb="00374151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top style="thin">
        <color rgb="0094A3B8"/>
      </top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5" fillId="8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4" fillId="6" borderId="0" applyAlignment="1" pivotButton="0" quotePrefix="0" xfId="0">
      <alignment vertical="center"/>
    </xf>
    <xf numFmtId="0" fontId="2" fillId="7" borderId="2" applyAlignment="1" pivotButton="0" quotePrefix="0" xfId="0">
      <alignment vertical="center"/>
    </xf>
    <xf numFmtId="0" fontId="7" fillId="0" borderId="0" applyAlignment="1" pivotButton="0" quotePrefix="0" xfId="1">
      <alignment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bdm.insee.fr/series/sdmx/dataflow" TargetMode="External" Id="rId1" /><Relationship Type="http://schemas.openxmlformats.org/officeDocument/2006/relationships/hyperlink" Target="https://www.insee.fr/fr/information/2862759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0" customHeight="1">
      <c r="A1" s="1" t="inlineStr">
        <is>
          <t>Restaurant - Hypotheses</t>
        </is>
      </c>
      <c r="K1" s="1" t="n"/>
      <c r="L1" s="1" t="n"/>
      <c r="M1" s="1" t="n"/>
      <c r="N1" s="1" t="n"/>
    </row>
    <row r="2" ht="20" customHeight="1">
      <c r="A2" s="2" t="inlineStr">
        <is>
          <t>Metier: Independent restaurant. | Archetype: restaurant | CA cible A1: 520,000 EUR | Blue cells are editable</t>
        </is>
      </c>
      <c r="K2" s="2" t="n"/>
      <c r="L2" s="2" t="n"/>
      <c r="M2" s="2" t="n"/>
      <c r="N2" s="2" t="n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20" customHeight="1">
      <c r="A4" s="3" t="inlineStr">
        <is>
          <t>Chiffre d'affaires annuel HT - Annee 1 (EUR)</t>
        </is>
      </c>
      <c r="B4" s="3" t="n"/>
      <c r="C4" s="4" t="n">
        <v>520000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 ht="20" customHeight="1">
      <c r="A5" s="3" t="inlineStr">
        <is>
          <t>Taux de TVA moyen sur les ventes</t>
        </is>
      </c>
      <c r="B5" s="3" t="n"/>
      <c r="C5" s="4" t="n">
        <v>0.1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 ht="20" customHeight="1">
      <c r="A6" s="3" t="inlineStr">
        <is>
          <t>Taux de TVA moyen sur les achats</t>
        </is>
      </c>
      <c r="B6" s="3" t="n"/>
      <c r="C6" s="4" t="n">
        <v>0.12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 ht="20" customHeight="1">
      <c r="A7" s="3" t="inlineStr">
        <is>
          <t>Tresorerie disponible au 1er janvier A1 (EUR)</t>
        </is>
      </c>
      <c r="B7" s="3" t="n"/>
      <c r="C7" s="4" t="n">
        <v>24000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 ht="20" customHeight="1">
      <c r="A8" s="3" t="inlineStr">
        <is>
          <t>Cotisations sociales dirigeant - par trimestre A1 (EUR)</t>
        </is>
      </c>
      <c r="B8" s="3" t="n"/>
      <c r="C8" s="4" t="n">
        <v>4400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 ht="20" customHeight="1">
      <c r="A9" s="3" t="inlineStr">
        <is>
          <t>Remboursement emprunt materiel - mensualite fixe (EUR)</t>
        </is>
      </c>
      <c r="B9" s="3" t="n"/>
      <c r="C9" s="4" t="n">
        <v>1200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 ht="20" customHeight="1">
      <c r="A10" s="3" t="inlineStr">
        <is>
          <t>Part du CA encaissee le mois meme</t>
        </is>
      </c>
      <c r="B10" s="3" t="n"/>
      <c r="C10" s="4" t="n">
        <v>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 ht="20" customHeight="1">
      <c r="A11" s="3" t="inlineStr">
        <is>
          <t>Part du CA encaissee a M-1</t>
        </is>
      </c>
      <c r="B11" s="3" t="n"/>
      <c r="C11" s="4" t="n">
        <v>0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 ht="20" customHeight="1">
      <c r="A12" s="3" t="inlineStr">
        <is>
          <t>Part du CA encaissee a M-2</t>
        </is>
      </c>
      <c r="B12" s="3" t="n"/>
      <c r="C12" s="4" t="n">
        <v>0</v>
      </c>
      <c r="D12" s="3" t="inlineStr">
        <is>
          <t>Control should equal 100%</t>
        </is>
      </c>
      <c r="E12" s="5">
        <f>SUM(C10:C12)</f>
        <v/>
      </c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 ht="20" customHeight="1">
      <c r="A13" s="3" t="inlineStr">
        <is>
          <t>Taux de croissance du CA - par an</t>
        </is>
      </c>
      <c r="B13" s="3" t="n"/>
      <c r="C13" s="4" t="n">
        <v>0.025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 ht="20" customHeight="1">
      <c r="A14" s="3" t="inlineStr">
        <is>
          <t>Taux d'inflation des prix d'achat - par an</t>
        </is>
      </c>
      <c r="B14" s="3" t="n"/>
      <c r="C14" s="4" t="n">
        <v>0.035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 ht="20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 ht="20" customHeight="1">
      <c r="A16" s="3" t="inlineStr">
        <is>
          <t>Month pattern repeated every year</t>
        </is>
      </c>
      <c r="B16" s="3" t="n"/>
      <c r="C16" s="3" t="inlineStr">
        <is>
          <t>Jan</t>
        </is>
      </c>
      <c r="D16" s="3" t="inlineStr">
        <is>
          <t>Feb</t>
        </is>
      </c>
      <c r="E16" s="3" t="inlineStr">
        <is>
          <t>Mar</t>
        </is>
      </c>
      <c r="F16" s="3" t="inlineStr">
        <is>
          <t>Apr</t>
        </is>
      </c>
      <c r="G16" s="3" t="inlineStr">
        <is>
          <t>May</t>
        </is>
      </c>
      <c r="H16" s="3" t="inlineStr">
        <is>
          <t>Jun</t>
        </is>
      </c>
      <c r="I16" s="3" t="inlineStr">
        <is>
          <t>Jul</t>
        </is>
      </c>
      <c r="J16" s="3" t="inlineStr">
        <is>
          <t>Aug</t>
        </is>
      </c>
      <c r="K16" s="3" t="inlineStr">
        <is>
          <t>Sep</t>
        </is>
      </c>
      <c r="L16" s="3" t="inlineStr">
        <is>
          <t>Oct</t>
        </is>
      </c>
      <c r="M16" s="3" t="inlineStr">
        <is>
          <t>Nov</t>
        </is>
      </c>
      <c r="N16" s="3" t="inlineStr">
        <is>
          <t>Dec</t>
        </is>
      </c>
    </row>
    <row r="17" ht="20" customHeight="1">
      <c r="A17" s="3" t="inlineStr">
        <is>
          <t>Seasonality index (1 = average month)</t>
        </is>
      </c>
      <c r="B17" s="3" t="n"/>
      <c r="C17" s="4" t="n">
        <v>0.9</v>
      </c>
      <c r="D17" s="4" t="n">
        <v>0.92</v>
      </c>
      <c r="E17" s="4" t="n">
        <v>0.98</v>
      </c>
      <c r="F17" s="4" t="n">
        <v>1.02</v>
      </c>
      <c r="G17" s="4" t="n">
        <v>1.05</v>
      </c>
      <c r="H17" s="4" t="n">
        <v>1.08</v>
      </c>
      <c r="I17" s="4" t="n">
        <v>1.12</v>
      </c>
      <c r="J17" s="4" t="n">
        <v>0.82</v>
      </c>
      <c r="K17" s="4" t="n">
        <v>1</v>
      </c>
      <c r="L17" s="4" t="n">
        <v>1.04</v>
      </c>
      <c r="M17" s="4" t="n">
        <v>1.06</v>
      </c>
      <c r="N17" s="4" t="n">
        <v>1.01</v>
      </c>
    </row>
    <row r="18" ht="20" customHeight="1">
      <c r="A18" s="3" t="inlineStr">
        <is>
          <t>Month weight in year (normalized)</t>
        </is>
      </c>
      <c r="B18" s="3" t="n"/>
      <c r="C18" s="5">
        <f>C17/SUM($C$17:$N$17)</f>
        <v/>
      </c>
      <c r="D18" s="5">
        <f>D17/SUM($C$17:$N$17)</f>
        <v/>
      </c>
      <c r="E18" s="5">
        <f>E17/SUM($C$17:$N$17)</f>
        <v/>
      </c>
      <c r="F18" s="5">
        <f>F17/SUM($C$17:$N$17)</f>
        <v/>
      </c>
      <c r="G18" s="5">
        <f>G17/SUM($C$17:$N$17)</f>
        <v/>
      </c>
      <c r="H18" s="5">
        <f>H17/SUM($C$17:$N$17)</f>
        <v/>
      </c>
      <c r="I18" s="5">
        <f>I17/SUM($C$17:$N$17)</f>
        <v/>
      </c>
      <c r="J18" s="5">
        <f>J17/SUM($C$17:$N$17)</f>
        <v/>
      </c>
      <c r="K18" s="5">
        <f>K17/SUM($C$17:$N$17)</f>
        <v/>
      </c>
      <c r="L18" s="5">
        <f>L17/SUM($C$17:$N$17)</f>
        <v/>
      </c>
      <c r="M18" s="5">
        <f>M17/SUM($C$17:$N$17)</f>
        <v/>
      </c>
      <c r="N18" s="5">
        <f>N17/SUM($C$17:$N$17)</f>
        <v/>
      </c>
    </row>
    <row r="19" ht="20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 ht="20" customHeight="1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 ht="20" customHeight="1">
      <c r="A21" s="3" t="inlineStr">
        <is>
          <t>v1 note: ratios and quantities are synthetic benchmark assumptions unless a source/API is explicitly listed.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 ht="20" customHeight="1">
      <c r="A22" s="3" t="inlineStr">
        <is>
          <t>Commodity-linked rows preserve realistic monthly variation. External series are normalized to the model unit price.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 ht="20" customHeight="1">
      <c r="A23" s="3" t="inlineStr">
        <is>
          <t>INSEE support is intentionally configurable by URL/series because exact indicators depend on the sector and use case.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 ht="20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 ht="20" customHeight="1">
      <c r="A25" s="3" t="inlineStr">
        <is>
          <t>Legend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 ht="20" customHeight="1">
      <c r="A26" s="3" t="inlineStr">
        <is>
          <t>Blue</t>
        </is>
      </c>
      <c r="B26" s="3" t="inlineStr">
        <is>
          <t>Editable assumption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 ht="20" customHeight="1">
      <c r="A27" s="3" t="inlineStr">
        <is>
          <t>Gray</t>
        </is>
      </c>
      <c r="B27" s="3" t="inlineStr">
        <is>
          <t>Formula calculated automatically</t>
        </is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 ht="20" customHeight="1">
      <c r="A28" s="3" t="inlineStr">
        <is>
          <t>Light blue</t>
        </is>
      </c>
      <c r="B28" s="3" t="inlineStr">
        <is>
          <t>Link to another sheet</t>
        </is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 ht="20" customHeight="1">
      <c r="A29" s="3" t="inlineStr">
        <is>
          <t>Yellow</t>
        </is>
      </c>
      <c r="B29" s="3" t="inlineStr">
        <is>
          <t>Source/API note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mergeCells count="5">
    <mergeCell ref="A1:J1"/>
    <mergeCell ref="A23:J23"/>
    <mergeCell ref="A22:J22"/>
    <mergeCell ref="A21:J2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 ht="20" customHeight="1">
      <c r="A1" s="1" t="inlineStr">
        <is>
          <t>Restaurant - Revenus mensuels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20" customHeight="1">
      <c r="A2" s="2" t="inlineStr">
        <is>
          <t>Revenue streams x annual mix x seasonality x annual growth.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 ht="20" customHeight="1">
      <c r="A3" s="3" t="n"/>
      <c r="B3" s="3" t="n"/>
      <c r="C3" s="3" t="inlineStr">
        <is>
          <t>ANNEE 1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ANNEE 2</t>
        </is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inlineStr">
        <is>
          <t>ANNEE 3</t>
        </is>
      </c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</row>
    <row r="4" ht="20" customHeight="1">
      <c r="A4" s="6" t="inlineStr">
        <is>
          <t>Source de revenus</t>
        </is>
      </c>
      <c r="B4" s="6" t="inlineStr">
        <is>
          <t>% du CA annuel</t>
        </is>
      </c>
      <c r="C4" s="6" t="inlineStr">
        <is>
          <t>Jan A1</t>
        </is>
      </c>
      <c r="D4" s="6" t="inlineStr">
        <is>
          <t>Feb A1</t>
        </is>
      </c>
      <c r="E4" s="6" t="inlineStr">
        <is>
          <t>Mar A1</t>
        </is>
      </c>
      <c r="F4" s="6" t="inlineStr">
        <is>
          <t>Apr A1</t>
        </is>
      </c>
      <c r="G4" s="6" t="inlineStr">
        <is>
          <t>May A1</t>
        </is>
      </c>
      <c r="H4" s="6" t="inlineStr">
        <is>
          <t>Jun A1</t>
        </is>
      </c>
      <c r="I4" s="6" t="inlineStr">
        <is>
          <t>Jul A1</t>
        </is>
      </c>
      <c r="J4" s="6" t="inlineStr">
        <is>
          <t>Aug A1</t>
        </is>
      </c>
      <c r="K4" s="6" t="inlineStr">
        <is>
          <t>Sep A1</t>
        </is>
      </c>
      <c r="L4" s="6" t="inlineStr">
        <is>
          <t>Oct A1</t>
        </is>
      </c>
      <c r="M4" s="6" t="inlineStr">
        <is>
          <t>Nov A1</t>
        </is>
      </c>
      <c r="N4" s="6" t="inlineStr">
        <is>
          <t>Dec A1</t>
        </is>
      </c>
      <c r="O4" s="6" t="inlineStr">
        <is>
          <t>Jan A2</t>
        </is>
      </c>
      <c r="P4" s="6" t="inlineStr">
        <is>
          <t>Feb A2</t>
        </is>
      </c>
      <c r="Q4" s="6" t="inlineStr">
        <is>
          <t>Mar A2</t>
        </is>
      </c>
      <c r="R4" s="6" t="inlineStr">
        <is>
          <t>Apr A2</t>
        </is>
      </c>
      <c r="S4" s="6" t="inlineStr">
        <is>
          <t>May A2</t>
        </is>
      </c>
      <c r="T4" s="6" t="inlineStr">
        <is>
          <t>Jun A2</t>
        </is>
      </c>
      <c r="U4" s="6" t="inlineStr">
        <is>
          <t>Jul A2</t>
        </is>
      </c>
      <c r="V4" s="6" t="inlineStr">
        <is>
          <t>Aug A2</t>
        </is>
      </c>
      <c r="W4" s="6" t="inlineStr">
        <is>
          <t>Sep A2</t>
        </is>
      </c>
      <c r="X4" s="6" t="inlineStr">
        <is>
          <t>Oct A2</t>
        </is>
      </c>
      <c r="Y4" s="6" t="inlineStr">
        <is>
          <t>Nov A2</t>
        </is>
      </c>
      <c r="Z4" s="6" t="inlineStr">
        <is>
          <t>Dec A2</t>
        </is>
      </c>
      <c r="AA4" s="6" t="inlineStr">
        <is>
          <t>Jan A3</t>
        </is>
      </c>
      <c r="AB4" s="6" t="inlineStr">
        <is>
          <t>Feb A3</t>
        </is>
      </c>
      <c r="AC4" s="6" t="inlineStr">
        <is>
          <t>Mar A3</t>
        </is>
      </c>
      <c r="AD4" s="6" t="inlineStr">
        <is>
          <t>Apr A3</t>
        </is>
      </c>
      <c r="AE4" s="6" t="inlineStr">
        <is>
          <t>May A3</t>
        </is>
      </c>
      <c r="AF4" s="6" t="inlineStr">
        <is>
          <t>Jun A3</t>
        </is>
      </c>
      <c r="AG4" s="6" t="inlineStr">
        <is>
          <t>Jul A3</t>
        </is>
      </c>
      <c r="AH4" s="6" t="inlineStr">
        <is>
          <t>Aug A3</t>
        </is>
      </c>
      <c r="AI4" s="6" t="inlineStr">
        <is>
          <t>Sep A3</t>
        </is>
      </c>
      <c r="AJ4" s="6" t="inlineStr">
        <is>
          <t>Oct A3</t>
        </is>
      </c>
      <c r="AK4" s="6" t="inlineStr">
        <is>
          <t>Nov A3</t>
        </is>
      </c>
      <c r="AL4" s="6" t="inlineStr">
        <is>
          <t>Dec A3</t>
        </is>
      </c>
    </row>
    <row r="5" ht="20" customHeight="1">
      <c r="A5" s="3" t="inlineStr">
        <is>
          <t>Lunch service</t>
        </is>
      </c>
      <c r="B5" s="4" t="n">
        <v>0.38</v>
      </c>
      <c r="C5" s="5">
        <f>'Hypotheses'!$C$4*$B5*'Hypotheses'!C$18*(1+'Hypotheses'!$C$13)^0</f>
        <v/>
      </c>
      <c r="D5" s="5">
        <f>'Hypotheses'!$C$4*$B5*'Hypotheses'!D$18*(1+'Hypotheses'!$C$13)^0</f>
        <v/>
      </c>
      <c r="E5" s="5">
        <f>'Hypotheses'!$C$4*$B5*'Hypotheses'!E$18*(1+'Hypotheses'!$C$13)^0</f>
        <v/>
      </c>
      <c r="F5" s="5">
        <f>'Hypotheses'!$C$4*$B5*'Hypotheses'!F$18*(1+'Hypotheses'!$C$13)^0</f>
        <v/>
      </c>
      <c r="G5" s="5">
        <f>'Hypotheses'!$C$4*$B5*'Hypotheses'!G$18*(1+'Hypotheses'!$C$13)^0</f>
        <v/>
      </c>
      <c r="H5" s="5">
        <f>'Hypotheses'!$C$4*$B5*'Hypotheses'!H$18*(1+'Hypotheses'!$C$13)^0</f>
        <v/>
      </c>
      <c r="I5" s="5">
        <f>'Hypotheses'!$C$4*$B5*'Hypotheses'!I$18*(1+'Hypotheses'!$C$13)^0</f>
        <v/>
      </c>
      <c r="J5" s="5">
        <f>'Hypotheses'!$C$4*$B5*'Hypotheses'!J$18*(1+'Hypotheses'!$C$13)^0</f>
        <v/>
      </c>
      <c r="K5" s="5">
        <f>'Hypotheses'!$C$4*$B5*'Hypotheses'!K$18*(1+'Hypotheses'!$C$13)^0</f>
        <v/>
      </c>
      <c r="L5" s="5">
        <f>'Hypotheses'!$C$4*$B5*'Hypotheses'!L$18*(1+'Hypotheses'!$C$13)^0</f>
        <v/>
      </c>
      <c r="M5" s="5">
        <f>'Hypotheses'!$C$4*$B5*'Hypotheses'!M$18*(1+'Hypotheses'!$C$13)^0</f>
        <v/>
      </c>
      <c r="N5" s="5">
        <f>'Hypotheses'!$C$4*$B5*'Hypotheses'!N$18*(1+'Hypotheses'!$C$13)^0</f>
        <v/>
      </c>
      <c r="O5" s="5">
        <f>'Hypotheses'!$C$4*$B5*'Hypotheses'!C$18*(1+'Hypotheses'!$C$13)^1</f>
        <v/>
      </c>
      <c r="P5" s="5">
        <f>'Hypotheses'!$C$4*$B5*'Hypotheses'!D$18*(1+'Hypotheses'!$C$13)^1</f>
        <v/>
      </c>
      <c r="Q5" s="5">
        <f>'Hypotheses'!$C$4*$B5*'Hypotheses'!E$18*(1+'Hypotheses'!$C$13)^1</f>
        <v/>
      </c>
      <c r="R5" s="5">
        <f>'Hypotheses'!$C$4*$B5*'Hypotheses'!F$18*(1+'Hypotheses'!$C$13)^1</f>
        <v/>
      </c>
      <c r="S5" s="5">
        <f>'Hypotheses'!$C$4*$B5*'Hypotheses'!G$18*(1+'Hypotheses'!$C$13)^1</f>
        <v/>
      </c>
      <c r="T5" s="5">
        <f>'Hypotheses'!$C$4*$B5*'Hypotheses'!H$18*(1+'Hypotheses'!$C$13)^1</f>
        <v/>
      </c>
      <c r="U5" s="5">
        <f>'Hypotheses'!$C$4*$B5*'Hypotheses'!I$18*(1+'Hypotheses'!$C$13)^1</f>
        <v/>
      </c>
      <c r="V5" s="5">
        <f>'Hypotheses'!$C$4*$B5*'Hypotheses'!J$18*(1+'Hypotheses'!$C$13)^1</f>
        <v/>
      </c>
      <c r="W5" s="5">
        <f>'Hypotheses'!$C$4*$B5*'Hypotheses'!K$18*(1+'Hypotheses'!$C$13)^1</f>
        <v/>
      </c>
      <c r="X5" s="5">
        <f>'Hypotheses'!$C$4*$B5*'Hypotheses'!L$18*(1+'Hypotheses'!$C$13)^1</f>
        <v/>
      </c>
      <c r="Y5" s="5">
        <f>'Hypotheses'!$C$4*$B5*'Hypotheses'!M$18*(1+'Hypotheses'!$C$13)^1</f>
        <v/>
      </c>
      <c r="Z5" s="5">
        <f>'Hypotheses'!$C$4*$B5*'Hypotheses'!N$18*(1+'Hypotheses'!$C$13)^1</f>
        <v/>
      </c>
      <c r="AA5" s="5">
        <f>'Hypotheses'!$C$4*$B5*'Hypotheses'!C$18*(1+'Hypotheses'!$C$13)^2</f>
        <v/>
      </c>
      <c r="AB5" s="5">
        <f>'Hypotheses'!$C$4*$B5*'Hypotheses'!D$18*(1+'Hypotheses'!$C$13)^2</f>
        <v/>
      </c>
      <c r="AC5" s="5">
        <f>'Hypotheses'!$C$4*$B5*'Hypotheses'!E$18*(1+'Hypotheses'!$C$13)^2</f>
        <v/>
      </c>
      <c r="AD5" s="5">
        <f>'Hypotheses'!$C$4*$B5*'Hypotheses'!F$18*(1+'Hypotheses'!$C$13)^2</f>
        <v/>
      </c>
      <c r="AE5" s="5">
        <f>'Hypotheses'!$C$4*$B5*'Hypotheses'!G$18*(1+'Hypotheses'!$C$13)^2</f>
        <v/>
      </c>
      <c r="AF5" s="5">
        <f>'Hypotheses'!$C$4*$B5*'Hypotheses'!H$18*(1+'Hypotheses'!$C$13)^2</f>
        <v/>
      </c>
      <c r="AG5" s="5">
        <f>'Hypotheses'!$C$4*$B5*'Hypotheses'!I$18*(1+'Hypotheses'!$C$13)^2</f>
        <v/>
      </c>
      <c r="AH5" s="5">
        <f>'Hypotheses'!$C$4*$B5*'Hypotheses'!J$18*(1+'Hypotheses'!$C$13)^2</f>
        <v/>
      </c>
      <c r="AI5" s="5">
        <f>'Hypotheses'!$C$4*$B5*'Hypotheses'!K$18*(1+'Hypotheses'!$C$13)^2</f>
        <v/>
      </c>
      <c r="AJ5" s="5">
        <f>'Hypotheses'!$C$4*$B5*'Hypotheses'!L$18*(1+'Hypotheses'!$C$13)^2</f>
        <v/>
      </c>
      <c r="AK5" s="5">
        <f>'Hypotheses'!$C$4*$B5*'Hypotheses'!M$18*(1+'Hypotheses'!$C$13)^2</f>
        <v/>
      </c>
      <c r="AL5" s="5">
        <f>'Hypotheses'!$C$4*$B5*'Hypotheses'!N$18*(1+'Hypotheses'!$C$13)^2</f>
        <v/>
      </c>
    </row>
    <row r="6" ht="20" customHeight="1">
      <c r="A6" s="3" t="inlineStr">
        <is>
          <t>Dinner service</t>
        </is>
      </c>
      <c r="B6" s="4" t="n">
        <v>0.44</v>
      </c>
      <c r="C6" s="5">
        <f>'Hypotheses'!$C$4*$B6*'Hypotheses'!C$18*(1+'Hypotheses'!$C$13)^0</f>
        <v/>
      </c>
      <c r="D6" s="5">
        <f>'Hypotheses'!$C$4*$B6*'Hypotheses'!D$18*(1+'Hypotheses'!$C$13)^0</f>
        <v/>
      </c>
      <c r="E6" s="5">
        <f>'Hypotheses'!$C$4*$B6*'Hypotheses'!E$18*(1+'Hypotheses'!$C$13)^0</f>
        <v/>
      </c>
      <c r="F6" s="5">
        <f>'Hypotheses'!$C$4*$B6*'Hypotheses'!F$18*(1+'Hypotheses'!$C$13)^0</f>
        <v/>
      </c>
      <c r="G6" s="5">
        <f>'Hypotheses'!$C$4*$B6*'Hypotheses'!G$18*(1+'Hypotheses'!$C$13)^0</f>
        <v/>
      </c>
      <c r="H6" s="5">
        <f>'Hypotheses'!$C$4*$B6*'Hypotheses'!H$18*(1+'Hypotheses'!$C$13)^0</f>
        <v/>
      </c>
      <c r="I6" s="5">
        <f>'Hypotheses'!$C$4*$B6*'Hypotheses'!I$18*(1+'Hypotheses'!$C$13)^0</f>
        <v/>
      </c>
      <c r="J6" s="5">
        <f>'Hypotheses'!$C$4*$B6*'Hypotheses'!J$18*(1+'Hypotheses'!$C$13)^0</f>
        <v/>
      </c>
      <c r="K6" s="5">
        <f>'Hypotheses'!$C$4*$B6*'Hypotheses'!K$18*(1+'Hypotheses'!$C$13)^0</f>
        <v/>
      </c>
      <c r="L6" s="5">
        <f>'Hypotheses'!$C$4*$B6*'Hypotheses'!L$18*(1+'Hypotheses'!$C$13)^0</f>
        <v/>
      </c>
      <c r="M6" s="5">
        <f>'Hypotheses'!$C$4*$B6*'Hypotheses'!M$18*(1+'Hypotheses'!$C$13)^0</f>
        <v/>
      </c>
      <c r="N6" s="5">
        <f>'Hypotheses'!$C$4*$B6*'Hypotheses'!N$18*(1+'Hypotheses'!$C$13)^0</f>
        <v/>
      </c>
      <c r="O6" s="5">
        <f>'Hypotheses'!$C$4*$B6*'Hypotheses'!C$18*(1+'Hypotheses'!$C$13)^1</f>
        <v/>
      </c>
      <c r="P6" s="5">
        <f>'Hypotheses'!$C$4*$B6*'Hypotheses'!D$18*(1+'Hypotheses'!$C$13)^1</f>
        <v/>
      </c>
      <c r="Q6" s="5">
        <f>'Hypotheses'!$C$4*$B6*'Hypotheses'!E$18*(1+'Hypotheses'!$C$13)^1</f>
        <v/>
      </c>
      <c r="R6" s="5">
        <f>'Hypotheses'!$C$4*$B6*'Hypotheses'!F$18*(1+'Hypotheses'!$C$13)^1</f>
        <v/>
      </c>
      <c r="S6" s="5">
        <f>'Hypotheses'!$C$4*$B6*'Hypotheses'!G$18*(1+'Hypotheses'!$C$13)^1</f>
        <v/>
      </c>
      <c r="T6" s="5">
        <f>'Hypotheses'!$C$4*$B6*'Hypotheses'!H$18*(1+'Hypotheses'!$C$13)^1</f>
        <v/>
      </c>
      <c r="U6" s="5">
        <f>'Hypotheses'!$C$4*$B6*'Hypotheses'!I$18*(1+'Hypotheses'!$C$13)^1</f>
        <v/>
      </c>
      <c r="V6" s="5">
        <f>'Hypotheses'!$C$4*$B6*'Hypotheses'!J$18*(1+'Hypotheses'!$C$13)^1</f>
        <v/>
      </c>
      <c r="W6" s="5">
        <f>'Hypotheses'!$C$4*$B6*'Hypotheses'!K$18*(1+'Hypotheses'!$C$13)^1</f>
        <v/>
      </c>
      <c r="X6" s="5">
        <f>'Hypotheses'!$C$4*$B6*'Hypotheses'!L$18*(1+'Hypotheses'!$C$13)^1</f>
        <v/>
      </c>
      <c r="Y6" s="5">
        <f>'Hypotheses'!$C$4*$B6*'Hypotheses'!M$18*(1+'Hypotheses'!$C$13)^1</f>
        <v/>
      </c>
      <c r="Z6" s="5">
        <f>'Hypotheses'!$C$4*$B6*'Hypotheses'!N$18*(1+'Hypotheses'!$C$13)^1</f>
        <v/>
      </c>
      <c r="AA6" s="5">
        <f>'Hypotheses'!$C$4*$B6*'Hypotheses'!C$18*(1+'Hypotheses'!$C$13)^2</f>
        <v/>
      </c>
      <c r="AB6" s="5">
        <f>'Hypotheses'!$C$4*$B6*'Hypotheses'!D$18*(1+'Hypotheses'!$C$13)^2</f>
        <v/>
      </c>
      <c r="AC6" s="5">
        <f>'Hypotheses'!$C$4*$B6*'Hypotheses'!E$18*(1+'Hypotheses'!$C$13)^2</f>
        <v/>
      </c>
      <c r="AD6" s="5">
        <f>'Hypotheses'!$C$4*$B6*'Hypotheses'!F$18*(1+'Hypotheses'!$C$13)^2</f>
        <v/>
      </c>
      <c r="AE6" s="5">
        <f>'Hypotheses'!$C$4*$B6*'Hypotheses'!G$18*(1+'Hypotheses'!$C$13)^2</f>
        <v/>
      </c>
      <c r="AF6" s="5">
        <f>'Hypotheses'!$C$4*$B6*'Hypotheses'!H$18*(1+'Hypotheses'!$C$13)^2</f>
        <v/>
      </c>
      <c r="AG6" s="5">
        <f>'Hypotheses'!$C$4*$B6*'Hypotheses'!I$18*(1+'Hypotheses'!$C$13)^2</f>
        <v/>
      </c>
      <c r="AH6" s="5">
        <f>'Hypotheses'!$C$4*$B6*'Hypotheses'!J$18*(1+'Hypotheses'!$C$13)^2</f>
        <v/>
      </c>
      <c r="AI6" s="5">
        <f>'Hypotheses'!$C$4*$B6*'Hypotheses'!K$18*(1+'Hypotheses'!$C$13)^2</f>
        <v/>
      </c>
      <c r="AJ6" s="5">
        <f>'Hypotheses'!$C$4*$B6*'Hypotheses'!L$18*(1+'Hypotheses'!$C$13)^2</f>
        <v/>
      </c>
      <c r="AK6" s="5">
        <f>'Hypotheses'!$C$4*$B6*'Hypotheses'!M$18*(1+'Hypotheses'!$C$13)^2</f>
        <v/>
      </c>
      <c r="AL6" s="5">
        <f>'Hypotheses'!$C$4*$B6*'Hypotheses'!N$18*(1+'Hypotheses'!$C$13)^2</f>
        <v/>
      </c>
    </row>
    <row r="7" ht="20" customHeight="1">
      <c r="A7" s="3" t="inlineStr">
        <is>
          <t>Drinks</t>
        </is>
      </c>
      <c r="B7" s="4" t="n">
        <v>0.12</v>
      </c>
      <c r="C7" s="5">
        <f>'Hypotheses'!$C$4*$B7*'Hypotheses'!C$18*(1+'Hypotheses'!$C$13)^0</f>
        <v/>
      </c>
      <c r="D7" s="5">
        <f>'Hypotheses'!$C$4*$B7*'Hypotheses'!D$18*(1+'Hypotheses'!$C$13)^0</f>
        <v/>
      </c>
      <c r="E7" s="5">
        <f>'Hypotheses'!$C$4*$B7*'Hypotheses'!E$18*(1+'Hypotheses'!$C$13)^0</f>
        <v/>
      </c>
      <c r="F7" s="5">
        <f>'Hypotheses'!$C$4*$B7*'Hypotheses'!F$18*(1+'Hypotheses'!$C$13)^0</f>
        <v/>
      </c>
      <c r="G7" s="5">
        <f>'Hypotheses'!$C$4*$B7*'Hypotheses'!G$18*(1+'Hypotheses'!$C$13)^0</f>
        <v/>
      </c>
      <c r="H7" s="5">
        <f>'Hypotheses'!$C$4*$B7*'Hypotheses'!H$18*(1+'Hypotheses'!$C$13)^0</f>
        <v/>
      </c>
      <c r="I7" s="5">
        <f>'Hypotheses'!$C$4*$B7*'Hypotheses'!I$18*(1+'Hypotheses'!$C$13)^0</f>
        <v/>
      </c>
      <c r="J7" s="5">
        <f>'Hypotheses'!$C$4*$B7*'Hypotheses'!J$18*(1+'Hypotheses'!$C$13)^0</f>
        <v/>
      </c>
      <c r="K7" s="5">
        <f>'Hypotheses'!$C$4*$B7*'Hypotheses'!K$18*(1+'Hypotheses'!$C$13)^0</f>
        <v/>
      </c>
      <c r="L7" s="5">
        <f>'Hypotheses'!$C$4*$B7*'Hypotheses'!L$18*(1+'Hypotheses'!$C$13)^0</f>
        <v/>
      </c>
      <c r="M7" s="5">
        <f>'Hypotheses'!$C$4*$B7*'Hypotheses'!M$18*(1+'Hypotheses'!$C$13)^0</f>
        <v/>
      </c>
      <c r="N7" s="5">
        <f>'Hypotheses'!$C$4*$B7*'Hypotheses'!N$18*(1+'Hypotheses'!$C$13)^0</f>
        <v/>
      </c>
      <c r="O7" s="5">
        <f>'Hypotheses'!$C$4*$B7*'Hypotheses'!C$18*(1+'Hypotheses'!$C$13)^1</f>
        <v/>
      </c>
      <c r="P7" s="5">
        <f>'Hypotheses'!$C$4*$B7*'Hypotheses'!D$18*(1+'Hypotheses'!$C$13)^1</f>
        <v/>
      </c>
      <c r="Q7" s="5">
        <f>'Hypotheses'!$C$4*$B7*'Hypotheses'!E$18*(1+'Hypotheses'!$C$13)^1</f>
        <v/>
      </c>
      <c r="R7" s="5">
        <f>'Hypotheses'!$C$4*$B7*'Hypotheses'!F$18*(1+'Hypotheses'!$C$13)^1</f>
        <v/>
      </c>
      <c r="S7" s="5">
        <f>'Hypotheses'!$C$4*$B7*'Hypotheses'!G$18*(1+'Hypotheses'!$C$13)^1</f>
        <v/>
      </c>
      <c r="T7" s="5">
        <f>'Hypotheses'!$C$4*$B7*'Hypotheses'!H$18*(1+'Hypotheses'!$C$13)^1</f>
        <v/>
      </c>
      <c r="U7" s="5">
        <f>'Hypotheses'!$C$4*$B7*'Hypotheses'!I$18*(1+'Hypotheses'!$C$13)^1</f>
        <v/>
      </c>
      <c r="V7" s="5">
        <f>'Hypotheses'!$C$4*$B7*'Hypotheses'!J$18*(1+'Hypotheses'!$C$13)^1</f>
        <v/>
      </c>
      <c r="W7" s="5">
        <f>'Hypotheses'!$C$4*$B7*'Hypotheses'!K$18*(1+'Hypotheses'!$C$13)^1</f>
        <v/>
      </c>
      <c r="X7" s="5">
        <f>'Hypotheses'!$C$4*$B7*'Hypotheses'!L$18*(1+'Hypotheses'!$C$13)^1</f>
        <v/>
      </c>
      <c r="Y7" s="5">
        <f>'Hypotheses'!$C$4*$B7*'Hypotheses'!M$18*(1+'Hypotheses'!$C$13)^1</f>
        <v/>
      </c>
      <c r="Z7" s="5">
        <f>'Hypotheses'!$C$4*$B7*'Hypotheses'!N$18*(1+'Hypotheses'!$C$13)^1</f>
        <v/>
      </c>
      <c r="AA7" s="5">
        <f>'Hypotheses'!$C$4*$B7*'Hypotheses'!C$18*(1+'Hypotheses'!$C$13)^2</f>
        <v/>
      </c>
      <c r="AB7" s="5">
        <f>'Hypotheses'!$C$4*$B7*'Hypotheses'!D$18*(1+'Hypotheses'!$C$13)^2</f>
        <v/>
      </c>
      <c r="AC7" s="5">
        <f>'Hypotheses'!$C$4*$B7*'Hypotheses'!E$18*(1+'Hypotheses'!$C$13)^2</f>
        <v/>
      </c>
      <c r="AD7" s="5">
        <f>'Hypotheses'!$C$4*$B7*'Hypotheses'!F$18*(1+'Hypotheses'!$C$13)^2</f>
        <v/>
      </c>
      <c r="AE7" s="5">
        <f>'Hypotheses'!$C$4*$B7*'Hypotheses'!G$18*(1+'Hypotheses'!$C$13)^2</f>
        <v/>
      </c>
      <c r="AF7" s="5">
        <f>'Hypotheses'!$C$4*$B7*'Hypotheses'!H$18*(1+'Hypotheses'!$C$13)^2</f>
        <v/>
      </c>
      <c r="AG7" s="5">
        <f>'Hypotheses'!$C$4*$B7*'Hypotheses'!I$18*(1+'Hypotheses'!$C$13)^2</f>
        <v/>
      </c>
      <c r="AH7" s="5">
        <f>'Hypotheses'!$C$4*$B7*'Hypotheses'!J$18*(1+'Hypotheses'!$C$13)^2</f>
        <v/>
      </c>
      <c r="AI7" s="5">
        <f>'Hypotheses'!$C$4*$B7*'Hypotheses'!K$18*(1+'Hypotheses'!$C$13)^2</f>
        <v/>
      </c>
      <c r="AJ7" s="5">
        <f>'Hypotheses'!$C$4*$B7*'Hypotheses'!L$18*(1+'Hypotheses'!$C$13)^2</f>
        <v/>
      </c>
      <c r="AK7" s="5">
        <f>'Hypotheses'!$C$4*$B7*'Hypotheses'!M$18*(1+'Hypotheses'!$C$13)^2</f>
        <v/>
      </c>
      <c r="AL7" s="5">
        <f>'Hypotheses'!$C$4*$B7*'Hypotheses'!N$18*(1+'Hypotheses'!$C$13)^2</f>
        <v/>
      </c>
    </row>
    <row r="8" ht="20" customHeight="1">
      <c r="A8" s="3" t="inlineStr">
        <is>
          <t>Takeaway and catering</t>
        </is>
      </c>
      <c r="B8" s="4" t="n">
        <v>0.06</v>
      </c>
      <c r="C8" s="5">
        <f>'Hypotheses'!$C$4*$B8*'Hypotheses'!C$18*(1+'Hypotheses'!$C$13)^0</f>
        <v/>
      </c>
      <c r="D8" s="5">
        <f>'Hypotheses'!$C$4*$B8*'Hypotheses'!D$18*(1+'Hypotheses'!$C$13)^0</f>
        <v/>
      </c>
      <c r="E8" s="5">
        <f>'Hypotheses'!$C$4*$B8*'Hypotheses'!E$18*(1+'Hypotheses'!$C$13)^0</f>
        <v/>
      </c>
      <c r="F8" s="5">
        <f>'Hypotheses'!$C$4*$B8*'Hypotheses'!F$18*(1+'Hypotheses'!$C$13)^0</f>
        <v/>
      </c>
      <c r="G8" s="5">
        <f>'Hypotheses'!$C$4*$B8*'Hypotheses'!G$18*(1+'Hypotheses'!$C$13)^0</f>
        <v/>
      </c>
      <c r="H8" s="5">
        <f>'Hypotheses'!$C$4*$B8*'Hypotheses'!H$18*(1+'Hypotheses'!$C$13)^0</f>
        <v/>
      </c>
      <c r="I8" s="5">
        <f>'Hypotheses'!$C$4*$B8*'Hypotheses'!I$18*(1+'Hypotheses'!$C$13)^0</f>
        <v/>
      </c>
      <c r="J8" s="5">
        <f>'Hypotheses'!$C$4*$B8*'Hypotheses'!J$18*(1+'Hypotheses'!$C$13)^0</f>
        <v/>
      </c>
      <c r="K8" s="5">
        <f>'Hypotheses'!$C$4*$B8*'Hypotheses'!K$18*(1+'Hypotheses'!$C$13)^0</f>
        <v/>
      </c>
      <c r="L8" s="5">
        <f>'Hypotheses'!$C$4*$B8*'Hypotheses'!L$18*(1+'Hypotheses'!$C$13)^0</f>
        <v/>
      </c>
      <c r="M8" s="5">
        <f>'Hypotheses'!$C$4*$B8*'Hypotheses'!M$18*(1+'Hypotheses'!$C$13)^0</f>
        <v/>
      </c>
      <c r="N8" s="5">
        <f>'Hypotheses'!$C$4*$B8*'Hypotheses'!N$18*(1+'Hypotheses'!$C$13)^0</f>
        <v/>
      </c>
      <c r="O8" s="5">
        <f>'Hypotheses'!$C$4*$B8*'Hypotheses'!C$18*(1+'Hypotheses'!$C$13)^1</f>
        <v/>
      </c>
      <c r="P8" s="5">
        <f>'Hypotheses'!$C$4*$B8*'Hypotheses'!D$18*(1+'Hypotheses'!$C$13)^1</f>
        <v/>
      </c>
      <c r="Q8" s="5">
        <f>'Hypotheses'!$C$4*$B8*'Hypotheses'!E$18*(1+'Hypotheses'!$C$13)^1</f>
        <v/>
      </c>
      <c r="R8" s="5">
        <f>'Hypotheses'!$C$4*$B8*'Hypotheses'!F$18*(1+'Hypotheses'!$C$13)^1</f>
        <v/>
      </c>
      <c r="S8" s="5">
        <f>'Hypotheses'!$C$4*$B8*'Hypotheses'!G$18*(1+'Hypotheses'!$C$13)^1</f>
        <v/>
      </c>
      <c r="T8" s="5">
        <f>'Hypotheses'!$C$4*$B8*'Hypotheses'!H$18*(1+'Hypotheses'!$C$13)^1</f>
        <v/>
      </c>
      <c r="U8" s="5">
        <f>'Hypotheses'!$C$4*$B8*'Hypotheses'!I$18*(1+'Hypotheses'!$C$13)^1</f>
        <v/>
      </c>
      <c r="V8" s="5">
        <f>'Hypotheses'!$C$4*$B8*'Hypotheses'!J$18*(1+'Hypotheses'!$C$13)^1</f>
        <v/>
      </c>
      <c r="W8" s="5">
        <f>'Hypotheses'!$C$4*$B8*'Hypotheses'!K$18*(1+'Hypotheses'!$C$13)^1</f>
        <v/>
      </c>
      <c r="X8" s="5">
        <f>'Hypotheses'!$C$4*$B8*'Hypotheses'!L$18*(1+'Hypotheses'!$C$13)^1</f>
        <v/>
      </c>
      <c r="Y8" s="5">
        <f>'Hypotheses'!$C$4*$B8*'Hypotheses'!M$18*(1+'Hypotheses'!$C$13)^1</f>
        <v/>
      </c>
      <c r="Z8" s="5">
        <f>'Hypotheses'!$C$4*$B8*'Hypotheses'!N$18*(1+'Hypotheses'!$C$13)^1</f>
        <v/>
      </c>
      <c r="AA8" s="5">
        <f>'Hypotheses'!$C$4*$B8*'Hypotheses'!C$18*(1+'Hypotheses'!$C$13)^2</f>
        <v/>
      </c>
      <c r="AB8" s="5">
        <f>'Hypotheses'!$C$4*$B8*'Hypotheses'!D$18*(1+'Hypotheses'!$C$13)^2</f>
        <v/>
      </c>
      <c r="AC8" s="5">
        <f>'Hypotheses'!$C$4*$B8*'Hypotheses'!E$18*(1+'Hypotheses'!$C$13)^2</f>
        <v/>
      </c>
      <c r="AD8" s="5">
        <f>'Hypotheses'!$C$4*$B8*'Hypotheses'!F$18*(1+'Hypotheses'!$C$13)^2</f>
        <v/>
      </c>
      <c r="AE8" s="5">
        <f>'Hypotheses'!$C$4*$B8*'Hypotheses'!G$18*(1+'Hypotheses'!$C$13)^2</f>
        <v/>
      </c>
      <c r="AF8" s="5">
        <f>'Hypotheses'!$C$4*$B8*'Hypotheses'!H$18*(1+'Hypotheses'!$C$13)^2</f>
        <v/>
      </c>
      <c r="AG8" s="5">
        <f>'Hypotheses'!$C$4*$B8*'Hypotheses'!I$18*(1+'Hypotheses'!$C$13)^2</f>
        <v/>
      </c>
      <c r="AH8" s="5">
        <f>'Hypotheses'!$C$4*$B8*'Hypotheses'!J$18*(1+'Hypotheses'!$C$13)^2</f>
        <v/>
      </c>
      <c r="AI8" s="5">
        <f>'Hypotheses'!$C$4*$B8*'Hypotheses'!K$18*(1+'Hypotheses'!$C$13)^2</f>
        <v/>
      </c>
      <c r="AJ8" s="5">
        <f>'Hypotheses'!$C$4*$B8*'Hypotheses'!L$18*(1+'Hypotheses'!$C$13)^2</f>
        <v/>
      </c>
      <c r="AK8" s="5">
        <f>'Hypotheses'!$C$4*$B8*'Hypotheses'!M$18*(1+'Hypotheses'!$C$13)^2</f>
        <v/>
      </c>
      <c r="AL8" s="5">
        <f>'Hypotheses'!$C$4*$B8*'Hypotheses'!N$18*(1+'Hypotheses'!$C$13)^2</f>
        <v/>
      </c>
    </row>
    <row r="9" ht="20" customHeight="1">
      <c r="A9" s="7" t="inlineStr">
        <is>
          <t>TOTAL CA HT</t>
        </is>
      </c>
      <c r="B9" s="7" t="n"/>
      <c r="C9" s="7">
        <f>SUM(C5:C8)</f>
        <v/>
      </c>
      <c r="D9" s="7">
        <f>SUM(D5:D8)</f>
        <v/>
      </c>
      <c r="E9" s="7">
        <f>SUM(E5:E8)</f>
        <v/>
      </c>
      <c r="F9" s="7">
        <f>SUM(F5:F8)</f>
        <v/>
      </c>
      <c r="G9" s="7">
        <f>SUM(G5:G8)</f>
        <v/>
      </c>
      <c r="H9" s="7">
        <f>SUM(H5:H8)</f>
        <v/>
      </c>
      <c r="I9" s="7">
        <f>SUM(I5:I8)</f>
        <v/>
      </c>
      <c r="J9" s="7">
        <f>SUM(J5:J8)</f>
        <v/>
      </c>
      <c r="K9" s="7">
        <f>SUM(K5:K8)</f>
        <v/>
      </c>
      <c r="L9" s="7">
        <f>SUM(L5:L8)</f>
        <v/>
      </c>
      <c r="M9" s="7">
        <f>SUM(M5:M8)</f>
        <v/>
      </c>
      <c r="N9" s="7">
        <f>SUM(N5:N8)</f>
        <v/>
      </c>
      <c r="O9" s="7">
        <f>SUM(O5:O8)</f>
        <v/>
      </c>
      <c r="P9" s="7">
        <f>SUM(P5:P8)</f>
        <v/>
      </c>
      <c r="Q9" s="7">
        <f>SUM(Q5:Q8)</f>
        <v/>
      </c>
      <c r="R9" s="7">
        <f>SUM(R5:R8)</f>
        <v/>
      </c>
      <c r="S9" s="7">
        <f>SUM(S5:S8)</f>
        <v/>
      </c>
      <c r="T9" s="7">
        <f>SUM(T5:T8)</f>
        <v/>
      </c>
      <c r="U9" s="7">
        <f>SUM(U5:U8)</f>
        <v/>
      </c>
      <c r="V9" s="7">
        <f>SUM(V5:V8)</f>
        <v/>
      </c>
      <c r="W9" s="7">
        <f>SUM(W5:W8)</f>
        <v/>
      </c>
      <c r="X9" s="7">
        <f>SUM(X5:X8)</f>
        <v/>
      </c>
      <c r="Y9" s="7">
        <f>SUM(Y5:Y8)</f>
        <v/>
      </c>
      <c r="Z9" s="7">
        <f>SUM(Z5:Z8)</f>
        <v/>
      </c>
      <c r="AA9" s="7">
        <f>SUM(AA5:AA8)</f>
        <v/>
      </c>
      <c r="AB9" s="7">
        <f>SUM(AB5:AB8)</f>
        <v/>
      </c>
      <c r="AC9" s="7">
        <f>SUM(AC5:AC8)</f>
        <v/>
      </c>
      <c r="AD9" s="7">
        <f>SUM(AD5:AD8)</f>
        <v/>
      </c>
      <c r="AE9" s="7">
        <f>SUM(AE5:AE8)</f>
        <v/>
      </c>
      <c r="AF9" s="7">
        <f>SUM(AF5:AF8)</f>
        <v/>
      </c>
      <c r="AG9" s="7">
        <f>SUM(AG5:AG8)</f>
        <v/>
      </c>
      <c r="AH9" s="7">
        <f>SUM(AH5:AH8)</f>
        <v/>
      </c>
      <c r="AI9" s="7">
        <f>SUM(AI5:AI8)</f>
        <v/>
      </c>
      <c r="AJ9" s="7">
        <f>SUM(AJ5:AJ8)</f>
        <v/>
      </c>
      <c r="AK9" s="7">
        <f>SUM(AK5:AK8)</f>
        <v/>
      </c>
      <c r="AL9" s="7">
        <f>SUM(AL5:AL8)</f>
        <v/>
      </c>
    </row>
    <row r="10" ht="20" customHeight="1">
      <c r="A10" s="7" t="inlineStr">
        <is>
          <t>Control sum revenue mix</t>
        </is>
      </c>
      <c r="B10" s="8">
        <f>SUM(B5:B8)</f>
        <v/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</row>
    <row r="11" ht="20" customHeight="1">
      <c r="A11" s="7" t="inlineStr">
        <is>
          <t>TVA collectee sur les ventes</t>
        </is>
      </c>
      <c r="B11" s="7" t="n"/>
      <c r="C11" s="7">
        <f>C9*'Hypotheses'!$C$5</f>
        <v/>
      </c>
      <c r="D11" s="7">
        <f>D9*'Hypotheses'!$C$5</f>
        <v/>
      </c>
      <c r="E11" s="7">
        <f>E9*'Hypotheses'!$C$5</f>
        <v/>
      </c>
      <c r="F11" s="7">
        <f>F9*'Hypotheses'!$C$5</f>
        <v/>
      </c>
      <c r="G11" s="7">
        <f>G9*'Hypotheses'!$C$5</f>
        <v/>
      </c>
      <c r="H11" s="7">
        <f>H9*'Hypotheses'!$C$5</f>
        <v/>
      </c>
      <c r="I11" s="7">
        <f>I9*'Hypotheses'!$C$5</f>
        <v/>
      </c>
      <c r="J11" s="7">
        <f>J9*'Hypotheses'!$C$5</f>
        <v/>
      </c>
      <c r="K11" s="7">
        <f>K9*'Hypotheses'!$C$5</f>
        <v/>
      </c>
      <c r="L11" s="7">
        <f>L9*'Hypotheses'!$C$5</f>
        <v/>
      </c>
      <c r="M11" s="7">
        <f>M9*'Hypotheses'!$C$5</f>
        <v/>
      </c>
      <c r="N11" s="7">
        <f>N9*'Hypotheses'!$C$5</f>
        <v/>
      </c>
      <c r="O11" s="7">
        <f>O9*'Hypotheses'!$C$5</f>
        <v/>
      </c>
      <c r="P11" s="7">
        <f>P9*'Hypotheses'!$C$5</f>
        <v/>
      </c>
      <c r="Q11" s="7">
        <f>Q9*'Hypotheses'!$C$5</f>
        <v/>
      </c>
      <c r="R11" s="7">
        <f>R9*'Hypotheses'!$C$5</f>
        <v/>
      </c>
      <c r="S11" s="7">
        <f>S9*'Hypotheses'!$C$5</f>
        <v/>
      </c>
      <c r="T11" s="7">
        <f>T9*'Hypotheses'!$C$5</f>
        <v/>
      </c>
      <c r="U11" s="7">
        <f>U9*'Hypotheses'!$C$5</f>
        <v/>
      </c>
      <c r="V11" s="7">
        <f>V9*'Hypotheses'!$C$5</f>
        <v/>
      </c>
      <c r="W11" s="7">
        <f>W9*'Hypotheses'!$C$5</f>
        <v/>
      </c>
      <c r="X11" s="7">
        <f>X9*'Hypotheses'!$C$5</f>
        <v/>
      </c>
      <c r="Y11" s="7">
        <f>Y9*'Hypotheses'!$C$5</f>
        <v/>
      </c>
      <c r="Z11" s="7">
        <f>Z9*'Hypotheses'!$C$5</f>
        <v/>
      </c>
      <c r="AA11" s="7">
        <f>AA9*'Hypotheses'!$C$5</f>
        <v/>
      </c>
      <c r="AB11" s="7">
        <f>AB9*'Hypotheses'!$C$5</f>
        <v/>
      </c>
      <c r="AC11" s="7">
        <f>AC9*'Hypotheses'!$C$5</f>
        <v/>
      </c>
      <c r="AD11" s="7">
        <f>AD9*'Hypotheses'!$C$5</f>
        <v/>
      </c>
      <c r="AE11" s="7">
        <f>AE9*'Hypotheses'!$C$5</f>
        <v/>
      </c>
      <c r="AF11" s="7">
        <f>AF9*'Hypotheses'!$C$5</f>
        <v/>
      </c>
      <c r="AG11" s="7">
        <f>AG9*'Hypotheses'!$C$5</f>
        <v/>
      </c>
      <c r="AH11" s="7">
        <f>AH9*'Hypotheses'!$C$5</f>
        <v/>
      </c>
      <c r="AI11" s="7">
        <f>AI9*'Hypotheses'!$C$5</f>
        <v/>
      </c>
      <c r="AJ11" s="7">
        <f>AJ9*'Hypotheses'!$C$5</f>
        <v/>
      </c>
      <c r="AK11" s="7">
        <f>AK9*'Hypotheses'!$C$5</f>
        <v/>
      </c>
      <c r="AL11" s="7">
        <f>AL9*'Hypotheses'!$C$5</f>
        <v/>
      </c>
    </row>
    <row r="12" ht="20" customHeight="1">
      <c r="A12" s="7" t="inlineStr">
        <is>
          <t>CA TTC encaissable</t>
        </is>
      </c>
      <c r="B12" s="7" t="n"/>
      <c r="C12" s="7">
        <f>C9+C11</f>
        <v/>
      </c>
      <c r="D12" s="7">
        <f>D9+D11</f>
        <v/>
      </c>
      <c r="E12" s="7">
        <f>E9+E11</f>
        <v/>
      </c>
      <c r="F12" s="7">
        <f>F9+F11</f>
        <v/>
      </c>
      <c r="G12" s="7">
        <f>G9+G11</f>
        <v/>
      </c>
      <c r="H12" s="7">
        <f>H9+H11</f>
        <v/>
      </c>
      <c r="I12" s="7">
        <f>I9+I11</f>
        <v/>
      </c>
      <c r="J12" s="7">
        <f>J9+J11</f>
        <v/>
      </c>
      <c r="K12" s="7">
        <f>K9+K11</f>
        <v/>
      </c>
      <c r="L12" s="7">
        <f>L9+L11</f>
        <v/>
      </c>
      <c r="M12" s="7">
        <f>M9+M11</f>
        <v/>
      </c>
      <c r="N12" s="7">
        <f>N9+N11</f>
        <v/>
      </c>
      <c r="O12" s="7">
        <f>O9+O11</f>
        <v/>
      </c>
      <c r="P12" s="7">
        <f>P9+P11</f>
        <v/>
      </c>
      <c r="Q12" s="7">
        <f>Q9+Q11</f>
        <v/>
      </c>
      <c r="R12" s="7">
        <f>R9+R11</f>
        <v/>
      </c>
      <c r="S12" s="7">
        <f>S9+S11</f>
        <v/>
      </c>
      <c r="T12" s="7">
        <f>T9+T11</f>
        <v/>
      </c>
      <c r="U12" s="7">
        <f>U9+U11</f>
        <v/>
      </c>
      <c r="V12" s="7">
        <f>V9+V11</f>
        <v/>
      </c>
      <c r="W12" s="7">
        <f>W9+W11</f>
        <v/>
      </c>
      <c r="X12" s="7">
        <f>X9+X11</f>
        <v/>
      </c>
      <c r="Y12" s="7">
        <f>Y9+Y11</f>
        <v/>
      </c>
      <c r="Z12" s="7">
        <f>Z9+Z11</f>
        <v/>
      </c>
      <c r="AA12" s="7">
        <f>AA9+AA11</f>
        <v/>
      </c>
      <c r="AB12" s="7">
        <f>AB9+AB11</f>
        <v/>
      </c>
      <c r="AC12" s="7">
        <f>AC9+AC11</f>
        <v/>
      </c>
      <c r="AD12" s="7">
        <f>AD9+AD11</f>
        <v/>
      </c>
      <c r="AE12" s="7">
        <f>AE9+AE11</f>
        <v/>
      </c>
      <c r="AF12" s="7">
        <f>AF9+AF11</f>
        <v/>
      </c>
      <c r="AG12" s="7">
        <f>AG9+AG11</f>
        <v/>
      </c>
      <c r="AH12" s="7">
        <f>AH9+AH11</f>
        <v/>
      </c>
      <c r="AI12" s="7">
        <f>AI9+AI11</f>
        <v/>
      </c>
      <c r="AJ12" s="7">
        <f>AJ9+AJ11</f>
        <v/>
      </c>
      <c r="AK12" s="7">
        <f>AK9+AK11</f>
        <v/>
      </c>
      <c r="AL12" s="7">
        <f>AL9+AL11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</cols>
  <sheetData>
    <row r="1" ht="20" customHeight="1">
      <c r="A1" s="1" t="inlineStr">
        <is>
          <t>Restaurant - Depenses detaillees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</row>
    <row r="2" ht="20" customHeight="1">
      <c r="A2" s="2" t="inlineStr">
        <is>
          <t>Quantity x seasonality x unit price x inflation = monthly cost. Market rows use monthly price series.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inlineStr">
        <is>
          <t>ANNEE 1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inlineStr">
        <is>
          <t>ANNEE 2</t>
        </is>
      </c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inlineStr">
        <is>
          <t>ANNEE 3</t>
        </is>
      </c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</row>
    <row r="4" ht="20" customHeight="1">
      <c r="A4" s="6" t="inlineStr">
        <is>
          <t>Categorie</t>
        </is>
      </c>
      <c r="B4" s="6" t="inlineStr">
        <is>
          <t>Poste</t>
        </is>
      </c>
      <c r="C4" s="6" t="inlineStr">
        <is>
          <t>Qte base/mois A1</t>
        </is>
      </c>
      <c r="D4" s="6" t="inlineStr">
        <is>
          <t>Unite</t>
        </is>
      </c>
      <c r="E4" s="6" t="inlineStr">
        <is>
          <t>Prix unitaire A1</t>
        </is>
      </c>
      <c r="F4" s="6" t="inlineStr">
        <is>
          <t>Underlying</t>
        </is>
      </c>
      <c r="G4" s="6" t="inlineStr">
        <is>
          <t>Source prix</t>
        </is>
      </c>
      <c r="H4" s="6" t="inlineStr">
        <is>
          <t>Jan A1</t>
        </is>
      </c>
      <c r="I4" s="6" t="inlineStr">
        <is>
          <t>Feb A1</t>
        </is>
      </c>
      <c r="J4" s="6" t="inlineStr">
        <is>
          <t>Mar A1</t>
        </is>
      </c>
      <c r="K4" s="6" t="inlineStr">
        <is>
          <t>Apr A1</t>
        </is>
      </c>
      <c r="L4" s="6" t="inlineStr">
        <is>
          <t>May A1</t>
        </is>
      </c>
      <c r="M4" s="6" t="inlineStr">
        <is>
          <t>Jun A1</t>
        </is>
      </c>
      <c r="N4" s="6" t="inlineStr">
        <is>
          <t>Jul A1</t>
        </is>
      </c>
      <c r="O4" s="6" t="inlineStr">
        <is>
          <t>Aug A1</t>
        </is>
      </c>
      <c r="P4" s="6" t="inlineStr">
        <is>
          <t>Sep A1</t>
        </is>
      </c>
      <c r="Q4" s="6" t="inlineStr">
        <is>
          <t>Oct A1</t>
        </is>
      </c>
      <c r="R4" s="6" t="inlineStr">
        <is>
          <t>Nov A1</t>
        </is>
      </c>
      <c r="S4" s="6" t="inlineStr">
        <is>
          <t>Dec A1</t>
        </is>
      </c>
      <c r="T4" s="6" t="inlineStr">
        <is>
          <t>Jan A2</t>
        </is>
      </c>
      <c r="U4" s="6" t="inlineStr">
        <is>
          <t>Feb A2</t>
        </is>
      </c>
      <c r="V4" s="6" t="inlineStr">
        <is>
          <t>Mar A2</t>
        </is>
      </c>
      <c r="W4" s="6" t="inlineStr">
        <is>
          <t>Apr A2</t>
        </is>
      </c>
      <c r="X4" s="6" t="inlineStr">
        <is>
          <t>May A2</t>
        </is>
      </c>
      <c r="Y4" s="6" t="inlineStr">
        <is>
          <t>Jun A2</t>
        </is>
      </c>
      <c r="Z4" s="6" t="inlineStr">
        <is>
          <t>Jul A2</t>
        </is>
      </c>
      <c r="AA4" s="6" t="inlineStr">
        <is>
          <t>Aug A2</t>
        </is>
      </c>
      <c r="AB4" s="6" t="inlineStr">
        <is>
          <t>Sep A2</t>
        </is>
      </c>
      <c r="AC4" s="6" t="inlineStr">
        <is>
          <t>Oct A2</t>
        </is>
      </c>
      <c r="AD4" s="6" t="inlineStr">
        <is>
          <t>Nov A2</t>
        </is>
      </c>
      <c r="AE4" s="6" t="inlineStr">
        <is>
          <t>Dec A2</t>
        </is>
      </c>
      <c r="AF4" s="6" t="inlineStr">
        <is>
          <t>Jan A3</t>
        </is>
      </c>
      <c r="AG4" s="6" t="inlineStr">
        <is>
          <t>Feb A3</t>
        </is>
      </c>
      <c r="AH4" s="6" t="inlineStr">
        <is>
          <t>Mar A3</t>
        </is>
      </c>
      <c r="AI4" s="6" t="inlineStr">
        <is>
          <t>Apr A3</t>
        </is>
      </c>
      <c r="AJ4" s="6" t="inlineStr">
        <is>
          <t>May A3</t>
        </is>
      </c>
      <c r="AK4" s="6" t="inlineStr">
        <is>
          <t>Jun A3</t>
        </is>
      </c>
      <c r="AL4" s="6" t="inlineStr">
        <is>
          <t>Jul A3</t>
        </is>
      </c>
      <c r="AM4" s="6" t="inlineStr">
        <is>
          <t>Aug A3</t>
        </is>
      </c>
      <c r="AN4" s="6" t="inlineStr">
        <is>
          <t>Sep A3</t>
        </is>
      </c>
      <c r="AO4" s="6" t="inlineStr">
        <is>
          <t>Oct A3</t>
        </is>
      </c>
      <c r="AP4" s="6" t="inlineStr">
        <is>
          <t>Nov A3</t>
        </is>
      </c>
      <c r="AQ4" s="6" t="inlineStr">
        <is>
          <t>Dec A3</t>
        </is>
      </c>
    </row>
    <row r="5" ht="20" customHeight="1">
      <c r="A5" s="3" t="inlineStr">
        <is>
          <t>Raw materials</t>
        </is>
      </c>
      <c r="B5" s="3" t="inlineStr">
        <is>
          <t>Food purchases - market price</t>
        </is>
      </c>
      <c r="C5" s="4" t="n">
        <v>1</v>
      </c>
      <c r="D5" s="3" t="inlineStr">
        <is>
          <t>monthly package</t>
        </is>
      </c>
      <c r="E5" s="3">
        <f>AVERAGE(H5:AQ5)</f>
        <v/>
      </c>
      <c r="F5" s="3" t="n"/>
      <c r="G5" s="9" t="inlineStr">
        <is>
          <t>INSEE BDM 010763739: Indice de prix de production de l'industrie française pour le marché français − CPF 10.8 − Autres produits alimentaires ; normalized to model unit price</t>
        </is>
      </c>
      <c r="H5" s="9" t="n">
        <v>10000</v>
      </c>
      <c r="I5" s="9" t="n">
        <v>9939.879800000001</v>
      </c>
      <c r="J5" s="9" t="n">
        <v>9979.9599</v>
      </c>
      <c r="K5" s="9" t="n">
        <v>9969.939899999999</v>
      </c>
      <c r="L5" s="9" t="n">
        <v>9989.98</v>
      </c>
      <c r="M5" s="9" t="n">
        <v>10000</v>
      </c>
      <c r="N5" s="9" t="n">
        <v>9959.9198</v>
      </c>
      <c r="O5" s="9" t="n">
        <v>9969.939899999999</v>
      </c>
      <c r="P5" s="9" t="n">
        <v>10040.0802</v>
      </c>
      <c r="Q5" s="9" t="n">
        <v>10100.2004</v>
      </c>
      <c r="R5" s="9" t="n">
        <v>10160.3206</v>
      </c>
      <c r="S5" s="9" t="n">
        <v>10140.2806</v>
      </c>
      <c r="T5" s="9" t="n">
        <v>10320.6413</v>
      </c>
      <c r="U5" s="9" t="n">
        <v>10460.9218</v>
      </c>
      <c r="V5" s="9" t="n">
        <v>10781.5631</v>
      </c>
      <c r="W5" s="9" t="n">
        <v>11292.5852</v>
      </c>
      <c r="X5" s="9" t="n">
        <v>11402.8056</v>
      </c>
      <c r="Y5" s="9" t="n">
        <v>11543.0862</v>
      </c>
      <c r="Z5" s="9" t="n">
        <v>11713.4269</v>
      </c>
      <c r="AA5" s="9" t="n">
        <v>11873.7475</v>
      </c>
      <c r="AB5" s="9" t="n">
        <v>11943.8878</v>
      </c>
      <c r="AC5" s="9" t="n">
        <v>12294.5892</v>
      </c>
      <c r="AD5" s="9" t="n">
        <v>12474.9499</v>
      </c>
      <c r="AE5" s="9" t="n">
        <v>12735.4709</v>
      </c>
      <c r="AF5" s="9" t="n">
        <v>13156.3126</v>
      </c>
      <c r="AG5" s="9" t="n">
        <v>13356.7134</v>
      </c>
      <c r="AH5" s="9" t="n">
        <v>13617.2345</v>
      </c>
      <c r="AI5" s="9" t="n">
        <v>13837.6754</v>
      </c>
      <c r="AJ5" s="9" t="n">
        <v>13847.6954</v>
      </c>
      <c r="AK5" s="9" t="n">
        <v>13847.6954</v>
      </c>
      <c r="AL5" s="9" t="n">
        <v>13677.3547</v>
      </c>
      <c r="AM5" s="9" t="n">
        <v>13747.495</v>
      </c>
      <c r="AN5" s="9" t="n">
        <v>13657.3146</v>
      </c>
      <c r="AO5" s="9" t="n">
        <v>13707.4148</v>
      </c>
      <c r="AP5" s="9" t="n">
        <v>13747.495</v>
      </c>
      <c r="AQ5" s="9" t="n">
        <v>13777.5551</v>
      </c>
    </row>
    <row r="6" ht="20" customHeight="1">
      <c r="A6" s="3" t="inlineStr">
        <is>
          <t>Raw materials</t>
        </is>
      </c>
      <c r="B6" s="3" t="inlineStr">
        <is>
          <t>Cost (Food purchases)</t>
        </is>
      </c>
      <c r="C6" s="4" t="n">
        <v>1</v>
      </c>
      <c r="D6" s="3" t="inlineStr">
        <is>
          <t>monthly package</t>
        </is>
      </c>
      <c r="E6" s="5">
        <f>E5</f>
        <v/>
      </c>
      <c r="F6" s="3" t="n"/>
      <c r="G6" s="3" t="inlineStr">
        <is>
          <t>Cost = quantity x seasonality x monthly market price</t>
        </is>
      </c>
      <c r="H6" s="5">
        <f>$C6*'Hypotheses'!C$17*H5</f>
        <v/>
      </c>
      <c r="I6" s="5">
        <f>$C6*'Hypotheses'!D$17*I5</f>
        <v/>
      </c>
      <c r="J6" s="5">
        <f>$C6*'Hypotheses'!E$17*J5</f>
        <v/>
      </c>
      <c r="K6" s="5">
        <f>$C6*'Hypotheses'!F$17*K5</f>
        <v/>
      </c>
      <c r="L6" s="5">
        <f>$C6*'Hypotheses'!G$17*L5</f>
        <v/>
      </c>
      <c r="M6" s="5">
        <f>$C6*'Hypotheses'!H$17*M5</f>
        <v/>
      </c>
      <c r="N6" s="5">
        <f>$C6*'Hypotheses'!I$17*N5</f>
        <v/>
      </c>
      <c r="O6" s="5">
        <f>$C6*'Hypotheses'!J$17*O5</f>
        <v/>
      </c>
      <c r="P6" s="5">
        <f>$C6*'Hypotheses'!K$17*P5</f>
        <v/>
      </c>
      <c r="Q6" s="5">
        <f>$C6*'Hypotheses'!L$17*Q5</f>
        <v/>
      </c>
      <c r="R6" s="5">
        <f>$C6*'Hypotheses'!M$17*R5</f>
        <v/>
      </c>
      <c r="S6" s="5">
        <f>$C6*'Hypotheses'!N$17*S5</f>
        <v/>
      </c>
      <c r="T6" s="5">
        <f>$C6*'Hypotheses'!C$17*T5</f>
        <v/>
      </c>
      <c r="U6" s="5">
        <f>$C6*'Hypotheses'!D$17*U5</f>
        <v/>
      </c>
      <c r="V6" s="5">
        <f>$C6*'Hypotheses'!E$17*V5</f>
        <v/>
      </c>
      <c r="W6" s="5">
        <f>$C6*'Hypotheses'!F$17*W5</f>
        <v/>
      </c>
      <c r="X6" s="5">
        <f>$C6*'Hypotheses'!G$17*X5</f>
        <v/>
      </c>
      <c r="Y6" s="5">
        <f>$C6*'Hypotheses'!H$17*Y5</f>
        <v/>
      </c>
      <c r="Z6" s="5">
        <f>$C6*'Hypotheses'!I$17*Z5</f>
        <v/>
      </c>
      <c r="AA6" s="5">
        <f>$C6*'Hypotheses'!J$17*AA5</f>
        <v/>
      </c>
      <c r="AB6" s="5">
        <f>$C6*'Hypotheses'!K$17*AB5</f>
        <v/>
      </c>
      <c r="AC6" s="5">
        <f>$C6*'Hypotheses'!L$17*AC5</f>
        <v/>
      </c>
      <c r="AD6" s="5">
        <f>$C6*'Hypotheses'!M$17*AD5</f>
        <v/>
      </c>
      <c r="AE6" s="5">
        <f>$C6*'Hypotheses'!N$17*AE5</f>
        <v/>
      </c>
      <c r="AF6" s="5">
        <f>$C6*'Hypotheses'!C$17*AF5</f>
        <v/>
      </c>
      <c r="AG6" s="5">
        <f>$C6*'Hypotheses'!D$17*AG5</f>
        <v/>
      </c>
      <c r="AH6" s="5">
        <f>$C6*'Hypotheses'!E$17*AH5</f>
        <v/>
      </c>
      <c r="AI6" s="5">
        <f>$C6*'Hypotheses'!F$17*AI5</f>
        <v/>
      </c>
      <c r="AJ6" s="5">
        <f>$C6*'Hypotheses'!G$17*AJ5</f>
        <v/>
      </c>
      <c r="AK6" s="5">
        <f>$C6*'Hypotheses'!H$17*AK5</f>
        <v/>
      </c>
      <c r="AL6" s="5">
        <f>$C6*'Hypotheses'!I$17*AL5</f>
        <v/>
      </c>
      <c r="AM6" s="5">
        <f>$C6*'Hypotheses'!J$17*AM5</f>
        <v/>
      </c>
      <c r="AN6" s="5">
        <f>$C6*'Hypotheses'!K$17*AN5</f>
        <v/>
      </c>
      <c r="AO6" s="5">
        <f>$C6*'Hypotheses'!L$17*AO5</f>
        <v/>
      </c>
      <c r="AP6" s="5">
        <f>$C6*'Hypotheses'!M$17*AP5</f>
        <v/>
      </c>
      <c r="AQ6" s="5">
        <f>$C6*'Hypotheses'!N$17*AQ5</f>
        <v/>
      </c>
    </row>
    <row r="7" ht="20" customHeight="1">
      <c r="A7" s="3" t="inlineStr">
        <is>
          <t>Raw materials</t>
        </is>
      </c>
      <c r="B7" s="3" t="inlineStr">
        <is>
          <t>Butter, cream and dairy fats - market price</t>
        </is>
      </c>
      <c r="C7" s="4" t="n">
        <v>320</v>
      </c>
      <c r="D7" s="3" t="inlineStr">
        <is>
          <t>kg/L</t>
        </is>
      </c>
      <c r="E7" s="3">
        <f>AVERAGE(H7:AQ7)</f>
        <v/>
      </c>
      <c r="F7" s="3" t="inlineStr">
        <is>
          <t>Fats</t>
        </is>
      </c>
      <c r="G7" s="9" t="inlineStr">
        <is>
          <t>INSEE BDM 010763706: Indice de prix de production de l'industrie française pour le marché français − CPF 10.51 − Produits laitiers et fromages pour grossistes et restaurateurs ; normalized to model unit price</t>
        </is>
      </c>
      <c r="H7" s="9" t="n">
        <v>4.2</v>
      </c>
      <c r="I7" s="9" t="n">
        <v>4.2522</v>
      </c>
      <c r="J7" s="9" t="n">
        <v>4.3174</v>
      </c>
      <c r="K7" s="9" t="n">
        <v>4.3435</v>
      </c>
      <c r="L7" s="9" t="n">
        <v>4.3652</v>
      </c>
      <c r="M7" s="9" t="n">
        <v>4.3522</v>
      </c>
      <c r="N7" s="9" t="n">
        <v>4.3957</v>
      </c>
      <c r="O7" s="9" t="n">
        <v>4.387</v>
      </c>
      <c r="P7" s="9" t="n">
        <v>4.387</v>
      </c>
      <c r="Q7" s="9" t="n">
        <v>4.3391</v>
      </c>
      <c r="R7" s="9" t="n">
        <v>4.4739</v>
      </c>
      <c r="S7" s="9" t="n">
        <v>4.3565</v>
      </c>
      <c r="T7" s="9" t="n">
        <v>4.7435</v>
      </c>
      <c r="U7" s="9" t="n">
        <v>4.7565</v>
      </c>
      <c r="V7" s="9" t="n">
        <v>4.7783</v>
      </c>
      <c r="W7" s="9" t="n">
        <v>4.913</v>
      </c>
      <c r="X7" s="9" t="n">
        <v>4.9652</v>
      </c>
      <c r="Y7" s="9" t="n">
        <v>5.0478</v>
      </c>
      <c r="Z7" s="9" t="n">
        <v>5.3783</v>
      </c>
      <c r="AA7" s="9" t="n">
        <v>5.4087</v>
      </c>
      <c r="AB7" s="9" t="n">
        <v>5.4478</v>
      </c>
      <c r="AC7" s="9" t="n">
        <v>5.6391</v>
      </c>
      <c r="AD7" s="9" t="n">
        <v>5.5783</v>
      </c>
      <c r="AE7" s="9" t="n">
        <v>5.5217</v>
      </c>
      <c r="AF7" s="9" t="n">
        <v>5.7696</v>
      </c>
      <c r="AG7" s="9" t="n">
        <v>5.887</v>
      </c>
      <c r="AH7" s="9" t="n">
        <v>6.0174</v>
      </c>
      <c r="AI7" s="9" t="n">
        <v>6.0478</v>
      </c>
      <c r="AJ7" s="9" t="n">
        <v>6.1</v>
      </c>
      <c r="AK7" s="9" t="n">
        <v>6.0304</v>
      </c>
      <c r="AL7" s="9" t="n">
        <v>6.0696</v>
      </c>
      <c r="AM7" s="9" t="n">
        <v>5.9435</v>
      </c>
      <c r="AN7" s="9" t="n">
        <v>5.9609</v>
      </c>
      <c r="AO7" s="9" t="n">
        <v>5.9522</v>
      </c>
      <c r="AP7" s="9" t="n">
        <v>5.8783</v>
      </c>
      <c r="AQ7" s="9" t="n">
        <v>5.9043</v>
      </c>
    </row>
    <row r="8" ht="20" customHeight="1">
      <c r="A8" s="3" t="inlineStr">
        <is>
          <t>Raw materials</t>
        </is>
      </c>
      <c r="B8" s="3" t="inlineStr">
        <is>
          <t>Cost (Butter, cream and dairy fats)</t>
        </is>
      </c>
      <c r="C8" s="4" t="n">
        <v>320</v>
      </c>
      <c r="D8" s="3" t="inlineStr">
        <is>
          <t>kg/L</t>
        </is>
      </c>
      <c r="E8" s="5">
        <f>E7</f>
        <v/>
      </c>
      <c r="F8" s="3" t="inlineStr">
        <is>
          <t>Fats</t>
        </is>
      </c>
      <c r="G8" s="3" t="inlineStr">
        <is>
          <t>Cost = quantity x seasonality x monthly market price</t>
        </is>
      </c>
      <c r="H8" s="5">
        <f>$C8*'Hypotheses'!C$17*H7</f>
        <v/>
      </c>
      <c r="I8" s="5">
        <f>$C8*'Hypotheses'!D$17*I7</f>
        <v/>
      </c>
      <c r="J8" s="5">
        <f>$C8*'Hypotheses'!E$17*J7</f>
        <v/>
      </c>
      <c r="K8" s="5">
        <f>$C8*'Hypotheses'!F$17*K7</f>
        <v/>
      </c>
      <c r="L8" s="5">
        <f>$C8*'Hypotheses'!G$17*L7</f>
        <v/>
      </c>
      <c r="M8" s="5">
        <f>$C8*'Hypotheses'!H$17*M7</f>
        <v/>
      </c>
      <c r="N8" s="5">
        <f>$C8*'Hypotheses'!I$17*N7</f>
        <v/>
      </c>
      <c r="O8" s="5">
        <f>$C8*'Hypotheses'!J$17*O7</f>
        <v/>
      </c>
      <c r="P8" s="5">
        <f>$C8*'Hypotheses'!K$17*P7</f>
        <v/>
      </c>
      <c r="Q8" s="5">
        <f>$C8*'Hypotheses'!L$17*Q7</f>
        <v/>
      </c>
      <c r="R8" s="5">
        <f>$C8*'Hypotheses'!M$17*R7</f>
        <v/>
      </c>
      <c r="S8" s="5">
        <f>$C8*'Hypotheses'!N$17*S7</f>
        <v/>
      </c>
      <c r="T8" s="5">
        <f>$C8*'Hypotheses'!C$17*T7</f>
        <v/>
      </c>
      <c r="U8" s="5">
        <f>$C8*'Hypotheses'!D$17*U7</f>
        <v/>
      </c>
      <c r="V8" s="5">
        <f>$C8*'Hypotheses'!E$17*V7</f>
        <v/>
      </c>
      <c r="W8" s="5">
        <f>$C8*'Hypotheses'!F$17*W7</f>
        <v/>
      </c>
      <c r="X8" s="5">
        <f>$C8*'Hypotheses'!G$17*X7</f>
        <v/>
      </c>
      <c r="Y8" s="5">
        <f>$C8*'Hypotheses'!H$17*Y7</f>
        <v/>
      </c>
      <c r="Z8" s="5">
        <f>$C8*'Hypotheses'!I$17*Z7</f>
        <v/>
      </c>
      <c r="AA8" s="5">
        <f>$C8*'Hypotheses'!J$17*AA7</f>
        <v/>
      </c>
      <c r="AB8" s="5">
        <f>$C8*'Hypotheses'!K$17*AB7</f>
        <v/>
      </c>
      <c r="AC8" s="5">
        <f>$C8*'Hypotheses'!L$17*AC7</f>
        <v/>
      </c>
      <c r="AD8" s="5">
        <f>$C8*'Hypotheses'!M$17*AD7</f>
        <v/>
      </c>
      <c r="AE8" s="5">
        <f>$C8*'Hypotheses'!N$17*AE7</f>
        <v/>
      </c>
      <c r="AF8" s="5">
        <f>$C8*'Hypotheses'!C$17*AF7</f>
        <v/>
      </c>
      <c r="AG8" s="5">
        <f>$C8*'Hypotheses'!D$17*AG7</f>
        <v/>
      </c>
      <c r="AH8" s="5">
        <f>$C8*'Hypotheses'!E$17*AH7</f>
        <v/>
      </c>
      <c r="AI8" s="5">
        <f>$C8*'Hypotheses'!F$17*AI7</f>
        <v/>
      </c>
      <c r="AJ8" s="5">
        <f>$C8*'Hypotheses'!G$17*AJ7</f>
        <v/>
      </c>
      <c r="AK8" s="5">
        <f>$C8*'Hypotheses'!H$17*AK7</f>
        <v/>
      </c>
      <c r="AL8" s="5">
        <f>$C8*'Hypotheses'!I$17*AL7</f>
        <v/>
      </c>
      <c r="AM8" s="5">
        <f>$C8*'Hypotheses'!J$17*AM7</f>
        <v/>
      </c>
      <c r="AN8" s="5">
        <f>$C8*'Hypotheses'!K$17*AN7</f>
        <v/>
      </c>
      <c r="AO8" s="5">
        <f>$C8*'Hypotheses'!L$17*AO7</f>
        <v/>
      </c>
      <c r="AP8" s="5">
        <f>$C8*'Hypotheses'!M$17*AP7</f>
        <v/>
      </c>
      <c r="AQ8" s="5">
        <f>$C8*'Hypotheses'!N$17*AQ7</f>
        <v/>
      </c>
    </row>
    <row r="9" ht="20" customHeight="1">
      <c r="A9" s="3" t="inlineStr">
        <is>
          <t>Raw materials</t>
        </is>
      </c>
      <c r="B9" s="3" t="inlineStr">
        <is>
          <t>Bread and flour-based inputs - market price</t>
        </is>
      </c>
      <c r="C9" s="4" t="n">
        <v>1</v>
      </c>
      <c r="D9" s="3" t="inlineStr">
        <is>
          <t>monthly package</t>
        </is>
      </c>
      <c r="E9" s="3">
        <f>AVERAGE(H9:AQ9)</f>
        <v/>
      </c>
      <c r="F9" s="3" t="inlineStr">
        <is>
          <t>Wheat</t>
        </is>
      </c>
      <c r="G9" s="9" t="inlineStr">
        <is>
          <t>INSEE BDM 010002046: Cours des matières premières importées - Blé de force rouge d'hiver, contrat à terme à la 1ère échéance, CME (Chicago Mercantile Exchange) - Prix en cents US par boisseau; normalized to model unit price</t>
        </is>
      </c>
      <c r="H9" s="9" t="n">
        <v>2500</v>
      </c>
      <c r="I9" s="9" t="n">
        <v>2530.527</v>
      </c>
      <c r="J9" s="9" t="n">
        <v>2391.1472</v>
      </c>
      <c r="K9" s="9" t="n">
        <v>2502.0084</v>
      </c>
      <c r="L9" s="9" t="n">
        <v>2642.9949</v>
      </c>
      <c r="M9" s="9" t="n">
        <v>2492.7699</v>
      </c>
      <c r="N9" s="9" t="n">
        <v>2544.9871</v>
      </c>
      <c r="O9" s="9" t="n">
        <v>2857.4871</v>
      </c>
      <c r="P9" s="9" t="n">
        <v>2832.1819</v>
      </c>
      <c r="Q9" s="9" t="n">
        <v>3030.2057</v>
      </c>
      <c r="R9" s="9" t="n">
        <v>3312.1787</v>
      </c>
      <c r="S9" s="9" t="n">
        <v>3292.8985</v>
      </c>
      <c r="T9" s="9" t="n">
        <v>3170.3888</v>
      </c>
      <c r="U9" s="9" t="n">
        <v>3349.5341</v>
      </c>
      <c r="V9" s="9" t="n">
        <v>4417.1754</v>
      </c>
      <c r="W9" s="9" t="n">
        <v>4516.7898</v>
      </c>
      <c r="X9" s="9" t="n">
        <v>4899.9839</v>
      </c>
      <c r="Y9" s="9" t="n">
        <v>4368.9749</v>
      </c>
      <c r="Z9" s="9" t="n">
        <v>3503.7757</v>
      </c>
      <c r="AA9" s="9" t="n">
        <v>3494.1356</v>
      </c>
      <c r="AB9" s="9" t="n">
        <v>3749.5983</v>
      </c>
      <c r="AC9" s="9" t="n">
        <v>3864.8779</v>
      </c>
      <c r="AD9" s="9" t="n">
        <v>3768.8785</v>
      </c>
      <c r="AE9" s="9" t="n">
        <v>3479.2738</v>
      </c>
      <c r="AF9" s="9" t="n">
        <v>3390.5045</v>
      </c>
      <c r="AG9" s="9" t="n">
        <v>3535.5077</v>
      </c>
      <c r="AH9" s="9" t="n">
        <v>3331.8605</v>
      </c>
      <c r="AI9" s="9" t="n">
        <v>3417.0148</v>
      </c>
      <c r="AJ9" s="9" t="n">
        <v>3402.5546</v>
      </c>
      <c r="AK9" s="9" t="n">
        <v>3292.8985</v>
      </c>
      <c r="AL9" s="9" t="n">
        <v>3384.8811</v>
      </c>
      <c r="AM9" s="9" t="n">
        <v>3020.1639</v>
      </c>
      <c r="AN9" s="9" t="n">
        <v>2890.8258</v>
      </c>
      <c r="AO9" s="9" t="n">
        <v>2677.5386</v>
      </c>
      <c r="AP9" s="9" t="n">
        <v>2532.5353</v>
      </c>
      <c r="AQ9" s="9" t="n">
        <v>2573.5058</v>
      </c>
    </row>
    <row r="10" ht="20" customHeight="1">
      <c r="A10" s="3" t="inlineStr">
        <is>
          <t>Raw materials</t>
        </is>
      </c>
      <c r="B10" s="3" t="inlineStr">
        <is>
          <t>Cost (Bread and flour-based inputs)</t>
        </is>
      </c>
      <c r="C10" s="4" t="n">
        <v>1</v>
      </c>
      <c r="D10" s="3" t="inlineStr">
        <is>
          <t>monthly package</t>
        </is>
      </c>
      <c r="E10" s="5">
        <f>E9</f>
        <v/>
      </c>
      <c r="F10" s="3" t="inlineStr">
        <is>
          <t>Wheat</t>
        </is>
      </c>
      <c r="G10" s="3" t="inlineStr">
        <is>
          <t>Cost = quantity x seasonality x monthly market price</t>
        </is>
      </c>
      <c r="H10" s="5">
        <f>$C10*'Hypotheses'!C$17*H9</f>
        <v/>
      </c>
      <c r="I10" s="5">
        <f>$C10*'Hypotheses'!D$17*I9</f>
        <v/>
      </c>
      <c r="J10" s="5">
        <f>$C10*'Hypotheses'!E$17*J9</f>
        <v/>
      </c>
      <c r="K10" s="5">
        <f>$C10*'Hypotheses'!F$17*K9</f>
        <v/>
      </c>
      <c r="L10" s="5">
        <f>$C10*'Hypotheses'!G$17*L9</f>
        <v/>
      </c>
      <c r="M10" s="5">
        <f>$C10*'Hypotheses'!H$17*M9</f>
        <v/>
      </c>
      <c r="N10" s="5">
        <f>$C10*'Hypotheses'!I$17*N9</f>
        <v/>
      </c>
      <c r="O10" s="5">
        <f>$C10*'Hypotheses'!J$17*O9</f>
        <v/>
      </c>
      <c r="P10" s="5">
        <f>$C10*'Hypotheses'!K$17*P9</f>
        <v/>
      </c>
      <c r="Q10" s="5">
        <f>$C10*'Hypotheses'!L$17*Q9</f>
        <v/>
      </c>
      <c r="R10" s="5">
        <f>$C10*'Hypotheses'!M$17*R9</f>
        <v/>
      </c>
      <c r="S10" s="5">
        <f>$C10*'Hypotheses'!N$17*S9</f>
        <v/>
      </c>
      <c r="T10" s="5">
        <f>$C10*'Hypotheses'!C$17*T9</f>
        <v/>
      </c>
      <c r="U10" s="5">
        <f>$C10*'Hypotheses'!D$17*U9</f>
        <v/>
      </c>
      <c r="V10" s="5">
        <f>$C10*'Hypotheses'!E$17*V9</f>
        <v/>
      </c>
      <c r="W10" s="5">
        <f>$C10*'Hypotheses'!F$17*W9</f>
        <v/>
      </c>
      <c r="X10" s="5">
        <f>$C10*'Hypotheses'!G$17*X9</f>
        <v/>
      </c>
      <c r="Y10" s="5">
        <f>$C10*'Hypotheses'!H$17*Y9</f>
        <v/>
      </c>
      <c r="Z10" s="5">
        <f>$C10*'Hypotheses'!I$17*Z9</f>
        <v/>
      </c>
      <c r="AA10" s="5">
        <f>$C10*'Hypotheses'!J$17*AA9</f>
        <v/>
      </c>
      <c r="AB10" s="5">
        <f>$C10*'Hypotheses'!K$17*AB9</f>
        <v/>
      </c>
      <c r="AC10" s="5">
        <f>$C10*'Hypotheses'!L$17*AC9</f>
        <v/>
      </c>
      <c r="AD10" s="5">
        <f>$C10*'Hypotheses'!M$17*AD9</f>
        <v/>
      </c>
      <c r="AE10" s="5">
        <f>$C10*'Hypotheses'!N$17*AE9</f>
        <v/>
      </c>
      <c r="AF10" s="5">
        <f>$C10*'Hypotheses'!C$17*AF9</f>
        <v/>
      </c>
      <c r="AG10" s="5">
        <f>$C10*'Hypotheses'!D$17*AG9</f>
        <v/>
      </c>
      <c r="AH10" s="5">
        <f>$C10*'Hypotheses'!E$17*AH9</f>
        <v/>
      </c>
      <c r="AI10" s="5">
        <f>$C10*'Hypotheses'!F$17*AI9</f>
        <v/>
      </c>
      <c r="AJ10" s="5">
        <f>$C10*'Hypotheses'!G$17*AJ9</f>
        <v/>
      </c>
      <c r="AK10" s="5">
        <f>$C10*'Hypotheses'!H$17*AK9</f>
        <v/>
      </c>
      <c r="AL10" s="5">
        <f>$C10*'Hypotheses'!I$17*AL9</f>
        <v/>
      </c>
      <c r="AM10" s="5">
        <f>$C10*'Hypotheses'!J$17*AM9</f>
        <v/>
      </c>
      <c r="AN10" s="5">
        <f>$C10*'Hypotheses'!K$17*AN9</f>
        <v/>
      </c>
      <c r="AO10" s="5">
        <f>$C10*'Hypotheses'!L$17*AO9</f>
        <v/>
      </c>
      <c r="AP10" s="5">
        <f>$C10*'Hypotheses'!M$17*AP9</f>
        <v/>
      </c>
      <c r="AQ10" s="5">
        <f>$C10*'Hypotheses'!N$17*AQ9</f>
        <v/>
      </c>
    </row>
    <row r="11" ht="20" customHeight="1">
      <c r="A11" s="10" t="inlineStr">
        <is>
          <t>SOUS-TOTAL Raw materials</t>
        </is>
      </c>
      <c r="B11" s="10" t="n"/>
      <c r="C11" s="10" t="n"/>
      <c r="D11" s="10" t="n"/>
      <c r="E11" s="10" t="n"/>
      <c r="F11" s="10" t="n"/>
      <c r="G11" s="10" t="n"/>
      <c r="H11" s="10">
        <f>SUM(H6,H8,H10)</f>
        <v/>
      </c>
      <c r="I11" s="10">
        <f>SUM(I6,I8,I10)</f>
        <v/>
      </c>
      <c r="J11" s="10">
        <f>SUM(J6,J8,J10)</f>
        <v/>
      </c>
      <c r="K11" s="10">
        <f>SUM(K6,K8,K10)</f>
        <v/>
      </c>
      <c r="L11" s="10">
        <f>SUM(L6,L8,L10)</f>
        <v/>
      </c>
      <c r="M11" s="10">
        <f>SUM(M6,M8,M10)</f>
        <v/>
      </c>
      <c r="N11" s="10">
        <f>SUM(N6,N8,N10)</f>
        <v/>
      </c>
      <c r="O11" s="10">
        <f>SUM(O6,O8,O10)</f>
        <v/>
      </c>
      <c r="P11" s="10">
        <f>SUM(P6,P8,P10)</f>
        <v/>
      </c>
      <c r="Q11" s="10">
        <f>SUM(Q6,Q8,Q10)</f>
        <v/>
      </c>
      <c r="R11" s="10">
        <f>SUM(R6,R8,R10)</f>
        <v/>
      </c>
      <c r="S11" s="10">
        <f>SUM(S6,S8,S10)</f>
        <v/>
      </c>
      <c r="T11" s="10">
        <f>SUM(T6,T8,T10)</f>
        <v/>
      </c>
      <c r="U11" s="10">
        <f>SUM(U6,U8,U10)</f>
        <v/>
      </c>
      <c r="V11" s="10">
        <f>SUM(V6,V8,V10)</f>
        <v/>
      </c>
      <c r="W11" s="10">
        <f>SUM(W6,W8,W10)</f>
        <v/>
      </c>
      <c r="X11" s="10">
        <f>SUM(X6,X8,X10)</f>
        <v/>
      </c>
      <c r="Y11" s="10">
        <f>SUM(Y6,Y8,Y10)</f>
        <v/>
      </c>
      <c r="Z11" s="10">
        <f>SUM(Z6,Z8,Z10)</f>
        <v/>
      </c>
      <c r="AA11" s="10">
        <f>SUM(AA6,AA8,AA10)</f>
        <v/>
      </c>
      <c r="AB11" s="10">
        <f>SUM(AB6,AB8,AB10)</f>
        <v/>
      </c>
      <c r="AC11" s="10">
        <f>SUM(AC6,AC8,AC10)</f>
        <v/>
      </c>
      <c r="AD11" s="10">
        <f>SUM(AD6,AD8,AD10)</f>
        <v/>
      </c>
      <c r="AE11" s="10">
        <f>SUM(AE6,AE8,AE10)</f>
        <v/>
      </c>
      <c r="AF11" s="10">
        <f>SUM(AF6,AF8,AF10)</f>
        <v/>
      </c>
      <c r="AG11" s="10">
        <f>SUM(AG6,AG8,AG10)</f>
        <v/>
      </c>
      <c r="AH11" s="10">
        <f>SUM(AH6,AH8,AH10)</f>
        <v/>
      </c>
      <c r="AI11" s="10">
        <f>SUM(AI6,AI8,AI10)</f>
        <v/>
      </c>
      <c r="AJ11" s="10">
        <f>SUM(AJ6,AJ8,AJ10)</f>
        <v/>
      </c>
      <c r="AK11" s="10">
        <f>SUM(AK6,AK8,AK10)</f>
        <v/>
      </c>
      <c r="AL11" s="10">
        <f>SUM(AL6,AL8,AL10)</f>
        <v/>
      </c>
      <c r="AM11" s="10">
        <f>SUM(AM6,AM8,AM10)</f>
        <v/>
      </c>
      <c r="AN11" s="10">
        <f>SUM(AN6,AN8,AN10)</f>
        <v/>
      </c>
      <c r="AO11" s="10">
        <f>SUM(AO6,AO8,AO10)</f>
        <v/>
      </c>
      <c r="AP11" s="10">
        <f>SUM(AP6,AP8,AP10)</f>
        <v/>
      </c>
      <c r="AQ11" s="10">
        <f>SUM(AQ6,AQ8,AQ10)</f>
        <v/>
      </c>
    </row>
    <row r="12" ht="20" customHeight="1">
      <c r="A12" s="3" t="inlineStr">
        <is>
          <t>Energy</t>
        </is>
      </c>
      <c r="B12" s="3" t="inlineStr">
        <is>
          <t>Cooking gas - market price</t>
        </is>
      </c>
      <c r="C12" s="4" t="n">
        <v>5200</v>
      </c>
      <c r="D12" s="3" t="inlineStr">
        <is>
          <t>kWh</t>
        </is>
      </c>
      <c r="E12" s="3">
        <f>AVERAGE(H12:AQ12)</f>
        <v/>
      </c>
      <c r="F12" s="3" t="inlineStr">
        <is>
          <t>Gas</t>
        </is>
      </c>
      <c r="G12" s="9" t="inlineStr">
        <is>
          <t>INSEE BDM 010767333: Gaz naturel TTF, contrats à terme à la première échéance aux Pays-Bas - ICE Futures Europe - Prix en euros par mégawattheure; normalized to model unit price</t>
        </is>
      </c>
      <c r="H12" s="9" t="n">
        <v>0.105</v>
      </c>
      <c r="I12" s="9" t="n">
        <v>0.0896</v>
      </c>
      <c r="J12" s="9" t="n">
        <v>0.0906</v>
      </c>
      <c r="K12" s="9" t="n">
        <v>0.105</v>
      </c>
      <c r="L12" s="9" t="n">
        <v>0.1287</v>
      </c>
      <c r="M12" s="9" t="n">
        <v>0.1503</v>
      </c>
      <c r="N12" s="9" t="n">
        <v>0.1858</v>
      </c>
      <c r="O12" s="9" t="n">
        <v>0.2301</v>
      </c>
      <c r="P12" s="9" t="n">
        <v>0.3407</v>
      </c>
      <c r="Q12" s="9" t="n">
        <v>0.4699</v>
      </c>
      <c r="R12" s="9" t="n">
        <v>0.4251</v>
      </c>
      <c r="S12" s="9" t="n">
        <v>0.5909</v>
      </c>
      <c r="T12" s="9" t="n">
        <v>0.4385</v>
      </c>
      <c r="U12" s="9" t="n">
        <v>0.4215</v>
      </c>
      <c r="V12" s="9" t="n">
        <v>0.6758</v>
      </c>
      <c r="W12" s="9" t="n">
        <v>0.524</v>
      </c>
      <c r="X12" s="9" t="n">
        <v>0.4843</v>
      </c>
      <c r="Y12" s="9" t="n">
        <v>0.5574</v>
      </c>
      <c r="Z12" s="9" t="n">
        <v>0.8853</v>
      </c>
      <c r="AA12" s="9" t="n">
        <v>1.2147</v>
      </c>
      <c r="AB12" s="9" t="n">
        <v>1.0474</v>
      </c>
      <c r="AC12" s="9" t="n">
        <v>0.6974</v>
      </c>
      <c r="AD12" s="9" t="n">
        <v>0.6151</v>
      </c>
      <c r="AE12" s="9" t="n">
        <v>0.5981</v>
      </c>
      <c r="AF12" s="9" t="n">
        <v>0.3289</v>
      </c>
      <c r="AG12" s="9" t="n">
        <v>0.2707</v>
      </c>
      <c r="AH12" s="9" t="n">
        <v>0.2265</v>
      </c>
      <c r="AI12" s="9" t="n">
        <v>0.2167</v>
      </c>
      <c r="AJ12" s="9" t="n">
        <v>0.1632</v>
      </c>
      <c r="AK12" s="9" t="n">
        <v>0.1678</v>
      </c>
      <c r="AL12" s="9" t="n">
        <v>0.1518</v>
      </c>
      <c r="AM12" s="9" t="n">
        <v>0.1801</v>
      </c>
      <c r="AN12" s="9" t="n">
        <v>0.1899</v>
      </c>
      <c r="AO12" s="9" t="n">
        <v>0.2424</v>
      </c>
      <c r="AP12" s="9" t="n">
        <v>0.2352</v>
      </c>
      <c r="AQ12" s="9" t="n">
        <v>0.1853</v>
      </c>
    </row>
    <row r="13" ht="20" customHeight="1">
      <c r="A13" s="3" t="inlineStr">
        <is>
          <t>Energy</t>
        </is>
      </c>
      <c r="B13" s="3" t="inlineStr">
        <is>
          <t>Cost (Cooking gas)</t>
        </is>
      </c>
      <c r="C13" s="4" t="n">
        <v>5200</v>
      </c>
      <c r="D13" s="3" t="inlineStr">
        <is>
          <t>kWh</t>
        </is>
      </c>
      <c r="E13" s="5">
        <f>E12</f>
        <v/>
      </c>
      <c r="F13" s="3" t="inlineStr">
        <is>
          <t>Gas</t>
        </is>
      </c>
      <c r="G13" s="3" t="inlineStr">
        <is>
          <t>Cost = quantity x seasonality x monthly market price</t>
        </is>
      </c>
      <c r="H13" s="5">
        <f>$C13*'Hypotheses'!C$17*H12</f>
        <v/>
      </c>
      <c r="I13" s="5">
        <f>$C13*'Hypotheses'!D$17*I12</f>
        <v/>
      </c>
      <c r="J13" s="5">
        <f>$C13*'Hypotheses'!E$17*J12</f>
        <v/>
      </c>
      <c r="K13" s="5">
        <f>$C13*'Hypotheses'!F$17*K12</f>
        <v/>
      </c>
      <c r="L13" s="5">
        <f>$C13*'Hypotheses'!G$17*L12</f>
        <v/>
      </c>
      <c r="M13" s="5">
        <f>$C13*'Hypotheses'!H$17*M12</f>
        <v/>
      </c>
      <c r="N13" s="5">
        <f>$C13*'Hypotheses'!I$17*N12</f>
        <v/>
      </c>
      <c r="O13" s="5">
        <f>$C13*'Hypotheses'!J$17*O12</f>
        <v/>
      </c>
      <c r="P13" s="5">
        <f>$C13*'Hypotheses'!K$17*P12</f>
        <v/>
      </c>
      <c r="Q13" s="5">
        <f>$C13*'Hypotheses'!L$17*Q12</f>
        <v/>
      </c>
      <c r="R13" s="5">
        <f>$C13*'Hypotheses'!M$17*R12</f>
        <v/>
      </c>
      <c r="S13" s="5">
        <f>$C13*'Hypotheses'!N$17*S12</f>
        <v/>
      </c>
      <c r="T13" s="5">
        <f>$C13*'Hypotheses'!C$17*T12</f>
        <v/>
      </c>
      <c r="U13" s="5">
        <f>$C13*'Hypotheses'!D$17*U12</f>
        <v/>
      </c>
      <c r="V13" s="5">
        <f>$C13*'Hypotheses'!E$17*V12</f>
        <v/>
      </c>
      <c r="W13" s="5">
        <f>$C13*'Hypotheses'!F$17*W12</f>
        <v/>
      </c>
      <c r="X13" s="5">
        <f>$C13*'Hypotheses'!G$17*X12</f>
        <v/>
      </c>
      <c r="Y13" s="5">
        <f>$C13*'Hypotheses'!H$17*Y12</f>
        <v/>
      </c>
      <c r="Z13" s="5">
        <f>$C13*'Hypotheses'!I$17*Z12</f>
        <v/>
      </c>
      <c r="AA13" s="5">
        <f>$C13*'Hypotheses'!J$17*AA12</f>
        <v/>
      </c>
      <c r="AB13" s="5">
        <f>$C13*'Hypotheses'!K$17*AB12</f>
        <v/>
      </c>
      <c r="AC13" s="5">
        <f>$C13*'Hypotheses'!L$17*AC12</f>
        <v/>
      </c>
      <c r="AD13" s="5">
        <f>$C13*'Hypotheses'!M$17*AD12</f>
        <v/>
      </c>
      <c r="AE13" s="5">
        <f>$C13*'Hypotheses'!N$17*AE12</f>
        <v/>
      </c>
      <c r="AF13" s="5">
        <f>$C13*'Hypotheses'!C$17*AF12</f>
        <v/>
      </c>
      <c r="AG13" s="5">
        <f>$C13*'Hypotheses'!D$17*AG12</f>
        <v/>
      </c>
      <c r="AH13" s="5">
        <f>$C13*'Hypotheses'!E$17*AH12</f>
        <v/>
      </c>
      <c r="AI13" s="5">
        <f>$C13*'Hypotheses'!F$17*AI12</f>
        <v/>
      </c>
      <c r="AJ13" s="5">
        <f>$C13*'Hypotheses'!G$17*AJ12</f>
        <v/>
      </c>
      <c r="AK13" s="5">
        <f>$C13*'Hypotheses'!H$17*AK12</f>
        <v/>
      </c>
      <c r="AL13" s="5">
        <f>$C13*'Hypotheses'!I$17*AL12</f>
        <v/>
      </c>
      <c r="AM13" s="5">
        <f>$C13*'Hypotheses'!J$17*AM12</f>
        <v/>
      </c>
      <c r="AN13" s="5">
        <f>$C13*'Hypotheses'!K$17*AN12</f>
        <v/>
      </c>
      <c r="AO13" s="5">
        <f>$C13*'Hypotheses'!L$17*AO12</f>
        <v/>
      </c>
      <c r="AP13" s="5">
        <f>$C13*'Hypotheses'!M$17*AP12</f>
        <v/>
      </c>
      <c r="AQ13" s="5">
        <f>$C13*'Hypotheses'!N$17*AQ12</f>
        <v/>
      </c>
    </row>
    <row r="14" ht="20" customHeight="1">
      <c r="A14" s="3" t="inlineStr">
        <is>
          <t>Energy</t>
        </is>
      </c>
      <c r="B14" s="3" t="inlineStr">
        <is>
          <t>Electricity for kitchen and refrigeration - market price</t>
        </is>
      </c>
      <c r="C14" s="4" t="n">
        <v>7600</v>
      </c>
      <c r="D14" s="3" t="inlineStr">
        <is>
          <t>kWh</t>
        </is>
      </c>
      <c r="E14" s="3">
        <f>AVERAGE(H14:AQ14)</f>
        <v/>
      </c>
      <c r="F14" s="3" t="inlineStr">
        <is>
          <t>Electricity</t>
        </is>
      </c>
      <c r="G14" s="9" t="inlineStr">
        <is>
          <t>INSEE BDM 010777317: Indice mensuel des prix d'achat des moyens de production agricole (IPAMPA) - Electricité; normalized to model unit price</t>
        </is>
      </c>
      <c r="H14" s="9" t="n">
        <v>0.17</v>
      </c>
      <c r="I14" s="9" t="n">
        <v>0.1725</v>
      </c>
      <c r="J14" s="9" t="n">
        <v>0.1725</v>
      </c>
      <c r="K14" s="9" t="n">
        <v>0.1725</v>
      </c>
      <c r="L14" s="9" t="n">
        <v>0.1727</v>
      </c>
      <c r="M14" s="9" t="n">
        <v>0.1727</v>
      </c>
      <c r="N14" s="9" t="n">
        <v>0.1727</v>
      </c>
      <c r="O14" s="9" t="n">
        <v>0.1737</v>
      </c>
      <c r="P14" s="9" t="n">
        <v>0.1737</v>
      </c>
      <c r="Q14" s="9" t="n">
        <v>0.1742</v>
      </c>
      <c r="R14" s="9" t="n">
        <v>0.1754</v>
      </c>
      <c r="S14" s="9" t="n">
        <v>0.175</v>
      </c>
      <c r="T14" s="9" t="n">
        <v>0.1766</v>
      </c>
      <c r="U14" s="9" t="n">
        <v>0.1809</v>
      </c>
      <c r="V14" s="9" t="n">
        <v>0.1829</v>
      </c>
      <c r="W14" s="9" t="n">
        <v>0.1845</v>
      </c>
      <c r="X14" s="9" t="n">
        <v>0.1838</v>
      </c>
      <c r="Y14" s="9" t="n">
        <v>0.1858</v>
      </c>
      <c r="Z14" s="9" t="n">
        <v>0.187</v>
      </c>
      <c r="AA14" s="9" t="n">
        <v>0.1872</v>
      </c>
      <c r="AB14" s="9" t="n">
        <v>0.1922</v>
      </c>
      <c r="AC14" s="9" t="n">
        <v>0.1895</v>
      </c>
      <c r="AD14" s="9" t="n">
        <v>0.1927</v>
      </c>
      <c r="AE14" s="9" t="n">
        <v>0.1878</v>
      </c>
      <c r="AF14" s="9" t="n">
        <v>0.1821</v>
      </c>
      <c r="AG14" s="9" t="n">
        <v>0.1993</v>
      </c>
      <c r="AH14" s="9" t="n">
        <v>0.2031</v>
      </c>
      <c r="AI14" s="9" t="n">
        <v>0.2051</v>
      </c>
      <c r="AJ14" s="9" t="n">
        <v>0.2046</v>
      </c>
      <c r="AK14" s="9" t="n">
        <v>0.2045</v>
      </c>
      <c r="AL14" s="9" t="n">
        <v>0.2045</v>
      </c>
      <c r="AM14" s="9" t="n">
        <v>0.2208</v>
      </c>
      <c r="AN14" s="9" t="n">
        <v>0.2231</v>
      </c>
      <c r="AO14" s="9" t="n">
        <v>0.2245</v>
      </c>
      <c r="AP14" s="9" t="n">
        <v>0.2236</v>
      </c>
      <c r="AQ14" s="9" t="n">
        <v>0.2235</v>
      </c>
    </row>
    <row r="15" ht="20" customHeight="1">
      <c r="A15" s="3" t="inlineStr">
        <is>
          <t>Energy</t>
        </is>
      </c>
      <c r="B15" s="3" t="inlineStr">
        <is>
          <t>Cost (Electricity for kitchen and refrigeration)</t>
        </is>
      </c>
      <c r="C15" s="4" t="n">
        <v>7600</v>
      </c>
      <c r="D15" s="3" t="inlineStr">
        <is>
          <t>kWh</t>
        </is>
      </c>
      <c r="E15" s="5">
        <f>E14</f>
        <v/>
      </c>
      <c r="F15" s="3" t="inlineStr">
        <is>
          <t>Electricity</t>
        </is>
      </c>
      <c r="G15" s="3" t="inlineStr">
        <is>
          <t>Cost = quantity x seasonality x monthly market price</t>
        </is>
      </c>
      <c r="H15" s="5">
        <f>$C15*'Hypotheses'!C$17*H14</f>
        <v/>
      </c>
      <c r="I15" s="5">
        <f>$C15*'Hypotheses'!D$17*I14</f>
        <v/>
      </c>
      <c r="J15" s="5">
        <f>$C15*'Hypotheses'!E$17*J14</f>
        <v/>
      </c>
      <c r="K15" s="5">
        <f>$C15*'Hypotheses'!F$17*K14</f>
        <v/>
      </c>
      <c r="L15" s="5">
        <f>$C15*'Hypotheses'!G$17*L14</f>
        <v/>
      </c>
      <c r="M15" s="5">
        <f>$C15*'Hypotheses'!H$17*M14</f>
        <v/>
      </c>
      <c r="N15" s="5">
        <f>$C15*'Hypotheses'!I$17*N14</f>
        <v/>
      </c>
      <c r="O15" s="5">
        <f>$C15*'Hypotheses'!J$17*O14</f>
        <v/>
      </c>
      <c r="P15" s="5">
        <f>$C15*'Hypotheses'!K$17*P14</f>
        <v/>
      </c>
      <c r="Q15" s="5">
        <f>$C15*'Hypotheses'!L$17*Q14</f>
        <v/>
      </c>
      <c r="R15" s="5">
        <f>$C15*'Hypotheses'!M$17*R14</f>
        <v/>
      </c>
      <c r="S15" s="5">
        <f>$C15*'Hypotheses'!N$17*S14</f>
        <v/>
      </c>
      <c r="T15" s="5">
        <f>$C15*'Hypotheses'!C$17*T14</f>
        <v/>
      </c>
      <c r="U15" s="5">
        <f>$C15*'Hypotheses'!D$17*U14</f>
        <v/>
      </c>
      <c r="V15" s="5">
        <f>$C15*'Hypotheses'!E$17*V14</f>
        <v/>
      </c>
      <c r="W15" s="5">
        <f>$C15*'Hypotheses'!F$17*W14</f>
        <v/>
      </c>
      <c r="X15" s="5">
        <f>$C15*'Hypotheses'!G$17*X14</f>
        <v/>
      </c>
      <c r="Y15" s="5">
        <f>$C15*'Hypotheses'!H$17*Y14</f>
        <v/>
      </c>
      <c r="Z15" s="5">
        <f>$C15*'Hypotheses'!I$17*Z14</f>
        <v/>
      </c>
      <c r="AA15" s="5">
        <f>$C15*'Hypotheses'!J$17*AA14</f>
        <v/>
      </c>
      <c r="AB15" s="5">
        <f>$C15*'Hypotheses'!K$17*AB14</f>
        <v/>
      </c>
      <c r="AC15" s="5">
        <f>$C15*'Hypotheses'!L$17*AC14</f>
        <v/>
      </c>
      <c r="AD15" s="5">
        <f>$C15*'Hypotheses'!M$17*AD14</f>
        <v/>
      </c>
      <c r="AE15" s="5">
        <f>$C15*'Hypotheses'!N$17*AE14</f>
        <v/>
      </c>
      <c r="AF15" s="5">
        <f>$C15*'Hypotheses'!C$17*AF14</f>
        <v/>
      </c>
      <c r="AG15" s="5">
        <f>$C15*'Hypotheses'!D$17*AG14</f>
        <v/>
      </c>
      <c r="AH15" s="5">
        <f>$C15*'Hypotheses'!E$17*AH14</f>
        <v/>
      </c>
      <c r="AI15" s="5">
        <f>$C15*'Hypotheses'!F$17*AI14</f>
        <v/>
      </c>
      <c r="AJ15" s="5">
        <f>$C15*'Hypotheses'!G$17*AJ14</f>
        <v/>
      </c>
      <c r="AK15" s="5">
        <f>$C15*'Hypotheses'!H$17*AK14</f>
        <v/>
      </c>
      <c r="AL15" s="5">
        <f>$C15*'Hypotheses'!I$17*AL14</f>
        <v/>
      </c>
      <c r="AM15" s="5">
        <f>$C15*'Hypotheses'!J$17*AM14</f>
        <v/>
      </c>
      <c r="AN15" s="5">
        <f>$C15*'Hypotheses'!K$17*AN14</f>
        <v/>
      </c>
      <c r="AO15" s="5">
        <f>$C15*'Hypotheses'!L$17*AO14</f>
        <v/>
      </c>
      <c r="AP15" s="5">
        <f>$C15*'Hypotheses'!M$17*AP14</f>
        <v/>
      </c>
      <c r="AQ15" s="5">
        <f>$C15*'Hypotheses'!N$17*AQ14</f>
        <v/>
      </c>
    </row>
    <row r="16" ht="20" customHeight="1">
      <c r="A16" s="10" t="inlineStr">
        <is>
          <t>SOUS-TOTAL Energy</t>
        </is>
      </c>
      <c r="B16" s="10" t="n"/>
      <c r="C16" s="10" t="n"/>
      <c r="D16" s="10" t="n"/>
      <c r="E16" s="10" t="n"/>
      <c r="F16" s="10" t="n"/>
      <c r="G16" s="10" t="n"/>
      <c r="H16" s="10">
        <f>SUM(H13,H15)</f>
        <v/>
      </c>
      <c r="I16" s="10">
        <f>SUM(I13,I15)</f>
        <v/>
      </c>
      <c r="J16" s="10">
        <f>SUM(J13,J15)</f>
        <v/>
      </c>
      <c r="K16" s="10">
        <f>SUM(K13,K15)</f>
        <v/>
      </c>
      <c r="L16" s="10">
        <f>SUM(L13,L15)</f>
        <v/>
      </c>
      <c r="M16" s="10">
        <f>SUM(M13,M15)</f>
        <v/>
      </c>
      <c r="N16" s="10">
        <f>SUM(N13,N15)</f>
        <v/>
      </c>
      <c r="O16" s="10">
        <f>SUM(O13,O15)</f>
        <v/>
      </c>
      <c r="P16" s="10">
        <f>SUM(P13,P15)</f>
        <v/>
      </c>
      <c r="Q16" s="10">
        <f>SUM(Q13,Q15)</f>
        <v/>
      </c>
      <c r="R16" s="10">
        <f>SUM(R13,R15)</f>
        <v/>
      </c>
      <c r="S16" s="10">
        <f>SUM(S13,S15)</f>
        <v/>
      </c>
      <c r="T16" s="10">
        <f>SUM(T13,T15)</f>
        <v/>
      </c>
      <c r="U16" s="10">
        <f>SUM(U13,U15)</f>
        <v/>
      </c>
      <c r="V16" s="10">
        <f>SUM(V13,V15)</f>
        <v/>
      </c>
      <c r="W16" s="10">
        <f>SUM(W13,W15)</f>
        <v/>
      </c>
      <c r="X16" s="10">
        <f>SUM(X13,X15)</f>
        <v/>
      </c>
      <c r="Y16" s="10">
        <f>SUM(Y13,Y15)</f>
        <v/>
      </c>
      <c r="Z16" s="10">
        <f>SUM(Z13,Z15)</f>
        <v/>
      </c>
      <c r="AA16" s="10">
        <f>SUM(AA13,AA15)</f>
        <v/>
      </c>
      <c r="AB16" s="10">
        <f>SUM(AB13,AB15)</f>
        <v/>
      </c>
      <c r="AC16" s="10">
        <f>SUM(AC13,AC15)</f>
        <v/>
      </c>
      <c r="AD16" s="10">
        <f>SUM(AD13,AD15)</f>
        <v/>
      </c>
      <c r="AE16" s="10">
        <f>SUM(AE13,AE15)</f>
        <v/>
      </c>
      <c r="AF16" s="10">
        <f>SUM(AF13,AF15)</f>
        <v/>
      </c>
      <c r="AG16" s="10">
        <f>SUM(AG13,AG15)</f>
        <v/>
      </c>
      <c r="AH16" s="10">
        <f>SUM(AH13,AH15)</f>
        <v/>
      </c>
      <c r="AI16" s="10">
        <f>SUM(AI13,AI15)</f>
        <v/>
      </c>
      <c r="AJ16" s="10">
        <f>SUM(AJ13,AJ15)</f>
        <v/>
      </c>
      <c r="AK16" s="10">
        <f>SUM(AK13,AK15)</f>
        <v/>
      </c>
      <c r="AL16" s="10">
        <f>SUM(AL13,AL15)</f>
        <v/>
      </c>
      <c r="AM16" s="10">
        <f>SUM(AM13,AM15)</f>
        <v/>
      </c>
      <c r="AN16" s="10">
        <f>SUM(AN13,AN15)</f>
        <v/>
      </c>
      <c r="AO16" s="10">
        <f>SUM(AO13,AO15)</f>
        <v/>
      </c>
      <c r="AP16" s="10">
        <f>SUM(AP13,AP15)</f>
        <v/>
      </c>
      <c r="AQ16" s="10">
        <f>SUM(AQ13,AQ15)</f>
        <v/>
      </c>
    </row>
    <row r="17" ht="20" customHeight="1">
      <c r="A17" s="3" t="inlineStr">
        <is>
          <t>Personnel</t>
        </is>
      </c>
      <c r="B17" s="3" t="inlineStr">
        <is>
          <t>Kitchen and service payroll - market price</t>
        </is>
      </c>
      <c r="C17" s="4" t="n">
        <v>1</v>
      </c>
      <c r="D17" s="3" t="inlineStr">
        <is>
          <t>monthly package</t>
        </is>
      </c>
      <c r="E17" s="3">
        <f>AVERAGE(H17:AQ17)</f>
        <v/>
      </c>
      <c r="F17" s="3" t="n"/>
      <c r="G17" s="9" t="inlineStr">
        <is>
          <t>INSEE BDM 010762009: Indice du coût du travail - Coût horaire - Hébergement, restauration (NAF rév. 2 section I) - Base 100 en 2020 ; normalized to model unit price</t>
        </is>
      </c>
      <c r="H17" s="9" t="n">
        <v>16000</v>
      </c>
      <c r="I17" s="9" t="n">
        <v>16000</v>
      </c>
      <c r="J17" s="9" t="n">
        <v>16000</v>
      </c>
      <c r="K17" s="9" t="n">
        <v>16000</v>
      </c>
      <c r="L17" s="9" t="n">
        <v>16000</v>
      </c>
      <c r="M17" s="9" t="n">
        <v>16000</v>
      </c>
      <c r="N17" s="9" t="n">
        <v>16000</v>
      </c>
      <c r="O17" s="9" t="n">
        <v>16000</v>
      </c>
      <c r="P17" s="9" t="n">
        <v>16000</v>
      </c>
      <c r="Q17" s="9" t="n">
        <v>16000</v>
      </c>
      <c r="R17" s="9" t="n">
        <v>16000</v>
      </c>
      <c r="S17" s="9" t="n">
        <v>16000</v>
      </c>
      <c r="T17" s="9" t="n">
        <v>16000</v>
      </c>
      <c r="U17" s="9" t="n">
        <v>16000</v>
      </c>
      <c r="V17" s="9" t="n">
        <v>16000</v>
      </c>
      <c r="W17" s="9" t="n">
        <v>16000</v>
      </c>
      <c r="X17" s="9" t="n">
        <v>16000</v>
      </c>
      <c r="Y17" s="9" t="n">
        <v>16000</v>
      </c>
      <c r="Z17" s="9" t="n">
        <v>16000</v>
      </c>
      <c r="AA17" s="9" t="n">
        <v>16000</v>
      </c>
      <c r="AB17" s="9" t="n">
        <v>16000</v>
      </c>
      <c r="AC17" s="9" t="n">
        <v>16000</v>
      </c>
      <c r="AD17" s="9" t="n">
        <v>16000</v>
      </c>
      <c r="AE17" s="9" t="n">
        <v>16000</v>
      </c>
      <c r="AF17" s="9" t="n">
        <v>16000</v>
      </c>
      <c r="AG17" s="9" t="n">
        <v>16000</v>
      </c>
      <c r="AH17" s="9" t="n">
        <v>16000</v>
      </c>
      <c r="AI17" s="9" t="n">
        <v>16000</v>
      </c>
      <c r="AJ17" s="9" t="n">
        <v>16000</v>
      </c>
      <c r="AK17" s="9" t="n">
        <v>16000</v>
      </c>
      <c r="AL17" s="9" t="n">
        <v>16000</v>
      </c>
      <c r="AM17" s="9" t="n">
        <v>16000</v>
      </c>
      <c r="AN17" s="9" t="n">
        <v>16000</v>
      </c>
      <c r="AO17" s="9" t="n">
        <v>16000</v>
      </c>
      <c r="AP17" s="9" t="n">
        <v>16000</v>
      </c>
      <c r="AQ17" s="9" t="n">
        <v>16000</v>
      </c>
    </row>
    <row r="18" ht="20" customHeight="1">
      <c r="A18" s="3" t="inlineStr">
        <is>
          <t>Personnel</t>
        </is>
      </c>
      <c r="B18" s="3" t="inlineStr">
        <is>
          <t>Cost (Kitchen and service payroll)</t>
        </is>
      </c>
      <c r="C18" s="4" t="n">
        <v>1</v>
      </c>
      <c r="D18" s="3" t="inlineStr">
        <is>
          <t>monthly package</t>
        </is>
      </c>
      <c r="E18" s="5">
        <f>E17</f>
        <v/>
      </c>
      <c r="F18" s="3" t="n"/>
      <c r="G18" s="3" t="inlineStr">
        <is>
          <t>Cost = quantity x seasonality x monthly market price</t>
        </is>
      </c>
      <c r="H18" s="5">
        <f>$C18*H17</f>
        <v/>
      </c>
      <c r="I18" s="5">
        <f>$C18*I17</f>
        <v/>
      </c>
      <c r="J18" s="5">
        <f>$C18*J17</f>
        <v/>
      </c>
      <c r="K18" s="5">
        <f>$C18*K17</f>
        <v/>
      </c>
      <c r="L18" s="5">
        <f>$C18*L17</f>
        <v/>
      </c>
      <c r="M18" s="5">
        <f>$C18*M17</f>
        <v/>
      </c>
      <c r="N18" s="5">
        <f>$C18*N17</f>
        <v/>
      </c>
      <c r="O18" s="5">
        <f>$C18*O17</f>
        <v/>
      </c>
      <c r="P18" s="5">
        <f>$C18*P17</f>
        <v/>
      </c>
      <c r="Q18" s="5">
        <f>$C18*Q17</f>
        <v/>
      </c>
      <c r="R18" s="5">
        <f>$C18*R17</f>
        <v/>
      </c>
      <c r="S18" s="5">
        <f>$C18*S17</f>
        <v/>
      </c>
      <c r="T18" s="5">
        <f>$C18*T17</f>
        <v/>
      </c>
      <c r="U18" s="5">
        <f>$C18*U17</f>
        <v/>
      </c>
      <c r="V18" s="5">
        <f>$C18*V17</f>
        <v/>
      </c>
      <c r="W18" s="5">
        <f>$C18*W17</f>
        <v/>
      </c>
      <c r="X18" s="5">
        <f>$C18*X17</f>
        <v/>
      </c>
      <c r="Y18" s="5">
        <f>$C18*Y17</f>
        <v/>
      </c>
      <c r="Z18" s="5">
        <f>$C18*Z17</f>
        <v/>
      </c>
      <c r="AA18" s="5">
        <f>$C18*AA17</f>
        <v/>
      </c>
      <c r="AB18" s="5">
        <f>$C18*AB17</f>
        <v/>
      </c>
      <c r="AC18" s="5">
        <f>$C18*AC17</f>
        <v/>
      </c>
      <c r="AD18" s="5">
        <f>$C18*AD17</f>
        <v/>
      </c>
      <c r="AE18" s="5">
        <f>$C18*AE17</f>
        <v/>
      </c>
      <c r="AF18" s="5">
        <f>$C18*AF17</f>
        <v/>
      </c>
      <c r="AG18" s="5">
        <f>$C18*AG17</f>
        <v/>
      </c>
      <c r="AH18" s="5">
        <f>$C18*AH17</f>
        <v/>
      </c>
      <c r="AI18" s="5">
        <f>$C18*AI17</f>
        <v/>
      </c>
      <c r="AJ18" s="5">
        <f>$C18*AJ17</f>
        <v/>
      </c>
      <c r="AK18" s="5">
        <f>$C18*AK17</f>
        <v/>
      </c>
      <c r="AL18" s="5">
        <f>$C18*AL17</f>
        <v/>
      </c>
      <c r="AM18" s="5">
        <f>$C18*AM17</f>
        <v/>
      </c>
      <c r="AN18" s="5">
        <f>$C18*AN17</f>
        <v/>
      </c>
      <c r="AO18" s="5">
        <f>$C18*AO17</f>
        <v/>
      </c>
      <c r="AP18" s="5">
        <f>$C18*AP17</f>
        <v/>
      </c>
      <c r="AQ18" s="5">
        <f>$C18*AQ17</f>
        <v/>
      </c>
    </row>
    <row r="19" ht="20" customHeight="1">
      <c r="A19" s="10" t="inlineStr">
        <is>
          <t>SOUS-TOTAL Personnel</t>
        </is>
      </c>
      <c r="B19" s="10" t="n"/>
      <c r="C19" s="10" t="n"/>
      <c r="D19" s="10" t="n"/>
      <c r="E19" s="10" t="n"/>
      <c r="F19" s="10" t="n"/>
      <c r="G19" s="10" t="n"/>
      <c r="H19" s="10">
        <f>SUM(H18)</f>
        <v/>
      </c>
      <c r="I19" s="10">
        <f>SUM(I18)</f>
        <v/>
      </c>
      <c r="J19" s="10">
        <f>SUM(J18)</f>
        <v/>
      </c>
      <c r="K19" s="10">
        <f>SUM(K18)</f>
        <v/>
      </c>
      <c r="L19" s="10">
        <f>SUM(L18)</f>
        <v/>
      </c>
      <c r="M19" s="10">
        <f>SUM(M18)</f>
        <v/>
      </c>
      <c r="N19" s="10">
        <f>SUM(N18)</f>
        <v/>
      </c>
      <c r="O19" s="10">
        <f>SUM(O18)</f>
        <v/>
      </c>
      <c r="P19" s="10">
        <f>SUM(P18)</f>
        <v/>
      </c>
      <c r="Q19" s="10">
        <f>SUM(Q18)</f>
        <v/>
      </c>
      <c r="R19" s="10">
        <f>SUM(R18)</f>
        <v/>
      </c>
      <c r="S19" s="10">
        <f>SUM(S18)</f>
        <v/>
      </c>
      <c r="T19" s="10">
        <f>SUM(T18)</f>
        <v/>
      </c>
      <c r="U19" s="10">
        <f>SUM(U18)</f>
        <v/>
      </c>
      <c r="V19" s="10">
        <f>SUM(V18)</f>
        <v/>
      </c>
      <c r="W19" s="10">
        <f>SUM(W18)</f>
        <v/>
      </c>
      <c r="X19" s="10">
        <f>SUM(X18)</f>
        <v/>
      </c>
      <c r="Y19" s="10">
        <f>SUM(Y18)</f>
        <v/>
      </c>
      <c r="Z19" s="10">
        <f>SUM(Z18)</f>
        <v/>
      </c>
      <c r="AA19" s="10">
        <f>SUM(AA18)</f>
        <v/>
      </c>
      <c r="AB19" s="10">
        <f>SUM(AB18)</f>
        <v/>
      </c>
      <c r="AC19" s="10">
        <f>SUM(AC18)</f>
        <v/>
      </c>
      <c r="AD19" s="10">
        <f>SUM(AD18)</f>
        <v/>
      </c>
      <c r="AE19" s="10">
        <f>SUM(AE18)</f>
        <v/>
      </c>
      <c r="AF19" s="10">
        <f>SUM(AF18)</f>
        <v/>
      </c>
      <c r="AG19" s="10">
        <f>SUM(AG18)</f>
        <v/>
      </c>
      <c r="AH19" s="10">
        <f>SUM(AH18)</f>
        <v/>
      </c>
      <c r="AI19" s="10">
        <f>SUM(AI18)</f>
        <v/>
      </c>
      <c r="AJ19" s="10">
        <f>SUM(AJ18)</f>
        <v/>
      </c>
      <c r="AK19" s="10">
        <f>SUM(AK18)</f>
        <v/>
      </c>
      <c r="AL19" s="10">
        <f>SUM(AL18)</f>
        <v/>
      </c>
      <c r="AM19" s="10">
        <f>SUM(AM18)</f>
        <v/>
      </c>
      <c r="AN19" s="10">
        <f>SUM(AN18)</f>
        <v/>
      </c>
      <c r="AO19" s="10">
        <f>SUM(AO18)</f>
        <v/>
      </c>
      <c r="AP19" s="10">
        <f>SUM(AP18)</f>
        <v/>
      </c>
      <c r="AQ19" s="10">
        <f>SUM(AQ18)</f>
        <v/>
      </c>
    </row>
    <row r="20" ht="20" customHeight="1">
      <c r="A20" s="3" t="inlineStr">
        <is>
          <t>Fixed costs</t>
        </is>
      </c>
      <c r="B20" s="3" t="inlineStr">
        <is>
          <t>Rent - market price</t>
        </is>
      </c>
      <c r="C20" s="4" t="n">
        <v>1</v>
      </c>
      <c r="D20" s="3" t="inlineStr">
        <is>
          <t>monthly package</t>
        </is>
      </c>
      <c r="E20" s="3">
        <f>AVERAGE(H20:AQ20)</f>
        <v/>
      </c>
      <c r="F20" s="3" t="n"/>
      <c r="G20" s="9" t="inlineStr">
        <is>
          <t>INSEE BDM 001532540: Indice des loyers commerciaux (ILC) - Base 100 au 1er trimestre 2008; normalized to model unit price</t>
        </is>
      </c>
      <c r="H20" s="9" t="n">
        <v>5200</v>
      </c>
      <c r="I20" s="9" t="n">
        <v>5200</v>
      </c>
      <c r="J20" s="9" t="n">
        <v>5200</v>
      </c>
      <c r="K20" s="9" t="n">
        <v>5200</v>
      </c>
      <c r="L20" s="9" t="n">
        <v>5200</v>
      </c>
      <c r="M20" s="9" t="n">
        <v>5200</v>
      </c>
      <c r="N20" s="9" t="n">
        <v>5200</v>
      </c>
      <c r="O20" s="9" t="n">
        <v>5200</v>
      </c>
      <c r="P20" s="9" t="n">
        <v>5200</v>
      </c>
      <c r="Q20" s="9" t="n">
        <v>5200</v>
      </c>
      <c r="R20" s="9" t="n">
        <v>5200</v>
      </c>
      <c r="S20" s="9" t="n">
        <v>5200</v>
      </c>
      <c r="T20" s="9" t="n">
        <v>5200</v>
      </c>
      <c r="U20" s="9" t="n">
        <v>5200</v>
      </c>
      <c r="V20" s="9" t="n">
        <v>5200</v>
      </c>
      <c r="W20" s="9" t="n">
        <v>5200</v>
      </c>
      <c r="X20" s="9" t="n">
        <v>5200</v>
      </c>
      <c r="Y20" s="9" t="n">
        <v>5200</v>
      </c>
      <c r="Z20" s="9" t="n">
        <v>5200</v>
      </c>
      <c r="AA20" s="9" t="n">
        <v>5200</v>
      </c>
      <c r="AB20" s="9" t="n">
        <v>5200</v>
      </c>
      <c r="AC20" s="9" t="n">
        <v>5200</v>
      </c>
      <c r="AD20" s="9" t="n">
        <v>5200</v>
      </c>
      <c r="AE20" s="9" t="n">
        <v>5200</v>
      </c>
      <c r="AF20" s="9" t="n">
        <v>5200</v>
      </c>
      <c r="AG20" s="9" t="n">
        <v>5200</v>
      </c>
      <c r="AH20" s="9" t="n">
        <v>5200</v>
      </c>
      <c r="AI20" s="9" t="n">
        <v>5200</v>
      </c>
      <c r="AJ20" s="9" t="n">
        <v>5200</v>
      </c>
      <c r="AK20" s="9" t="n">
        <v>5200</v>
      </c>
      <c r="AL20" s="9" t="n">
        <v>5200</v>
      </c>
      <c r="AM20" s="9" t="n">
        <v>5200</v>
      </c>
      <c r="AN20" s="9" t="n">
        <v>5200</v>
      </c>
      <c r="AO20" s="9" t="n">
        <v>5200</v>
      </c>
      <c r="AP20" s="9" t="n">
        <v>5200</v>
      </c>
      <c r="AQ20" s="9" t="n">
        <v>5200</v>
      </c>
    </row>
    <row r="21" ht="20" customHeight="1">
      <c r="A21" s="3" t="inlineStr">
        <is>
          <t>Fixed costs</t>
        </is>
      </c>
      <c r="B21" s="3" t="inlineStr">
        <is>
          <t>Cost (Rent)</t>
        </is>
      </c>
      <c r="C21" s="4" t="n">
        <v>1</v>
      </c>
      <c r="D21" s="3" t="inlineStr">
        <is>
          <t>monthly package</t>
        </is>
      </c>
      <c r="E21" s="5">
        <f>E20</f>
        <v/>
      </c>
      <c r="F21" s="3" t="n"/>
      <c r="G21" s="3" t="inlineStr">
        <is>
          <t>Cost = quantity x seasonality x monthly market price</t>
        </is>
      </c>
      <c r="H21" s="5">
        <f>$C21*H20</f>
        <v/>
      </c>
      <c r="I21" s="5">
        <f>$C21*I20</f>
        <v/>
      </c>
      <c r="J21" s="5">
        <f>$C21*J20</f>
        <v/>
      </c>
      <c r="K21" s="5">
        <f>$C21*K20</f>
        <v/>
      </c>
      <c r="L21" s="5">
        <f>$C21*L20</f>
        <v/>
      </c>
      <c r="M21" s="5">
        <f>$C21*M20</f>
        <v/>
      </c>
      <c r="N21" s="5">
        <f>$C21*N20</f>
        <v/>
      </c>
      <c r="O21" s="5">
        <f>$C21*O20</f>
        <v/>
      </c>
      <c r="P21" s="5">
        <f>$C21*P20</f>
        <v/>
      </c>
      <c r="Q21" s="5">
        <f>$C21*Q20</f>
        <v/>
      </c>
      <c r="R21" s="5">
        <f>$C21*R20</f>
        <v/>
      </c>
      <c r="S21" s="5">
        <f>$C21*S20</f>
        <v/>
      </c>
      <c r="T21" s="5">
        <f>$C21*T20</f>
        <v/>
      </c>
      <c r="U21" s="5">
        <f>$C21*U20</f>
        <v/>
      </c>
      <c r="V21" s="5">
        <f>$C21*V20</f>
        <v/>
      </c>
      <c r="W21" s="5">
        <f>$C21*W20</f>
        <v/>
      </c>
      <c r="X21" s="5">
        <f>$C21*X20</f>
        <v/>
      </c>
      <c r="Y21" s="5">
        <f>$C21*Y20</f>
        <v/>
      </c>
      <c r="Z21" s="5">
        <f>$C21*Z20</f>
        <v/>
      </c>
      <c r="AA21" s="5">
        <f>$C21*AA20</f>
        <v/>
      </c>
      <c r="AB21" s="5">
        <f>$C21*AB20</f>
        <v/>
      </c>
      <c r="AC21" s="5">
        <f>$C21*AC20</f>
        <v/>
      </c>
      <c r="AD21" s="5">
        <f>$C21*AD20</f>
        <v/>
      </c>
      <c r="AE21" s="5">
        <f>$C21*AE20</f>
        <v/>
      </c>
      <c r="AF21" s="5">
        <f>$C21*AF20</f>
        <v/>
      </c>
      <c r="AG21" s="5">
        <f>$C21*AG20</f>
        <v/>
      </c>
      <c r="AH21" s="5">
        <f>$C21*AH20</f>
        <v/>
      </c>
      <c r="AI21" s="5">
        <f>$C21*AI20</f>
        <v/>
      </c>
      <c r="AJ21" s="5">
        <f>$C21*AJ20</f>
        <v/>
      </c>
      <c r="AK21" s="5">
        <f>$C21*AK20</f>
        <v/>
      </c>
      <c r="AL21" s="5">
        <f>$C21*AL20</f>
        <v/>
      </c>
      <c r="AM21" s="5">
        <f>$C21*AM20</f>
        <v/>
      </c>
      <c r="AN21" s="5">
        <f>$C21*AN20</f>
        <v/>
      </c>
      <c r="AO21" s="5">
        <f>$C21*AO20</f>
        <v/>
      </c>
      <c r="AP21" s="5">
        <f>$C21*AP20</f>
        <v/>
      </c>
      <c r="AQ21" s="5">
        <f>$C21*AQ20</f>
        <v/>
      </c>
    </row>
    <row r="22" ht="20" customHeight="1">
      <c r="A22" s="3" t="inlineStr">
        <is>
          <t>Fixed costs</t>
        </is>
      </c>
      <c r="B22" s="3" t="inlineStr">
        <is>
          <t>Insurance, accounting, software - market price</t>
        </is>
      </c>
      <c r="C22" s="4" t="n">
        <v>1</v>
      </c>
      <c r="D22" s="3" t="inlineStr">
        <is>
          <t>monthly package</t>
        </is>
      </c>
      <c r="E22" s="3">
        <f>AVERAGE(H22:AQ22)</f>
        <v/>
      </c>
      <c r="F22" s="3" t="n"/>
      <c r="G22" s="9" t="inlineStr">
        <is>
          <t>INSEE BDM 010766756: Indices des prix de production des services français aux entreprises françaises (BtoB) − CPF 82.11 − Services administratifs combinés ; normalized to model unit price</t>
        </is>
      </c>
      <c r="H22" s="9" t="n">
        <v>2400</v>
      </c>
      <c r="I22" s="9" t="n">
        <v>2400</v>
      </c>
      <c r="J22" s="9" t="n">
        <v>2400</v>
      </c>
      <c r="K22" s="9" t="n">
        <v>2400</v>
      </c>
      <c r="L22" s="9" t="n">
        <v>2400</v>
      </c>
      <c r="M22" s="9" t="n">
        <v>2400</v>
      </c>
      <c r="N22" s="9" t="n">
        <v>2400</v>
      </c>
      <c r="O22" s="9" t="n">
        <v>2400</v>
      </c>
      <c r="P22" s="9" t="n">
        <v>2400</v>
      </c>
      <c r="Q22" s="9" t="n">
        <v>2400</v>
      </c>
      <c r="R22" s="9" t="n">
        <v>2400</v>
      </c>
      <c r="S22" s="9" t="n">
        <v>2400</v>
      </c>
      <c r="T22" s="9" t="n">
        <v>2400</v>
      </c>
      <c r="U22" s="9" t="n">
        <v>2400</v>
      </c>
      <c r="V22" s="9" t="n">
        <v>2400</v>
      </c>
      <c r="W22" s="9" t="n">
        <v>2400</v>
      </c>
      <c r="X22" s="9" t="n">
        <v>2400</v>
      </c>
      <c r="Y22" s="9" t="n">
        <v>2400</v>
      </c>
      <c r="Z22" s="9" t="n">
        <v>2400</v>
      </c>
      <c r="AA22" s="9" t="n">
        <v>2400</v>
      </c>
      <c r="AB22" s="9" t="n">
        <v>2400</v>
      </c>
      <c r="AC22" s="9" t="n">
        <v>2400</v>
      </c>
      <c r="AD22" s="9" t="n">
        <v>2400</v>
      </c>
      <c r="AE22" s="9" t="n">
        <v>2400</v>
      </c>
      <c r="AF22" s="9" t="n">
        <v>2400</v>
      </c>
      <c r="AG22" s="9" t="n">
        <v>2400</v>
      </c>
      <c r="AH22" s="9" t="n">
        <v>2400</v>
      </c>
      <c r="AI22" s="9" t="n">
        <v>2400</v>
      </c>
      <c r="AJ22" s="9" t="n">
        <v>2400</v>
      </c>
      <c r="AK22" s="9" t="n">
        <v>2400</v>
      </c>
      <c r="AL22" s="9" t="n">
        <v>2400</v>
      </c>
      <c r="AM22" s="9" t="n">
        <v>2400</v>
      </c>
      <c r="AN22" s="9" t="n">
        <v>2400</v>
      </c>
      <c r="AO22" s="9" t="n">
        <v>2400</v>
      </c>
      <c r="AP22" s="9" t="n">
        <v>2400</v>
      </c>
      <c r="AQ22" s="9" t="n">
        <v>2400</v>
      </c>
    </row>
    <row r="23" ht="20" customHeight="1">
      <c r="A23" s="3" t="inlineStr">
        <is>
          <t>Fixed costs</t>
        </is>
      </c>
      <c r="B23" s="3" t="inlineStr">
        <is>
          <t>Cost (Insurance, accounting, software)</t>
        </is>
      </c>
      <c r="C23" s="4" t="n">
        <v>1</v>
      </c>
      <c r="D23" s="3" t="inlineStr">
        <is>
          <t>monthly package</t>
        </is>
      </c>
      <c r="E23" s="5">
        <f>E22</f>
        <v/>
      </c>
      <c r="F23" s="3" t="n"/>
      <c r="G23" s="3" t="inlineStr">
        <is>
          <t>Cost = quantity x seasonality x monthly market price</t>
        </is>
      </c>
      <c r="H23" s="5">
        <f>$C23*H22</f>
        <v/>
      </c>
      <c r="I23" s="5">
        <f>$C23*I22</f>
        <v/>
      </c>
      <c r="J23" s="5">
        <f>$C23*J22</f>
        <v/>
      </c>
      <c r="K23" s="5">
        <f>$C23*K22</f>
        <v/>
      </c>
      <c r="L23" s="5">
        <f>$C23*L22</f>
        <v/>
      </c>
      <c r="M23" s="5">
        <f>$C23*M22</f>
        <v/>
      </c>
      <c r="N23" s="5">
        <f>$C23*N22</f>
        <v/>
      </c>
      <c r="O23" s="5">
        <f>$C23*O22</f>
        <v/>
      </c>
      <c r="P23" s="5">
        <f>$C23*P22</f>
        <v/>
      </c>
      <c r="Q23" s="5">
        <f>$C23*Q22</f>
        <v/>
      </c>
      <c r="R23" s="5">
        <f>$C23*R22</f>
        <v/>
      </c>
      <c r="S23" s="5">
        <f>$C23*S22</f>
        <v/>
      </c>
      <c r="T23" s="5">
        <f>$C23*T22</f>
        <v/>
      </c>
      <c r="U23" s="5">
        <f>$C23*U22</f>
        <v/>
      </c>
      <c r="V23" s="5">
        <f>$C23*V22</f>
        <v/>
      </c>
      <c r="W23" s="5">
        <f>$C23*W22</f>
        <v/>
      </c>
      <c r="X23" s="5">
        <f>$C23*X22</f>
        <v/>
      </c>
      <c r="Y23" s="5">
        <f>$C23*Y22</f>
        <v/>
      </c>
      <c r="Z23" s="5">
        <f>$C23*Z22</f>
        <v/>
      </c>
      <c r="AA23" s="5">
        <f>$C23*AA22</f>
        <v/>
      </c>
      <c r="AB23" s="5">
        <f>$C23*AB22</f>
        <v/>
      </c>
      <c r="AC23" s="5">
        <f>$C23*AC22</f>
        <v/>
      </c>
      <c r="AD23" s="5">
        <f>$C23*AD22</f>
        <v/>
      </c>
      <c r="AE23" s="5">
        <f>$C23*AE22</f>
        <v/>
      </c>
      <c r="AF23" s="5">
        <f>$C23*AF22</f>
        <v/>
      </c>
      <c r="AG23" s="5">
        <f>$C23*AG22</f>
        <v/>
      </c>
      <c r="AH23" s="5">
        <f>$C23*AH22</f>
        <v/>
      </c>
      <c r="AI23" s="5">
        <f>$C23*AI22</f>
        <v/>
      </c>
      <c r="AJ23" s="5">
        <f>$C23*AJ22</f>
        <v/>
      </c>
      <c r="AK23" s="5">
        <f>$C23*AK22</f>
        <v/>
      </c>
      <c r="AL23" s="5">
        <f>$C23*AL22</f>
        <v/>
      </c>
      <c r="AM23" s="5">
        <f>$C23*AM22</f>
        <v/>
      </c>
      <c r="AN23" s="5">
        <f>$C23*AN22</f>
        <v/>
      </c>
      <c r="AO23" s="5">
        <f>$C23*AO22</f>
        <v/>
      </c>
      <c r="AP23" s="5">
        <f>$C23*AP22</f>
        <v/>
      </c>
      <c r="AQ23" s="5">
        <f>$C23*AQ22</f>
        <v/>
      </c>
    </row>
    <row r="24" ht="20" customHeight="1">
      <c r="A24" s="10" t="inlineStr">
        <is>
          <t>SOUS-TOTAL Fixed costs</t>
        </is>
      </c>
      <c r="B24" s="10" t="n"/>
      <c r="C24" s="10" t="n"/>
      <c r="D24" s="10" t="n"/>
      <c r="E24" s="10" t="n"/>
      <c r="F24" s="10" t="n"/>
      <c r="G24" s="10" t="n"/>
      <c r="H24" s="10">
        <f>SUM(H21,H23)</f>
        <v/>
      </c>
      <c r="I24" s="10">
        <f>SUM(I21,I23)</f>
        <v/>
      </c>
      <c r="J24" s="10">
        <f>SUM(J21,J23)</f>
        <v/>
      </c>
      <c r="K24" s="10">
        <f>SUM(K21,K23)</f>
        <v/>
      </c>
      <c r="L24" s="10">
        <f>SUM(L21,L23)</f>
        <v/>
      </c>
      <c r="M24" s="10">
        <f>SUM(M21,M23)</f>
        <v/>
      </c>
      <c r="N24" s="10">
        <f>SUM(N21,N23)</f>
        <v/>
      </c>
      <c r="O24" s="10">
        <f>SUM(O21,O23)</f>
        <v/>
      </c>
      <c r="P24" s="10">
        <f>SUM(P21,P23)</f>
        <v/>
      </c>
      <c r="Q24" s="10">
        <f>SUM(Q21,Q23)</f>
        <v/>
      </c>
      <c r="R24" s="10">
        <f>SUM(R21,R23)</f>
        <v/>
      </c>
      <c r="S24" s="10">
        <f>SUM(S21,S23)</f>
        <v/>
      </c>
      <c r="T24" s="10">
        <f>SUM(T21,T23)</f>
        <v/>
      </c>
      <c r="U24" s="10">
        <f>SUM(U21,U23)</f>
        <v/>
      </c>
      <c r="V24" s="10">
        <f>SUM(V21,V23)</f>
        <v/>
      </c>
      <c r="W24" s="10">
        <f>SUM(W21,W23)</f>
        <v/>
      </c>
      <c r="X24" s="10">
        <f>SUM(X21,X23)</f>
        <v/>
      </c>
      <c r="Y24" s="10">
        <f>SUM(Y21,Y23)</f>
        <v/>
      </c>
      <c r="Z24" s="10">
        <f>SUM(Z21,Z23)</f>
        <v/>
      </c>
      <c r="AA24" s="10">
        <f>SUM(AA21,AA23)</f>
        <v/>
      </c>
      <c r="AB24" s="10">
        <f>SUM(AB21,AB23)</f>
        <v/>
      </c>
      <c r="AC24" s="10">
        <f>SUM(AC21,AC23)</f>
        <v/>
      </c>
      <c r="AD24" s="10">
        <f>SUM(AD21,AD23)</f>
        <v/>
      </c>
      <c r="AE24" s="10">
        <f>SUM(AE21,AE23)</f>
        <v/>
      </c>
      <c r="AF24" s="10">
        <f>SUM(AF21,AF23)</f>
        <v/>
      </c>
      <c r="AG24" s="10">
        <f>SUM(AG21,AG23)</f>
        <v/>
      </c>
      <c r="AH24" s="10">
        <f>SUM(AH21,AH23)</f>
        <v/>
      </c>
      <c r="AI24" s="10">
        <f>SUM(AI21,AI23)</f>
        <v/>
      </c>
      <c r="AJ24" s="10">
        <f>SUM(AJ21,AJ23)</f>
        <v/>
      </c>
      <c r="AK24" s="10">
        <f>SUM(AK21,AK23)</f>
        <v/>
      </c>
      <c r="AL24" s="10">
        <f>SUM(AL21,AL23)</f>
        <v/>
      </c>
      <c r="AM24" s="10">
        <f>SUM(AM21,AM23)</f>
        <v/>
      </c>
      <c r="AN24" s="10">
        <f>SUM(AN21,AN23)</f>
        <v/>
      </c>
      <c r="AO24" s="10">
        <f>SUM(AO21,AO23)</f>
        <v/>
      </c>
      <c r="AP24" s="10">
        <f>SUM(AP21,AP23)</f>
        <v/>
      </c>
      <c r="AQ24" s="10">
        <f>SUM(AQ21,AQ23)</f>
        <v/>
      </c>
    </row>
    <row r="25" ht="20" customHeight="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</row>
    <row r="26" ht="20" customHeight="1">
      <c r="A26" s="10" t="inlineStr">
        <is>
          <t>TOTAL GENERAL DEPENSES</t>
        </is>
      </c>
      <c r="B26" s="10" t="n"/>
      <c r="C26" s="10" t="n"/>
      <c r="D26" s="10" t="n"/>
      <c r="E26" s="10" t="n"/>
      <c r="F26" s="10" t="n"/>
      <c r="G26" s="10" t="n"/>
      <c r="H26" s="10">
        <f>SUM(H11,H16,H19,H24)</f>
        <v/>
      </c>
      <c r="I26" s="10">
        <f>SUM(I11,I16,I19,I24)</f>
        <v/>
      </c>
      <c r="J26" s="10">
        <f>SUM(J11,J16,J19,J24)</f>
        <v/>
      </c>
      <c r="K26" s="10">
        <f>SUM(K11,K16,K19,K24)</f>
        <v/>
      </c>
      <c r="L26" s="10">
        <f>SUM(L11,L16,L19,L24)</f>
        <v/>
      </c>
      <c r="M26" s="10">
        <f>SUM(M11,M16,M19,M24)</f>
        <v/>
      </c>
      <c r="N26" s="10">
        <f>SUM(N11,N16,N19,N24)</f>
        <v/>
      </c>
      <c r="O26" s="10">
        <f>SUM(O11,O16,O19,O24)</f>
        <v/>
      </c>
      <c r="P26" s="10">
        <f>SUM(P11,P16,P19,P24)</f>
        <v/>
      </c>
      <c r="Q26" s="10">
        <f>SUM(Q11,Q16,Q19,Q24)</f>
        <v/>
      </c>
      <c r="R26" s="10">
        <f>SUM(R11,R16,R19,R24)</f>
        <v/>
      </c>
      <c r="S26" s="10">
        <f>SUM(S11,S16,S19,S24)</f>
        <v/>
      </c>
      <c r="T26" s="10">
        <f>SUM(T11,T16,T19,T24)</f>
        <v/>
      </c>
      <c r="U26" s="10">
        <f>SUM(U11,U16,U19,U24)</f>
        <v/>
      </c>
      <c r="V26" s="10">
        <f>SUM(V11,V16,V19,V24)</f>
        <v/>
      </c>
      <c r="W26" s="10">
        <f>SUM(W11,W16,W19,W24)</f>
        <v/>
      </c>
      <c r="X26" s="10">
        <f>SUM(X11,X16,X19,X24)</f>
        <v/>
      </c>
      <c r="Y26" s="10">
        <f>SUM(Y11,Y16,Y19,Y24)</f>
        <v/>
      </c>
      <c r="Z26" s="10">
        <f>SUM(Z11,Z16,Z19,Z24)</f>
        <v/>
      </c>
      <c r="AA26" s="10">
        <f>SUM(AA11,AA16,AA19,AA24)</f>
        <v/>
      </c>
      <c r="AB26" s="10">
        <f>SUM(AB11,AB16,AB19,AB24)</f>
        <v/>
      </c>
      <c r="AC26" s="10">
        <f>SUM(AC11,AC16,AC19,AC24)</f>
        <v/>
      </c>
      <c r="AD26" s="10">
        <f>SUM(AD11,AD16,AD19,AD24)</f>
        <v/>
      </c>
      <c r="AE26" s="10">
        <f>SUM(AE11,AE16,AE19,AE24)</f>
        <v/>
      </c>
      <c r="AF26" s="10">
        <f>SUM(AF11,AF16,AF19,AF24)</f>
        <v/>
      </c>
      <c r="AG26" s="10">
        <f>SUM(AG11,AG16,AG19,AG24)</f>
        <v/>
      </c>
      <c r="AH26" s="10">
        <f>SUM(AH11,AH16,AH19,AH24)</f>
        <v/>
      </c>
      <c r="AI26" s="10">
        <f>SUM(AI11,AI16,AI19,AI24)</f>
        <v/>
      </c>
      <c r="AJ26" s="10">
        <f>SUM(AJ11,AJ16,AJ19,AJ24)</f>
        <v/>
      </c>
      <c r="AK26" s="10">
        <f>SUM(AK11,AK16,AK19,AK24)</f>
        <v/>
      </c>
      <c r="AL26" s="10">
        <f>SUM(AL11,AL16,AL19,AL24)</f>
        <v/>
      </c>
      <c r="AM26" s="10">
        <f>SUM(AM11,AM16,AM19,AM24)</f>
        <v/>
      </c>
      <c r="AN26" s="10">
        <f>SUM(AN11,AN16,AN19,AN24)</f>
        <v/>
      </c>
      <c r="AO26" s="10">
        <f>SUM(AO11,AO16,AO19,AO24)</f>
        <v/>
      </c>
      <c r="AP26" s="10">
        <f>SUM(AP11,AP16,AP19,AP24)</f>
        <v/>
      </c>
      <c r="AQ26" s="10">
        <f>SUM(AQ11,AQ16,AQ19,AQ24)</f>
        <v/>
      </c>
    </row>
    <row r="27" ht="20" customHeight="1">
      <c r="A27" s="3" t="inlineStr">
        <is>
          <t>Total depenses A1 / CA A1</t>
        </is>
      </c>
      <c r="B27" s="3" t="n"/>
      <c r="C27" s="5">
        <f>SUM(H26:S26)/'Hypotheses'!$C$4</f>
        <v/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  <c r="AQ27" s="3" t="n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 ht="20" customHeight="1">
      <c r="A1" s="1" t="inlineStr">
        <is>
          <t>Restaurant - Plan de tresorerie mensuel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20" customHeight="1">
      <c r="A2" s="2" t="inlineStr">
        <is>
          <t>Opening cash + collections - disbursements = ending cash.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 ht="20" customHeight="1">
      <c r="A3" s="3" t="n"/>
      <c r="B3" s="3" t="n"/>
      <c r="C3" s="3" t="inlineStr">
        <is>
          <t>ANNEE 1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ANNEE 2</t>
        </is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inlineStr">
        <is>
          <t>ANNEE 3</t>
        </is>
      </c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</row>
    <row r="4" ht="20" customHeight="1">
      <c r="A4" s="6" t="inlineStr">
        <is>
          <t>Mois</t>
        </is>
      </c>
      <c r="B4" s="6" t="n"/>
      <c r="C4" s="6" t="inlineStr">
        <is>
          <t>Jan A1</t>
        </is>
      </c>
      <c r="D4" s="6" t="inlineStr">
        <is>
          <t>Feb A1</t>
        </is>
      </c>
      <c r="E4" s="6" t="inlineStr">
        <is>
          <t>Mar A1</t>
        </is>
      </c>
      <c r="F4" s="6" t="inlineStr">
        <is>
          <t>Apr A1</t>
        </is>
      </c>
      <c r="G4" s="6" t="inlineStr">
        <is>
          <t>May A1</t>
        </is>
      </c>
      <c r="H4" s="6" t="inlineStr">
        <is>
          <t>Jun A1</t>
        </is>
      </c>
      <c r="I4" s="6" t="inlineStr">
        <is>
          <t>Jul A1</t>
        </is>
      </c>
      <c r="J4" s="6" t="inlineStr">
        <is>
          <t>Aug A1</t>
        </is>
      </c>
      <c r="K4" s="6" t="inlineStr">
        <is>
          <t>Sep A1</t>
        </is>
      </c>
      <c r="L4" s="6" t="inlineStr">
        <is>
          <t>Oct A1</t>
        </is>
      </c>
      <c r="M4" s="6" t="inlineStr">
        <is>
          <t>Nov A1</t>
        </is>
      </c>
      <c r="N4" s="6" t="inlineStr">
        <is>
          <t>Dec A1</t>
        </is>
      </c>
      <c r="O4" s="6" t="inlineStr">
        <is>
          <t>Jan A2</t>
        </is>
      </c>
      <c r="P4" s="6" t="inlineStr">
        <is>
          <t>Feb A2</t>
        </is>
      </c>
      <c r="Q4" s="6" t="inlineStr">
        <is>
          <t>Mar A2</t>
        </is>
      </c>
      <c r="R4" s="6" t="inlineStr">
        <is>
          <t>Apr A2</t>
        </is>
      </c>
      <c r="S4" s="6" t="inlineStr">
        <is>
          <t>May A2</t>
        </is>
      </c>
      <c r="T4" s="6" t="inlineStr">
        <is>
          <t>Jun A2</t>
        </is>
      </c>
      <c r="U4" s="6" t="inlineStr">
        <is>
          <t>Jul A2</t>
        </is>
      </c>
      <c r="V4" s="6" t="inlineStr">
        <is>
          <t>Aug A2</t>
        </is>
      </c>
      <c r="W4" s="6" t="inlineStr">
        <is>
          <t>Sep A2</t>
        </is>
      </c>
      <c r="X4" s="6" t="inlineStr">
        <is>
          <t>Oct A2</t>
        </is>
      </c>
      <c r="Y4" s="6" t="inlineStr">
        <is>
          <t>Nov A2</t>
        </is>
      </c>
      <c r="Z4" s="6" t="inlineStr">
        <is>
          <t>Dec A2</t>
        </is>
      </c>
      <c r="AA4" s="6" t="inlineStr">
        <is>
          <t>Jan A3</t>
        </is>
      </c>
      <c r="AB4" s="6" t="inlineStr">
        <is>
          <t>Feb A3</t>
        </is>
      </c>
      <c r="AC4" s="6" t="inlineStr">
        <is>
          <t>Mar A3</t>
        </is>
      </c>
      <c r="AD4" s="6" t="inlineStr">
        <is>
          <t>Apr A3</t>
        </is>
      </c>
      <c r="AE4" s="6" t="inlineStr">
        <is>
          <t>May A3</t>
        </is>
      </c>
      <c r="AF4" s="6" t="inlineStr">
        <is>
          <t>Jun A3</t>
        </is>
      </c>
      <c r="AG4" s="6" t="inlineStr">
        <is>
          <t>Jul A3</t>
        </is>
      </c>
      <c r="AH4" s="6" t="inlineStr">
        <is>
          <t>Aug A3</t>
        </is>
      </c>
      <c r="AI4" s="6" t="inlineStr">
        <is>
          <t>Sep A3</t>
        </is>
      </c>
      <c r="AJ4" s="6" t="inlineStr">
        <is>
          <t>Oct A3</t>
        </is>
      </c>
      <c r="AK4" s="6" t="inlineStr">
        <is>
          <t>Nov A3</t>
        </is>
      </c>
      <c r="AL4" s="6" t="inlineStr">
        <is>
          <t>Dec A3</t>
        </is>
      </c>
    </row>
    <row r="5" ht="20" customHeight="1">
      <c r="A5" s="3" t="inlineStr">
        <is>
          <t>Tresorerie en debut de mois</t>
        </is>
      </c>
      <c r="B5" s="3" t="n"/>
      <c r="C5" s="5">
        <f>'Hypotheses'!$C$7</f>
        <v/>
      </c>
      <c r="D5" s="5">
        <f>C18</f>
        <v/>
      </c>
      <c r="E5" s="5">
        <f>D18</f>
        <v/>
      </c>
      <c r="F5" s="5">
        <f>E18</f>
        <v/>
      </c>
      <c r="G5" s="5">
        <f>F18</f>
        <v/>
      </c>
      <c r="H5" s="5">
        <f>G18</f>
        <v/>
      </c>
      <c r="I5" s="5">
        <f>H18</f>
        <v/>
      </c>
      <c r="J5" s="5">
        <f>I18</f>
        <v/>
      </c>
      <c r="K5" s="5">
        <f>J18</f>
        <v/>
      </c>
      <c r="L5" s="5">
        <f>K18</f>
        <v/>
      </c>
      <c r="M5" s="5">
        <f>L18</f>
        <v/>
      </c>
      <c r="N5" s="5">
        <f>M18</f>
        <v/>
      </c>
      <c r="O5" s="5">
        <f>N18</f>
        <v/>
      </c>
      <c r="P5" s="5">
        <f>O18</f>
        <v/>
      </c>
      <c r="Q5" s="5">
        <f>P18</f>
        <v/>
      </c>
      <c r="R5" s="5">
        <f>Q18</f>
        <v/>
      </c>
      <c r="S5" s="5">
        <f>R18</f>
        <v/>
      </c>
      <c r="T5" s="5">
        <f>S18</f>
        <v/>
      </c>
      <c r="U5" s="5">
        <f>T18</f>
        <v/>
      </c>
      <c r="V5" s="5">
        <f>U18</f>
        <v/>
      </c>
      <c r="W5" s="5">
        <f>V18</f>
        <v/>
      </c>
      <c r="X5" s="5">
        <f>W18</f>
        <v/>
      </c>
      <c r="Y5" s="5">
        <f>X18</f>
        <v/>
      </c>
      <c r="Z5" s="5">
        <f>Y18</f>
        <v/>
      </c>
      <c r="AA5" s="5">
        <f>Z18</f>
        <v/>
      </c>
      <c r="AB5" s="5">
        <f>AA18</f>
        <v/>
      </c>
      <c r="AC5" s="5">
        <f>AB18</f>
        <v/>
      </c>
      <c r="AD5" s="5">
        <f>AC18</f>
        <v/>
      </c>
      <c r="AE5" s="5">
        <f>AD18</f>
        <v/>
      </c>
      <c r="AF5" s="5">
        <f>AE18</f>
        <v/>
      </c>
      <c r="AG5" s="5">
        <f>AF18</f>
        <v/>
      </c>
      <c r="AH5" s="5">
        <f>AG18</f>
        <v/>
      </c>
      <c r="AI5" s="5">
        <f>AH18</f>
        <v/>
      </c>
      <c r="AJ5" s="5">
        <f>AI18</f>
        <v/>
      </c>
      <c r="AK5" s="5">
        <f>AJ18</f>
        <v/>
      </c>
      <c r="AL5" s="5">
        <f>AK18</f>
        <v/>
      </c>
    </row>
    <row r="6" ht="20" customHeight="1">
      <c r="A6" s="7" t="inlineStr">
        <is>
          <t>ENCAISSEMENTS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</row>
    <row r="7" ht="20" customHeight="1">
      <c r="A7" s="3" t="inlineStr">
        <is>
          <t>Encaissements clients TTC</t>
        </is>
      </c>
      <c r="B7" s="3" t="n"/>
      <c r="C7" s="5">
        <f>'Revenus'!C12*'Hypotheses'!$C$10+0+0</f>
        <v/>
      </c>
      <c r="D7" s="5">
        <f>'Revenus'!D12*'Hypotheses'!$C$10+'Revenus'!C12*'Hypotheses'!$C$11+0</f>
        <v/>
      </c>
      <c r="E7" s="5">
        <f>'Revenus'!E12*'Hypotheses'!$C$10+'Revenus'!D12*'Hypotheses'!$C$11+'Revenus'!C12*'Hypotheses'!$C$12</f>
        <v/>
      </c>
      <c r="F7" s="5">
        <f>'Revenus'!F12*'Hypotheses'!$C$10+'Revenus'!E12*'Hypotheses'!$C$11+'Revenus'!D12*'Hypotheses'!$C$12</f>
        <v/>
      </c>
      <c r="G7" s="5">
        <f>'Revenus'!G12*'Hypotheses'!$C$10+'Revenus'!F12*'Hypotheses'!$C$11+'Revenus'!E12*'Hypotheses'!$C$12</f>
        <v/>
      </c>
      <c r="H7" s="5">
        <f>'Revenus'!H12*'Hypotheses'!$C$10+'Revenus'!G12*'Hypotheses'!$C$11+'Revenus'!F12*'Hypotheses'!$C$12</f>
        <v/>
      </c>
      <c r="I7" s="5">
        <f>'Revenus'!I12*'Hypotheses'!$C$10+'Revenus'!H12*'Hypotheses'!$C$11+'Revenus'!G12*'Hypotheses'!$C$12</f>
        <v/>
      </c>
      <c r="J7" s="5">
        <f>'Revenus'!J12*'Hypotheses'!$C$10+'Revenus'!I12*'Hypotheses'!$C$11+'Revenus'!H12*'Hypotheses'!$C$12</f>
        <v/>
      </c>
      <c r="K7" s="5">
        <f>'Revenus'!K12*'Hypotheses'!$C$10+'Revenus'!J12*'Hypotheses'!$C$11+'Revenus'!I12*'Hypotheses'!$C$12</f>
        <v/>
      </c>
      <c r="L7" s="5">
        <f>'Revenus'!L12*'Hypotheses'!$C$10+'Revenus'!K12*'Hypotheses'!$C$11+'Revenus'!J12*'Hypotheses'!$C$12</f>
        <v/>
      </c>
      <c r="M7" s="5">
        <f>'Revenus'!M12*'Hypotheses'!$C$10+'Revenus'!L12*'Hypotheses'!$C$11+'Revenus'!K12*'Hypotheses'!$C$12</f>
        <v/>
      </c>
      <c r="N7" s="5">
        <f>'Revenus'!N12*'Hypotheses'!$C$10+'Revenus'!M12*'Hypotheses'!$C$11+'Revenus'!L12*'Hypotheses'!$C$12</f>
        <v/>
      </c>
      <c r="O7" s="5">
        <f>'Revenus'!O12*'Hypotheses'!$C$10+'Revenus'!N12*'Hypotheses'!$C$11+'Revenus'!M12*'Hypotheses'!$C$12</f>
        <v/>
      </c>
      <c r="P7" s="5">
        <f>'Revenus'!P12*'Hypotheses'!$C$10+'Revenus'!O12*'Hypotheses'!$C$11+'Revenus'!N12*'Hypotheses'!$C$12</f>
        <v/>
      </c>
      <c r="Q7" s="5">
        <f>'Revenus'!Q12*'Hypotheses'!$C$10+'Revenus'!P12*'Hypotheses'!$C$11+'Revenus'!O12*'Hypotheses'!$C$12</f>
        <v/>
      </c>
      <c r="R7" s="5">
        <f>'Revenus'!R12*'Hypotheses'!$C$10+'Revenus'!Q12*'Hypotheses'!$C$11+'Revenus'!P12*'Hypotheses'!$C$12</f>
        <v/>
      </c>
      <c r="S7" s="5">
        <f>'Revenus'!S12*'Hypotheses'!$C$10+'Revenus'!R12*'Hypotheses'!$C$11+'Revenus'!Q12*'Hypotheses'!$C$12</f>
        <v/>
      </c>
      <c r="T7" s="5">
        <f>'Revenus'!T12*'Hypotheses'!$C$10+'Revenus'!S12*'Hypotheses'!$C$11+'Revenus'!R12*'Hypotheses'!$C$12</f>
        <v/>
      </c>
      <c r="U7" s="5">
        <f>'Revenus'!U12*'Hypotheses'!$C$10+'Revenus'!T12*'Hypotheses'!$C$11+'Revenus'!S12*'Hypotheses'!$C$12</f>
        <v/>
      </c>
      <c r="V7" s="5">
        <f>'Revenus'!V12*'Hypotheses'!$C$10+'Revenus'!U12*'Hypotheses'!$C$11+'Revenus'!T12*'Hypotheses'!$C$12</f>
        <v/>
      </c>
      <c r="W7" s="5">
        <f>'Revenus'!W12*'Hypotheses'!$C$10+'Revenus'!V12*'Hypotheses'!$C$11+'Revenus'!U12*'Hypotheses'!$C$12</f>
        <v/>
      </c>
      <c r="X7" s="5">
        <f>'Revenus'!X12*'Hypotheses'!$C$10+'Revenus'!W12*'Hypotheses'!$C$11+'Revenus'!V12*'Hypotheses'!$C$12</f>
        <v/>
      </c>
      <c r="Y7" s="5">
        <f>'Revenus'!Y12*'Hypotheses'!$C$10+'Revenus'!X12*'Hypotheses'!$C$11+'Revenus'!W12*'Hypotheses'!$C$12</f>
        <v/>
      </c>
      <c r="Z7" s="5">
        <f>'Revenus'!Z12*'Hypotheses'!$C$10+'Revenus'!Y12*'Hypotheses'!$C$11+'Revenus'!X12*'Hypotheses'!$C$12</f>
        <v/>
      </c>
      <c r="AA7" s="5">
        <f>'Revenus'!AA12*'Hypotheses'!$C$10+'Revenus'!Z12*'Hypotheses'!$C$11+'Revenus'!Y12*'Hypotheses'!$C$12</f>
        <v/>
      </c>
      <c r="AB7" s="5">
        <f>'Revenus'!AB12*'Hypotheses'!$C$10+'Revenus'!AA12*'Hypotheses'!$C$11+'Revenus'!Z12*'Hypotheses'!$C$12</f>
        <v/>
      </c>
      <c r="AC7" s="5">
        <f>'Revenus'!AC12*'Hypotheses'!$C$10+'Revenus'!AB12*'Hypotheses'!$C$11+'Revenus'!AA12*'Hypotheses'!$C$12</f>
        <v/>
      </c>
      <c r="AD7" s="5">
        <f>'Revenus'!AD12*'Hypotheses'!$C$10+'Revenus'!AC12*'Hypotheses'!$C$11+'Revenus'!AB12*'Hypotheses'!$C$12</f>
        <v/>
      </c>
      <c r="AE7" s="5">
        <f>'Revenus'!AE12*'Hypotheses'!$C$10+'Revenus'!AD12*'Hypotheses'!$C$11+'Revenus'!AC12*'Hypotheses'!$C$12</f>
        <v/>
      </c>
      <c r="AF7" s="5">
        <f>'Revenus'!AF12*'Hypotheses'!$C$10+'Revenus'!AE12*'Hypotheses'!$C$11+'Revenus'!AD12*'Hypotheses'!$C$12</f>
        <v/>
      </c>
      <c r="AG7" s="5">
        <f>'Revenus'!AG12*'Hypotheses'!$C$10+'Revenus'!AF12*'Hypotheses'!$C$11+'Revenus'!AE12*'Hypotheses'!$C$12</f>
        <v/>
      </c>
      <c r="AH7" s="5">
        <f>'Revenus'!AH12*'Hypotheses'!$C$10+'Revenus'!AG12*'Hypotheses'!$C$11+'Revenus'!AF12*'Hypotheses'!$C$12</f>
        <v/>
      </c>
      <c r="AI7" s="5">
        <f>'Revenus'!AI12*'Hypotheses'!$C$10+'Revenus'!AH12*'Hypotheses'!$C$11+'Revenus'!AG12*'Hypotheses'!$C$12</f>
        <v/>
      </c>
      <c r="AJ7" s="5">
        <f>'Revenus'!AJ12*'Hypotheses'!$C$10+'Revenus'!AI12*'Hypotheses'!$C$11+'Revenus'!AH12*'Hypotheses'!$C$12</f>
        <v/>
      </c>
      <c r="AK7" s="5">
        <f>'Revenus'!AK12*'Hypotheses'!$C$10+'Revenus'!AJ12*'Hypotheses'!$C$11+'Revenus'!AI12*'Hypotheses'!$C$12</f>
        <v/>
      </c>
      <c r="AL7" s="5">
        <f>'Revenus'!AL12*'Hypotheses'!$C$10+'Revenus'!AK12*'Hypotheses'!$C$11+'Revenus'!AJ12*'Hypotheses'!$C$12</f>
        <v/>
      </c>
    </row>
    <row r="8" ht="20" customHeight="1">
      <c r="A8" s="7" t="inlineStr">
        <is>
          <t>TOTAL ENCAISSEMENTS</t>
        </is>
      </c>
      <c r="B8" s="7" t="n"/>
      <c r="C8" s="7">
        <f>C7</f>
        <v/>
      </c>
      <c r="D8" s="7">
        <f>D7</f>
        <v/>
      </c>
      <c r="E8" s="7">
        <f>E7</f>
        <v/>
      </c>
      <c r="F8" s="7">
        <f>F7</f>
        <v/>
      </c>
      <c r="G8" s="7">
        <f>G7</f>
        <v/>
      </c>
      <c r="H8" s="7">
        <f>H7</f>
        <v/>
      </c>
      <c r="I8" s="7">
        <f>I7</f>
        <v/>
      </c>
      <c r="J8" s="7">
        <f>J7</f>
        <v/>
      </c>
      <c r="K8" s="7">
        <f>K7</f>
        <v/>
      </c>
      <c r="L8" s="7">
        <f>L7</f>
        <v/>
      </c>
      <c r="M8" s="7">
        <f>M7</f>
        <v/>
      </c>
      <c r="N8" s="7">
        <f>N7</f>
        <v/>
      </c>
      <c r="O8" s="7">
        <f>O7</f>
        <v/>
      </c>
      <c r="P8" s="7">
        <f>P7</f>
        <v/>
      </c>
      <c r="Q8" s="7">
        <f>Q7</f>
        <v/>
      </c>
      <c r="R8" s="7">
        <f>R7</f>
        <v/>
      </c>
      <c r="S8" s="7">
        <f>S7</f>
        <v/>
      </c>
      <c r="T8" s="7">
        <f>T7</f>
        <v/>
      </c>
      <c r="U8" s="7">
        <f>U7</f>
        <v/>
      </c>
      <c r="V8" s="7">
        <f>V7</f>
        <v/>
      </c>
      <c r="W8" s="7">
        <f>W7</f>
        <v/>
      </c>
      <c r="X8" s="7">
        <f>X7</f>
        <v/>
      </c>
      <c r="Y8" s="7">
        <f>Y7</f>
        <v/>
      </c>
      <c r="Z8" s="7">
        <f>Z7</f>
        <v/>
      </c>
      <c r="AA8" s="7">
        <f>AA7</f>
        <v/>
      </c>
      <c r="AB8" s="7">
        <f>AB7</f>
        <v/>
      </c>
      <c r="AC8" s="7">
        <f>AC7</f>
        <v/>
      </c>
      <c r="AD8" s="7">
        <f>AD7</f>
        <v/>
      </c>
      <c r="AE8" s="7">
        <f>AE7</f>
        <v/>
      </c>
      <c r="AF8" s="7">
        <f>AF7</f>
        <v/>
      </c>
      <c r="AG8" s="7">
        <f>AG7</f>
        <v/>
      </c>
      <c r="AH8" s="7">
        <f>AH7</f>
        <v/>
      </c>
      <c r="AI8" s="7">
        <f>AI7</f>
        <v/>
      </c>
      <c r="AJ8" s="7">
        <f>AJ7</f>
        <v/>
      </c>
      <c r="AK8" s="7">
        <f>AK7</f>
        <v/>
      </c>
      <c r="AL8" s="7">
        <f>AL7</f>
        <v/>
      </c>
    </row>
    <row r="9" ht="20" customHeight="1">
      <c r="A9" s="7" t="inlineStr">
        <is>
          <t>DECAISSEMENTS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</row>
    <row r="10" ht="20" customHeight="1">
      <c r="A10" s="3" t="inlineStr">
        <is>
          <t>Achats variables et commodity-linked</t>
        </is>
      </c>
      <c r="B10" s="3" t="n"/>
      <c r="C10" s="5">
        <f>SUM('Depenses detaillees'!H11,'Depenses detaillees'!H16)</f>
        <v/>
      </c>
      <c r="D10" s="5">
        <f>SUM('Depenses detaillees'!I11,'Depenses detaillees'!I16)</f>
        <v/>
      </c>
      <c r="E10" s="5">
        <f>SUM('Depenses detaillees'!J11,'Depenses detaillees'!J16)</f>
        <v/>
      </c>
      <c r="F10" s="5">
        <f>SUM('Depenses detaillees'!K11,'Depenses detaillees'!K16)</f>
        <v/>
      </c>
      <c r="G10" s="5">
        <f>SUM('Depenses detaillees'!L11,'Depenses detaillees'!L16)</f>
        <v/>
      </c>
      <c r="H10" s="5">
        <f>SUM('Depenses detaillees'!M11,'Depenses detaillees'!M16)</f>
        <v/>
      </c>
      <c r="I10" s="5">
        <f>SUM('Depenses detaillees'!N11,'Depenses detaillees'!N16)</f>
        <v/>
      </c>
      <c r="J10" s="5">
        <f>SUM('Depenses detaillees'!O11,'Depenses detaillees'!O16)</f>
        <v/>
      </c>
      <c r="K10" s="5">
        <f>SUM('Depenses detaillees'!P11,'Depenses detaillees'!P16)</f>
        <v/>
      </c>
      <c r="L10" s="5">
        <f>SUM('Depenses detaillees'!Q11,'Depenses detaillees'!Q16)</f>
        <v/>
      </c>
      <c r="M10" s="5">
        <f>SUM('Depenses detaillees'!R11,'Depenses detaillees'!R16)</f>
        <v/>
      </c>
      <c r="N10" s="5">
        <f>SUM('Depenses detaillees'!S11,'Depenses detaillees'!S16)</f>
        <v/>
      </c>
      <c r="O10" s="5">
        <f>SUM('Depenses detaillees'!T11,'Depenses detaillees'!T16)</f>
        <v/>
      </c>
      <c r="P10" s="5">
        <f>SUM('Depenses detaillees'!U11,'Depenses detaillees'!U16)</f>
        <v/>
      </c>
      <c r="Q10" s="5">
        <f>SUM('Depenses detaillees'!V11,'Depenses detaillees'!V16)</f>
        <v/>
      </c>
      <c r="R10" s="5">
        <f>SUM('Depenses detaillees'!W11,'Depenses detaillees'!W16)</f>
        <v/>
      </c>
      <c r="S10" s="5">
        <f>SUM('Depenses detaillees'!X11,'Depenses detaillees'!X16)</f>
        <v/>
      </c>
      <c r="T10" s="5">
        <f>SUM('Depenses detaillees'!Y11,'Depenses detaillees'!Y16)</f>
        <v/>
      </c>
      <c r="U10" s="5">
        <f>SUM('Depenses detaillees'!Z11,'Depenses detaillees'!Z16)</f>
        <v/>
      </c>
      <c r="V10" s="5">
        <f>SUM('Depenses detaillees'!AA11,'Depenses detaillees'!AA16)</f>
        <v/>
      </c>
      <c r="W10" s="5">
        <f>SUM('Depenses detaillees'!AB11,'Depenses detaillees'!AB16)</f>
        <v/>
      </c>
      <c r="X10" s="5">
        <f>SUM('Depenses detaillees'!AC11,'Depenses detaillees'!AC16)</f>
        <v/>
      </c>
      <c r="Y10" s="5">
        <f>SUM('Depenses detaillees'!AD11,'Depenses detaillees'!AD16)</f>
        <v/>
      </c>
      <c r="Z10" s="5">
        <f>SUM('Depenses detaillees'!AE11,'Depenses detaillees'!AE16)</f>
        <v/>
      </c>
      <c r="AA10" s="5">
        <f>SUM('Depenses detaillees'!AF11,'Depenses detaillees'!AF16)</f>
        <v/>
      </c>
      <c r="AB10" s="5">
        <f>SUM('Depenses detaillees'!AG11,'Depenses detaillees'!AG16)</f>
        <v/>
      </c>
      <c r="AC10" s="5">
        <f>SUM('Depenses detaillees'!AH11,'Depenses detaillees'!AH16)</f>
        <v/>
      </c>
      <c r="AD10" s="5">
        <f>SUM('Depenses detaillees'!AI11,'Depenses detaillees'!AI16)</f>
        <v/>
      </c>
      <c r="AE10" s="5">
        <f>SUM('Depenses detaillees'!AJ11,'Depenses detaillees'!AJ16)</f>
        <v/>
      </c>
      <c r="AF10" s="5">
        <f>SUM('Depenses detaillees'!AK11,'Depenses detaillees'!AK16)</f>
        <v/>
      </c>
      <c r="AG10" s="5">
        <f>SUM('Depenses detaillees'!AL11,'Depenses detaillees'!AL16)</f>
        <v/>
      </c>
      <c r="AH10" s="5">
        <f>SUM('Depenses detaillees'!AM11,'Depenses detaillees'!AM16)</f>
        <v/>
      </c>
      <c r="AI10" s="5">
        <f>SUM('Depenses detaillees'!AN11,'Depenses detaillees'!AN16)</f>
        <v/>
      </c>
      <c r="AJ10" s="5">
        <f>SUM('Depenses detaillees'!AO11,'Depenses detaillees'!AO16)</f>
        <v/>
      </c>
      <c r="AK10" s="5">
        <f>SUM('Depenses detaillees'!AP11,'Depenses detaillees'!AP16)</f>
        <v/>
      </c>
      <c r="AL10" s="5">
        <f>SUM('Depenses detaillees'!AQ11,'Depenses detaillees'!AQ16)</f>
        <v/>
      </c>
    </row>
    <row r="11" ht="20" customHeight="1">
      <c r="A11" s="3" t="inlineStr">
        <is>
          <t>Personnel</t>
        </is>
      </c>
      <c r="B11" s="3" t="n"/>
      <c r="C11" s="5">
        <f>SUM('Depenses detaillees'!H19)</f>
        <v/>
      </c>
      <c r="D11" s="5">
        <f>SUM('Depenses detaillees'!I19)</f>
        <v/>
      </c>
      <c r="E11" s="5">
        <f>SUM('Depenses detaillees'!J19)</f>
        <v/>
      </c>
      <c r="F11" s="5">
        <f>SUM('Depenses detaillees'!K19)</f>
        <v/>
      </c>
      <c r="G11" s="5">
        <f>SUM('Depenses detaillees'!L19)</f>
        <v/>
      </c>
      <c r="H11" s="5">
        <f>SUM('Depenses detaillees'!M19)</f>
        <v/>
      </c>
      <c r="I11" s="5">
        <f>SUM('Depenses detaillees'!N19)</f>
        <v/>
      </c>
      <c r="J11" s="5">
        <f>SUM('Depenses detaillees'!O19)</f>
        <v/>
      </c>
      <c r="K11" s="5">
        <f>SUM('Depenses detaillees'!P19)</f>
        <v/>
      </c>
      <c r="L11" s="5">
        <f>SUM('Depenses detaillees'!Q19)</f>
        <v/>
      </c>
      <c r="M11" s="5">
        <f>SUM('Depenses detaillees'!R19)</f>
        <v/>
      </c>
      <c r="N11" s="5">
        <f>SUM('Depenses detaillees'!S19)</f>
        <v/>
      </c>
      <c r="O11" s="5">
        <f>SUM('Depenses detaillees'!T19)</f>
        <v/>
      </c>
      <c r="P11" s="5">
        <f>SUM('Depenses detaillees'!U19)</f>
        <v/>
      </c>
      <c r="Q11" s="5">
        <f>SUM('Depenses detaillees'!V19)</f>
        <v/>
      </c>
      <c r="R11" s="5">
        <f>SUM('Depenses detaillees'!W19)</f>
        <v/>
      </c>
      <c r="S11" s="5">
        <f>SUM('Depenses detaillees'!X19)</f>
        <v/>
      </c>
      <c r="T11" s="5">
        <f>SUM('Depenses detaillees'!Y19)</f>
        <v/>
      </c>
      <c r="U11" s="5">
        <f>SUM('Depenses detaillees'!Z19)</f>
        <v/>
      </c>
      <c r="V11" s="5">
        <f>SUM('Depenses detaillees'!AA19)</f>
        <v/>
      </c>
      <c r="W11" s="5">
        <f>SUM('Depenses detaillees'!AB19)</f>
        <v/>
      </c>
      <c r="X11" s="5">
        <f>SUM('Depenses detaillees'!AC19)</f>
        <v/>
      </c>
      <c r="Y11" s="5">
        <f>SUM('Depenses detaillees'!AD19)</f>
        <v/>
      </c>
      <c r="Z11" s="5">
        <f>SUM('Depenses detaillees'!AE19)</f>
        <v/>
      </c>
      <c r="AA11" s="5">
        <f>SUM('Depenses detaillees'!AF19)</f>
        <v/>
      </c>
      <c r="AB11" s="5">
        <f>SUM('Depenses detaillees'!AG19)</f>
        <v/>
      </c>
      <c r="AC11" s="5">
        <f>SUM('Depenses detaillees'!AH19)</f>
        <v/>
      </c>
      <c r="AD11" s="5">
        <f>SUM('Depenses detaillees'!AI19)</f>
        <v/>
      </c>
      <c r="AE11" s="5">
        <f>SUM('Depenses detaillees'!AJ19)</f>
        <v/>
      </c>
      <c r="AF11" s="5">
        <f>SUM('Depenses detaillees'!AK19)</f>
        <v/>
      </c>
      <c r="AG11" s="5">
        <f>SUM('Depenses detaillees'!AL19)</f>
        <v/>
      </c>
      <c r="AH11" s="5">
        <f>SUM('Depenses detaillees'!AM19)</f>
        <v/>
      </c>
      <c r="AI11" s="5">
        <f>SUM('Depenses detaillees'!AN19)</f>
        <v/>
      </c>
      <c r="AJ11" s="5">
        <f>SUM('Depenses detaillees'!AO19)</f>
        <v/>
      </c>
      <c r="AK11" s="5">
        <f>SUM('Depenses detaillees'!AP19)</f>
        <v/>
      </c>
      <c r="AL11" s="5">
        <f>SUM('Depenses detaillees'!AQ19)</f>
        <v/>
      </c>
    </row>
    <row r="12" ht="20" customHeight="1">
      <c r="A12" s="3" t="inlineStr">
        <is>
          <t>Charges fixes et maintenance</t>
        </is>
      </c>
      <c r="B12" s="3" t="n"/>
      <c r="C12" s="5">
        <f>SUM('Depenses detaillees'!H24)</f>
        <v/>
      </c>
      <c r="D12" s="5">
        <f>SUM('Depenses detaillees'!I24)</f>
        <v/>
      </c>
      <c r="E12" s="5">
        <f>SUM('Depenses detaillees'!J24)</f>
        <v/>
      </c>
      <c r="F12" s="5">
        <f>SUM('Depenses detaillees'!K24)</f>
        <v/>
      </c>
      <c r="G12" s="5">
        <f>SUM('Depenses detaillees'!L24)</f>
        <v/>
      </c>
      <c r="H12" s="5">
        <f>SUM('Depenses detaillees'!M24)</f>
        <v/>
      </c>
      <c r="I12" s="5">
        <f>SUM('Depenses detaillees'!N24)</f>
        <v/>
      </c>
      <c r="J12" s="5">
        <f>SUM('Depenses detaillees'!O24)</f>
        <v/>
      </c>
      <c r="K12" s="5">
        <f>SUM('Depenses detaillees'!P24)</f>
        <v/>
      </c>
      <c r="L12" s="5">
        <f>SUM('Depenses detaillees'!Q24)</f>
        <v/>
      </c>
      <c r="M12" s="5">
        <f>SUM('Depenses detaillees'!R24)</f>
        <v/>
      </c>
      <c r="N12" s="5">
        <f>SUM('Depenses detaillees'!S24)</f>
        <v/>
      </c>
      <c r="O12" s="5">
        <f>SUM('Depenses detaillees'!T24)</f>
        <v/>
      </c>
      <c r="P12" s="5">
        <f>SUM('Depenses detaillees'!U24)</f>
        <v/>
      </c>
      <c r="Q12" s="5">
        <f>SUM('Depenses detaillees'!V24)</f>
        <v/>
      </c>
      <c r="R12" s="5">
        <f>SUM('Depenses detaillees'!W24)</f>
        <v/>
      </c>
      <c r="S12" s="5">
        <f>SUM('Depenses detaillees'!X24)</f>
        <v/>
      </c>
      <c r="T12" s="5">
        <f>SUM('Depenses detaillees'!Y24)</f>
        <v/>
      </c>
      <c r="U12" s="5">
        <f>SUM('Depenses detaillees'!Z24)</f>
        <v/>
      </c>
      <c r="V12" s="5">
        <f>SUM('Depenses detaillees'!AA24)</f>
        <v/>
      </c>
      <c r="W12" s="5">
        <f>SUM('Depenses detaillees'!AB24)</f>
        <v/>
      </c>
      <c r="X12" s="5">
        <f>SUM('Depenses detaillees'!AC24)</f>
        <v/>
      </c>
      <c r="Y12" s="5">
        <f>SUM('Depenses detaillees'!AD24)</f>
        <v/>
      </c>
      <c r="Z12" s="5">
        <f>SUM('Depenses detaillees'!AE24)</f>
        <v/>
      </c>
      <c r="AA12" s="5">
        <f>SUM('Depenses detaillees'!AF24)</f>
        <v/>
      </c>
      <c r="AB12" s="5">
        <f>SUM('Depenses detaillees'!AG24)</f>
        <v/>
      </c>
      <c r="AC12" s="5">
        <f>SUM('Depenses detaillees'!AH24)</f>
        <v/>
      </c>
      <c r="AD12" s="5">
        <f>SUM('Depenses detaillees'!AI24)</f>
        <v/>
      </c>
      <c r="AE12" s="5">
        <f>SUM('Depenses detaillees'!AJ24)</f>
        <v/>
      </c>
      <c r="AF12" s="5">
        <f>SUM('Depenses detaillees'!AK24)</f>
        <v/>
      </c>
      <c r="AG12" s="5">
        <f>SUM('Depenses detaillees'!AL24)</f>
        <v/>
      </c>
      <c r="AH12" s="5">
        <f>SUM('Depenses detaillees'!AM24)</f>
        <v/>
      </c>
      <c r="AI12" s="5">
        <f>SUM('Depenses detaillees'!AN24)</f>
        <v/>
      </c>
      <c r="AJ12" s="5">
        <f>SUM('Depenses detaillees'!AO24)</f>
        <v/>
      </c>
      <c r="AK12" s="5">
        <f>SUM('Depenses detaillees'!AP24)</f>
        <v/>
      </c>
      <c r="AL12" s="5">
        <f>SUM('Depenses detaillees'!AQ24)</f>
        <v/>
      </c>
    </row>
    <row r="13" ht="20" customHeight="1">
      <c r="A13" s="3" t="inlineStr">
        <is>
          <t>Cotisations sociales dirigeant</t>
        </is>
      </c>
      <c r="B13" s="3" t="n"/>
      <c r="C13" s="5" t="n">
        <v>0</v>
      </c>
      <c r="D13" s="5" t="n">
        <v>0</v>
      </c>
      <c r="E13" s="5">
        <f>'Hypotheses'!$C$8*(1+'Hypotheses'!$C$14)^0</f>
        <v/>
      </c>
      <c r="F13" s="5" t="n">
        <v>0</v>
      </c>
      <c r="G13" s="5" t="n">
        <v>0</v>
      </c>
      <c r="H13" s="5">
        <f>'Hypotheses'!$C$8*(1+'Hypotheses'!$C$14)^0</f>
        <v/>
      </c>
      <c r="I13" s="5" t="n">
        <v>0</v>
      </c>
      <c r="J13" s="5" t="n">
        <v>0</v>
      </c>
      <c r="K13" s="5">
        <f>'Hypotheses'!$C$8*(1+'Hypotheses'!$C$14)^0</f>
        <v/>
      </c>
      <c r="L13" s="5" t="n">
        <v>0</v>
      </c>
      <c r="M13" s="5" t="n">
        <v>0</v>
      </c>
      <c r="N13" s="5">
        <f>'Hypotheses'!$C$8*(1+'Hypotheses'!$C$14)^0</f>
        <v/>
      </c>
      <c r="O13" s="5" t="n">
        <v>0</v>
      </c>
      <c r="P13" s="5" t="n">
        <v>0</v>
      </c>
      <c r="Q13" s="5">
        <f>'Hypotheses'!$C$8*(1+'Hypotheses'!$C$14)^1</f>
        <v/>
      </c>
      <c r="R13" s="5" t="n">
        <v>0</v>
      </c>
      <c r="S13" s="5" t="n">
        <v>0</v>
      </c>
      <c r="T13" s="5">
        <f>'Hypotheses'!$C$8*(1+'Hypotheses'!$C$14)^1</f>
        <v/>
      </c>
      <c r="U13" s="5" t="n">
        <v>0</v>
      </c>
      <c r="V13" s="5" t="n">
        <v>0</v>
      </c>
      <c r="W13" s="5">
        <f>'Hypotheses'!$C$8*(1+'Hypotheses'!$C$14)^1</f>
        <v/>
      </c>
      <c r="X13" s="5" t="n">
        <v>0</v>
      </c>
      <c r="Y13" s="5" t="n">
        <v>0</v>
      </c>
      <c r="Z13" s="5">
        <f>'Hypotheses'!$C$8*(1+'Hypotheses'!$C$14)^1</f>
        <v/>
      </c>
      <c r="AA13" s="5" t="n">
        <v>0</v>
      </c>
      <c r="AB13" s="5" t="n">
        <v>0</v>
      </c>
      <c r="AC13" s="5">
        <f>'Hypotheses'!$C$8*(1+'Hypotheses'!$C$14)^2</f>
        <v/>
      </c>
      <c r="AD13" s="5" t="n">
        <v>0</v>
      </c>
      <c r="AE13" s="5" t="n">
        <v>0</v>
      </c>
      <c r="AF13" s="5">
        <f>'Hypotheses'!$C$8*(1+'Hypotheses'!$C$14)^2</f>
        <v/>
      </c>
      <c r="AG13" s="5" t="n">
        <v>0</v>
      </c>
      <c r="AH13" s="5" t="n">
        <v>0</v>
      </c>
      <c r="AI13" s="5">
        <f>'Hypotheses'!$C$8*(1+'Hypotheses'!$C$14)^2</f>
        <v/>
      </c>
      <c r="AJ13" s="5" t="n">
        <v>0</v>
      </c>
      <c r="AK13" s="5" t="n">
        <v>0</v>
      </c>
      <c r="AL13" s="5">
        <f>'Hypotheses'!$C$8*(1+'Hypotheses'!$C$14)^2</f>
        <v/>
      </c>
    </row>
    <row r="14" ht="20" customHeight="1">
      <c r="A14" s="3" t="inlineStr">
        <is>
          <t>TVA nette versee</t>
        </is>
      </c>
      <c r="B14" s="3" t="n"/>
      <c r="C14" s="5" t="n">
        <v>0</v>
      </c>
      <c r="D14" s="5" t="n">
        <v>0</v>
      </c>
      <c r="E14" s="5">
        <f>MAX(0,SUM(C22:E22))</f>
        <v/>
      </c>
      <c r="F14" s="5" t="n">
        <v>0</v>
      </c>
      <c r="G14" s="5" t="n">
        <v>0</v>
      </c>
      <c r="H14" s="5">
        <f>MAX(0,SUM(F22:H22))</f>
        <v/>
      </c>
      <c r="I14" s="5" t="n">
        <v>0</v>
      </c>
      <c r="J14" s="5" t="n">
        <v>0</v>
      </c>
      <c r="K14" s="5">
        <f>MAX(0,SUM(I22:K22))</f>
        <v/>
      </c>
      <c r="L14" s="5" t="n">
        <v>0</v>
      </c>
      <c r="M14" s="5" t="n">
        <v>0</v>
      </c>
      <c r="N14" s="5">
        <f>MAX(0,SUM(L22:N22))</f>
        <v/>
      </c>
      <c r="O14" s="5" t="n">
        <v>0</v>
      </c>
      <c r="P14" s="5" t="n">
        <v>0</v>
      </c>
      <c r="Q14" s="5">
        <f>MAX(0,SUM(O22:Q22))</f>
        <v/>
      </c>
      <c r="R14" s="5" t="n">
        <v>0</v>
      </c>
      <c r="S14" s="5" t="n">
        <v>0</v>
      </c>
      <c r="T14" s="5">
        <f>MAX(0,SUM(R22:T22))</f>
        <v/>
      </c>
      <c r="U14" s="5" t="n">
        <v>0</v>
      </c>
      <c r="V14" s="5" t="n">
        <v>0</v>
      </c>
      <c r="W14" s="5">
        <f>MAX(0,SUM(U22:W22))</f>
        <v/>
      </c>
      <c r="X14" s="5" t="n">
        <v>0</v>
      </c>
      <c r="Y14" s="5" t="n">
        <v>0</v>
      </c>
      <c r="Z14" s="5">
        <f>MAX(0,SUM(X22:Z22))</f>
        <v/>
      </c>
      <c r="AA14" s="5" t="n">
        <v>0</v>
      </c>
      <c r="AB14" s="5" t="n">
        <v>0</v>
      </c>
      <c r="AC14" s="5">
        <f>MAX(0,SUM(AA22:AC22))</f>
        <v/>
      </c>
      <c r="AD14" s="5" t="n">
        <v>0</v>
      </c>
      <c r="AE14" s="5" t="n">
        <v>0</v>
      </c>
      <c r="AF14" s="5">
        <f>MAX(0,SUM(AD22:AF22))</f>
        <v/>
      </c>
      <c r="AG14" s="5" t="n">
        <v>0</v>
      </c>
      <c r="AH14" s="5" t="n">
        <v>0</v>
      </c>
      <c r="AI14" s="5">
        <f>MAX(0,SUM(AG22:AI22))</f>
        <v/>
      </c>
      <c r="AJ14" s="5" t="n">
        <v>0</v>
      </c>
      <c r="AK14" s="5" t="n">
        <v>0</v>
      </c>
      <c r="AL14" s="5">
        <f>MAX(0,SUM(AJ22:AL22))</f>
        <v/>
      </c>
    </row>
    <row r="15" ht="20" customHeight="1">
      <c r="A15" s="3" t="inlineStr">
        <is>
          <t>Remboursement emprunt materiel</t>
        </is>
      </c>
      <c r="B15" s="3" t="n"/>
      <c r="C15" s="5">
        <f>'Hypotheses'!$C$9</f>
        <v/>
      </c>
      <c r="D15" s="5">
        <f>'Hypotheses'!$C$9</f>
        <v/>
      </c>
      <c r="E15" s="5">
        <f>'Hypotheses'!$C$9</f>
        <v/>
      </c>
      <c r="F15" s="5">
        <f>'Hypotheses'!$C$9</f>
        <v/>
      </c>
      <c r="G15" s="5">
        <f>'Hypotheses'!$C$9</f>
        <v/>
      </c>
      <c r="H15" s="5">
        <f>'Hypotheses'!$C$9</f>
        <v/>
      </c>
      <c r="I15" s="5">
        <f>'Hypotheses'!$C$9</f>
        <v/>
      </c>
      <c r="J15" s="5">
        <f>'Hypotheses'!$C$9</f>
        <v/>
      </c>
      <c r="K15" s="5">
        <f>'Hypotheses'!$C$9</f>
        <v/>
      </c>
      <c r="L15" s="5">
        <f>'Hypotheses'!$C$9</f>
        <v/>
      </c>
      <c r="M15" s="5">
        <f>'Hypotheses'!$C$9</f>
        <v/>
      </c>
      <c r="N15" s="5">
        <f>'Hypotheses'!$C$9</f>
        <v/>
      </c>
      <c r="O15" s="5">
        <f>'Hypotheses'!$C$9</f>
        <v/>
      </c>
      <c r="P15" s="5">
        <f>'Hypotheses'!$C$9</f>
        <v/>
      </c>
      <c r="Q15" s="5">
        <f>'Hypotheses'!$C$9</f>
        <v/>
      </c>
      <c r="R15" s="5">
        <f>'Hypotheses'!$C$9</f>
        <v/>
      </c>
      <c r="S15" s="5">
        <f>'Hypotheses'!$C$9</f>
        <v/>
      </c>
      <c r="T15" s="5">
        <f>'Hypotheses'!$C$9</f>
        <v/>
      </c>
      <c r="U15" s="5">
        <f>'Hypotheses'!$C$9</f>
        <v/>
      </c>
      <c r="V15" s="5">
        <f>'Hypotheses'!$C$9</f>
        <v/>
      </c>
      <c r="W15" s="5">
        <f>'Hypotheses'!$C$9</f>
        <v/>
      </c>
      <c r="X15" s="5">
        <f>'Hypotheses'!$C$9</f>
        <v/>
      </c>
      <c r="Y15" s="5">
        <f>'Hypotheses'!$C$9</f>
        <v/>
      </c>
      <c r="Z15" s="5">
        <f>'Hypotheses'!$C$9</f>
        <v/>
      </c>
      <c r="AA15" s="5">
        <f>'Hypotheses'!$C$9</f>
        <v/>
      </c>
      <c r="AB15" s="5">
        <f>'Hypotheses'!$C$9</f>
        <v/>
      </c>
      <c r="AC15" s="5">
        <f>'Hypotheses'!$C$9</f>
        <v/>
      </c>
      <c r="AD15" s="5">
        <f>'Hypotheses'!$C$9</f>
        <v/>
      </c>
      <c r="AE15" s="5">
        <f>'Hypotheses'!$C$9</f>
        <v/>
      </c>
      <c r="AF15" s="5">
        <f>'Hypotheses'!$C$9</f>
        <v/>
      </c>
      <c r="AG15" s="5">
        <f>'Hypotheses'!$C$9</f>
        <v/>
      </c>
      <c r="AH15" s="5">
        <f>'Hypotheses'!$C$9</f>
        <v/>
      </c>
      <c r="AI15" s="5">
        <f>'Hypotheses'!$C$9</f>
        <v/>
      </c>
      <c r="AJ15" s="5">
        <f>'Hypotheses'!$C$9</f>
        <v/>
      </c>
      <c r="AK15" s="5">
        <f>'Hypotheses'!$C$9</f>
        <v/>
      </c>
      <c r="AL15" s="5">
        <f>'Hypotheses'!$C$9</f>
        <v/>
      </c>
    </row>
    <row r="16" ht="20" customHeight="1">
      <c r="A16" s="7" t="inlineStr">
        <is>
          <t>TOTAL DECAISSEMENTS</t>
        </is>
      </c>
      <c r="B16" s="7" t="n"/>
      <c r="C16" s="7">
        <f>SUM(C10:C15)</f>
        <v/>
      </c>
      <c r="D16" s="7">
        <f>SUM(D10:D15)</f>
        <v/>
      </c>
      <c r="E16" s="7">
        <f>SUM(E10:E15)</f>
        <v/>
      </c>
      <c r="F16" s="7">
        <f>SUM(F10:F15)</f>
        <v/>
      </c>
      <c r="G16" s="7">
        <f>SUM(G10:G15)</f>
        <v/>
      </c>
      <c r="H16" s="7">
        <f>SUM(H10:H15)</f>
        <v/>
      </c>
      <c r="I16" s="7">
        <f>SUM(I10:I15)</f>
        <v/>
      </c>
      <c r="J16" s="7">
        <f>SUM(J10:J15)</f>
        <v/>
      </c>
      <c r="K16" s="7">
        <f>SUM(K10:K15)</f>
        <v/>
      </c>
      <c r="L16" s="7">
        <f>SUM(L10:L15)</f>
        <v/>
      </c>
      <c r="M16" s="7">
        <f>SUM(M10:M15)</f>
        <v/>
      </c>
      <c r="N16" s="7">
        <f>SUM(N10:N15)</f>
        <v/>
      </c>
      <c r="O16" s="7">
        <f>SUM(O10:O15)</f>
        <v/>
      </c>
      <c r="P16" s="7">
        <f>SUM(P10:P15)</f>
        <v/>
      </c>
      <c r="Q16" s="7">
        <f>SUM(Q10:Q15)</f>
        <v/>
      </c>
      <c r="R16" s="7">
        <f>SUM(R10:R15)</f>
        <v/>
      </c>
      <c r="S16" s="7">
        <f>SUM(S10:S15)</f>
        <v/>
      </c>
      <c r="T16" s="7">
        <f>SUM(T10:T15)</f>
        <v/>
      </c>
      <c r="U16" s="7">
        <f>SUM(U10:U15)</f>
        <v/>
      </c>
      <c r="V16" s="7">
        <f>SUM(V10:V15)</f>
        <v/>
      </c>
      <c r="W16" s="7">
        <f>SUM(W10:W15)</f>
        <v/>
      </c>
      <c r="X16" s="7">
        <f>SUM(X10:X15)</f>
        <v/>
      </c>
      <c r="Y16" s="7">
        <f>SUM(Y10:Y15)</f>
        <v/>
      </c>
      <c r="Z16" s="7">
        <f>SUM(Z10:Z15)</f>
        <v/>
      </c>
      <c r="AA16" s="7">
        <f>SUM(AA10:AA15)</f>
        <v/>
      </c>
      <c r="AB16" s="7">
        <f>SUM(AB10:AB15)</f>
        <v/>
      </c>
      <c r="AC16" s="7">
        <f>SUM(AC10:AC15)</f>
        <v/>
      </c>
      <c r="AD16" s="7">
        <f>SUM(AD10:AD15)</f>
        <v/>
      </c>
      <c r="AE16" s="7">
        <f>SUM(AE10:AE15)</f>
        <v/>
      </c>
      <c r="AF16" s="7">
        <f>SUM(AF10:AF15)</f>
        <v/>
      </c>
      <c r="AG16" s="7">
        <f>SUM(AG10:AG15)</f>
        <v/>
      </c>
      <c r="AH16" s="7">
        <f>SUM(AH10:AH15)</f>
        <v/>
      </c>
      <c r="AI16" s="7">
        <f>SUM(AI10:AI15)</f>
        <v/>
      </c>
      <c r="AJ16" s="7">
        <f>SUM(AJ10:AJ15)</f>
        <v/>
      </c>
      <c r="AK16" s="7">
        <f>SUM(AK10:AK15)</f>
        <v/>
      </c>
      <c r="AL16" s="7">
        <f>SUM(AL10:AL15)</f>
        <v/>
      </c>
    </row>
    <row r="17" ht="20" customHeight="1">
      <c r="A17" s="3" t="inlineStr">
        <is>
          <t>Variation de tresorerie du mois</t>
        </is>
      </c>
      <c r="B17" s="3" t="n"/>
      <c r="C17" s="5">
        <f>C8-C16</f>
        <v/>
      </c>
      <c r="D17" s="5">
        <f>D8-D16</f>
        <v/>
      </c>
      <c r="E17" s="5">
        <f>E8-E16</f>
        <v/>
      </c>
      <c r="F17" s="5">
        <f>F8-F16</f>
        <v/>
      </c>
      <c r="G17" s="5">
        <f>G8-G16</f>
        <v/>
      </c>
      <c r="H17" s="5">
        <f>H8-H16</f>
        <v/>
      </c>
      <c r="I17" s="5">
        <f>I8-I16</f>
        <v/>
      </c>
      <c r="J17" s="5">
        <f>J8-J16</f>
        <v/>
      </c>
      <c r="K17" s="5">
        <f>K8-K16</f>
        <v/>
      </c>
      <c r="L17" s="5">
        <f>L8-L16</f>
        <v/>
      </c>
      <c r="M17" s="5">
        <f>M8-M16</f>
        <v/>
      </c>
      <c r="N17" s="5">
        <f>N8-N16</f>
        <v/>
      </c>
      <c r="O17" s="5">
        <f>O8-O16</f>
        <v/>
      </c>
      <c r="P17" s="5">
        <f>P8-P16</f>
        <v/>
      </c>
      <c r="Q17" s="5">
        <f>Q8-Q16</f>
        <v/>
      </c>
      <c r="R17" s="5">
        <f>R8-R16</f>
        <v/>
      </c>
      <c r="S17" s="5">
        <f>S8-S16</f>
        <v/>
      </c>
      <c r="T17" s="5">
        <f>T8-T16</f>
        <v/>
      </c>
      <c r="U17" s="5">
        <f>U8-U16</f>
        <v/>
      </c>
      <c r="V17" s="5">
        <f>V8-V16</f>
        <v/>
      </c>
      <c r="W17" s="5">
        <f>W8-W16</f>
        <v/>
      </c>
      <c r="X17" s="5">
        <f>X8-X16</f>
        <v/>
      </c>
      <c r="Y17" s="5">
        <f>Y8-Y16</f>
        <v/>
      </c>
      <c r="Z17" s="5">
        <f>Z8-Z16</f>
        <v/>
      </c>
      <c r="AA17" s="5">
        <f>AA8-AA16</f>
        <v/>
      </c>
      <c r="AB17" s="5">
        <f>AB8-AB16</f>
        <v/>
      </c>
      <c r="AC17" s="5">
        <f>AC8-AC16</f>
        <v/>
      </c>
      <c r="AD17" s="5">
        <f>AD8-AD16</f>
        <v/>
      </c>
      <c r="AE17" s="5">
        <f>AE8-AE16</f>
        <v/>
      </c>
      <c r="AF17" s="5">
        <f>AF8-AF16</f>
        <v/>
      </c>
      <c r="AG17" s="5">
        <f>AG8-AG16</f>
        <v/>
      </c>
      <c r="AH17" s="5">
        <f>AH8-AH16</f>
        <v/>
      </c>
      <c r="AI17" s="5">
        <f>AI8-AI16</f>
        <v/>
      </c>
      <c r="AJ17" s="5">
        <f>AJ8-AJ16</f>
        <v/>
      </c>
      <c r="AK17" s="5">
        <f>AK8-AK16</f>
        <v/>
      </c>
      <c r="AL17" s="5">
        <f>AL8-AL16</f>
        <v/>
      </c>
    </row>
    <row r="18" ht="20" customHeight="1">
      <c r="A18" s="7" t="inlineStr">
        <is>
          <t>TRESORERIE EN FIN DE MOIS</t>
        </is>
      </c>
      <c r="B18" s="7" t="n"/>
      <c r="C18" s="7">
        <f>C5+C17</f>
        <v/>
      </c>
      <c r="D18" s="7">
        <f>D5+D17</f>
        <v/>
      </c>
      <c r="E18" s="7">
        <f>E5+E17</f>
        <v/>
      </c>
      <c r="F18" s="7">
        <f>F5+F17</f>
        <v/>
      </c>
      <c r="G18" s="7">
        <f>G5+G17</f>
        <v/>
      </c>
      <c r="H18" s="7">
        <f>H5+H17</f>
        <v/>
      </c>
      <c r="I18" s="7">
        <f>I5+I17</f>
        <v/>
      </c>
      <c r="J18" s="7">
        <f>J5+J17</f>
        <v/>
      </c>
      <c r="K18" s="7">
        <f>K5+K17</f>
        <v/>
      </c>
      <c r="L18" s="7">
        <f>L5+L17</f>
        <v/>
      </c>
      <c r="M18" s="7">
        <f>M5+M17</f>
        <v/>
      </c>
      <c r="N18" s="7">
        <f>N5+N17</f>
        <v/>
      </c>
      <c r="O18" s="7">
        <f>O5+O17</f>
        <v/>
      </c>
      <c r="P18" s="7">
        <f>P5+P17</f>
        <v/>
      </c>
      <c r="Q18" s="7">
        <f>Q5+Q17</f>
        <v/>
      </c>
      <c r="R18" s="7">
        <f>R5+R17</f>
        <v/>
      </c>
      <c r="S18" s="7">
        <f>S5+S17</f>
        <v/>
      </c>
      <c r="T18" s="7">
        <f>T5+T17</f>
        <v/>
      </c>
      <c r="U18" s="7">
        <f>U5+U17</f>
        <v/>
      </c>
      <c r="V18" s="7">
        <f>V5+V17</f>
        <v/>
      </c>
      <c r="W18" s="7">
        <f>W5+W17</f>
        <v/>
      </c>
      <c r="X18" s="7">
        <f>X5+X17</f>
        <v/>
      </c>
      <c r="Y18" s="7">
        <f>Y5+Y17</f>
        <v/>
      </c>
      <c r="Z18" s="7">
        <f>Z5+Z17</f>
        <v/>
      </c>
      <c r="AA18" s="7">
        <f>AA5+AA17</f>
        <v/>
      </c>
      <c r="AB18" s="7">
        <f>AB5+AB17</f>
        <v/>
      </c>
      <c r="AC18" s="7">
        <f>AC5+AC17</f>
        <v/>
      </c>
      <c r="AD18" s="7">
        <f>AD5+AD17</f>
        <v/>
      </c>
      <c r="AE18" s="7">
        <f>AE5+AE17</f>
        <v/>
      </c>
      <c r="AF18" s="7">
        <f>AF5+AF17</f>
        <v/>
      </c>
      <c r="AG18" s="7">
        <f>AG5+AG17</f>
        <v/>
      </c>
      <c r="AH18" s="7">
        <f>AH5+AH17</f>
        <v/>
      </c>
      <c r="AI18" s="7">
        <f>AI5+AI17</f>
        <v/>
      </c>
      <c r="AJ18" s="7">
        <f>AJ5+AJ17</f>
        <v/>
      </c>
      <c r="AK18" s="7">
        <f>AK5+AK17</f>
        <v/>
      </c>
      <c r="AL18" s="7">
        <f>AL5+AL17</f>
        <v/>
      </c>
    </row>
    <row r="19" ht="20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</row>
    <row r="20" ht="20" customHeight="1">
      <c r="A20" s="3" t="inlineStr">
        <is>
          <t>Memo - TVA collectee du mois</t>
        </is>
      </c>
      <c r="B20" s="3" t="n"/>
      <c r="C20" s="5">
        <f>'Revenus'!C11</f>
        <v/>
      </c>
      <c r="D20" s="5">
        <f>'Revenus'!D11</f>
        <v/>
      </c>
      <c r="E20" s="5">
        <f>'Revenus'!E11</f>
        <v/>
      </c>
      <c r="F20" s="5">
        <f>'Revenus'!F11</f>
        <v/>
      </c>
      <c r="G20" s="5">
        <f>'Revenus'!G11</f>
        <v/>
      </c>
      <c r="H20" s="5">
        <f>'Revenus'!H11</f>
        <v/>
      </c>
      <c r="I20" s="5">
        <f>'Revenus'!I11</f>
        <v/>
      </c>
      <c r="J20" s="5">
        <f>'Revenus'!J11</f>
        <v/>
      </c>
      <c r="K20" s="5">
        <f>'Revenus'!K11</f>
        <v/>
      </c>
      <c r="L20" s="5">
        <f>'Revenus'!L11</f>
        <v/>
      </c>
      <c r="M20" s="5">
        <f>'Revenus'!M11</f>
        <v/>
      </c>
      <c r="N20" s="5">
        <f>'Revenus'!N11</f>
        <v/>
      </c>
      <c r="O20" s="5">
        <f>'Revenus'!O11</f>
        <v/>
      </c>
      <c r="P20" s="5">
        <f>'Revenus'!P11</f>
        <v/>
      </c>
      <c r="Q20" s="5">
        <f>'Revenus'!Q11</f>
        <v/>
      </c>
      <c r="R20" s="5">
        <f>'Revenus'!R11</f>
        <v/>
      </c>
      <c r="S20" s="5">
        <f>'Revenus'!S11</f>
        <v/>
      </c>
      <c r="T20" s="5">
        <f>'Revenus'!T11</f>
        <v/>
      </c>
      <c r="U20" s="5">
        <f>'Revenus'!U11</f>
        <v/>
      </c>
      <c r="V20" s="5">
        <f>'Revenus'!V11</f>
        <v/>
      </c>
      <c r="W20" s="5">
        <f>'Revenus'!W11</f>
        <v/>
      </c>
      <c r="X20" s="5">
        <f>'Revenus'!X11</f>
        <v/>
      </c>
      <c r="Y20" s="5">
        <f>'Revenus'!Y11</f>
        <v/>
      </c>
      <c r="Z20" s="5">
        <f>'Revenus'!Z11</f>
        <v/>
      </c>
      <c r="AA20" s="5">
        <f>'Revenus'!AA11</f>
        <v/>
      </c>
      <c r="AB20" s="5">
        <f>'Revenus'!AB11</f>
        <v/>
      </c>
      <c r="AC20" s="5">
        <f>'Revenus'!AC11</f>
        <v/>
      </c>
      <c r="AD20" s="5">
        <f>'Revenus'!AD11</f>
        <v/>
      </c>
      <c r="AE20" s="5">
        <f>'Revenus'!AE11</f>
        <v/>
      </c>
      <c r="AF20" s="5">
        <f>'Revenus'!AF11</f>
        <v/>
      </c>
      <c r="AG20" s="5">
        <f>'Revenus'!AG11</f>
        <v/>
      </c>
      <c r="AH20" s="5">
        <f>'Revenus'!AH11</f>
        <v/>
      </c>
      <c r="AI20" s="5">
        <f>'Revenus'!AI11</f>
        <v/>
      </c>
      <c r="AJ20" s="5">
        <f>'Revenus'!AJ11</f>
        <v/>
      </c>
      <c r="AK20" s="5">
        <f>'Revenus'!AK11</f>
        <v/>
      </c>
      <c r="AL20" s="5">
        <f>'Revenus'!AL11</f>
        <v/>
      </c>
    </row>
    <row r="21" ht="20" customHeight="1">
      <c r="A21" s="3" t="inlineStr">
        <is>
          <t>Memo - TVA deductible du mois</t>
        </is>
      </c>
      <c r="B21" s="3" t="n"/>
      <c r="C21" s="5">
        <f>(C10+C12)*'Hypotheses'!$C$6</f>
        <v/>
      </c>
      <c r="D21" s="5">
        <f>(D10+D12)*'Hypotheses'!$C$6</f>
        <v/>
      </c>
      <c r="E21" s="5">
        <f>(E10+E12)*'Hypotheses'!$C$6</f>
        <v/>
      </c>
      <c r="F21" s="5">
        <f>(F10+F12)*'Hypotheses'!$C$6</f>
        <v/>
      </c>
      <c r="G21" s="5">
        <f>(G10+G12)*'Hypotheses'!$C$6</f>
        <v/>
      </c>
      <c r="H21" s="5">
        <f>(H10+H12)*'Hypotheses'!$C$6</f>
        <v/>
      </c>
      <c r="I21" s="5">
        <f>(I10+I12)*'Hypotheses'!$C$6</f>
        <v/>
      </c>
      <c r="J21" s="5">
        <f>(J10+J12)*'Hypotheses'!$C$6</f>
        <v/>
      </c>
      <c r="K21" s="5">
        <f>(K10+K12)*'Hypotheses'!$C$6</f>
        <v/>
      </c>
      <c r="L21" s="5">
        <f>(L10+L12)*'Hypotheses'!$C$6</f>
        <v/>
      </c>
      <c r="M21" s="5">
        <f>(M10+M12)*'Hypotheses'!$C$6</f>
        <v/>
      </c>
      <c r="N21" s="5">
        <f>(N10+N12)*'Hypotheses'!$C$6</f>
        <v/>
      </c>
      <c r="O21" s="5">
        <f>(O10+O12)*'Hypotheses'!$C$6</f>
        <v/>
      </c>
      <c r="P21" s="5">
        <f>(P10+P12)*'Hypotheses'!$C$6</f>
        <v/>
      </c>
      <c r="Q21" s="5">
        <f>(Q10+Q12)*'Hypotheses'!$C$6</f>
        <v/>
      </c>
      <c r="R21" s="5">
        <f>(R10+R12)*'Hypotheses'!$C$6</f>
        <v/>
      </c>
      <c r="S21" s="5">
        <f>(S10+S12)*'Hypotheses'!$C$6</f>
        <v/>
      </c>
      <c r="T21" s="5">
        <f>(T10+T12)*'Hypotheses'!$C$6</f>
        <v/>
      </c>
      <c r="U21" s="5">
        <f>(U10+U12)*'Hypotheses'!$C$6</f>
        <v/>
      </c>
      <c r="V21" s="5">
        <f>(V10+V12)*'Hypotheses'!$C$6</f>
        <v/>
      </c>
      <c r="W21" s="5">
        <f>(W10+W12)*'Hypotheses'!$C$6</f>
        <v/>
      </c>
      <c r="X21" s="5">
        <f>(X10+X12)*'Hypotheses'!$C$6</f>
        <v/>
      </c>
      <c r="Y21" s="5">
        <f>(Y10+Y12)*'Hypotheses'!$C$6</f>
        <v/>
      </c>
      <c r="Z21" s="5">
        <f>(Z10+Z12)*'Hypotheses'!$C$6</f>
        <v/>
      </c>
      <c r="AA21" s="5">
        <f>(AA10+AA12)*'Hypotheses'!$C$6</f>
        <v/>
      </c>
      <c r="AB21" s="5">
        <f>(AB10+AB12)*'Hypotheses'!$C$6</f>
        <v/>
      </c>
      <c r="AC21" s="5">
        <f>(AC10+AC12)*'Hypotheses'!$C$6</f>
        <v/>
      </c>
      <c r="AD21" s="5">
        <f>(AD10+AD12)*'Hypotheses'!$C$6</f>
        <v/>
      </c>
      <c r="AE21" s="5">
        <f>(AE10+AE12)*'Hypotheses'!$C$6</f>
        <v/>
      </c>
      <c r="AF21" s="5">
        <f>(AF10+AF12)*'Hypotheses'!$C$6</f>
        <v/>
      </c>
      <c r="AG21" s="5">
        <f>(AG10+AG12)*'Hypotheses'!$C$6</f>
        <v/>
      </c>
      <c r="AH21" s="5">
        <f>(AH10+AH12)*'Hypotheses'!$C$6</f>
        <v/>
      </c>
      <c r="AI21" s="5">
        <f>(AI10+AI12)*'Hypotheses'!$C$6</f>
        <v/>
      </c>
      <c r="AJ21" s="5">
        <f>(AJ10+AJ12)*'Hypotheses'!$C$6</f>
        <v/>
      </c>
      <c r="AK21" s="5">
        <f>(AK10+AK12)*'Hypotheses'!$C$6</f>
        <v/>
      </c>
      <c r="AL21" s="5">
        <f>(AL10+AL12)*'Hypotheses'!$C$6</f>
        <v/>
      </c>
    </row>
    <row r="22" ht="20" customHeight="1">
      <c r="A22" s="3" t="inlineStr">
        <is>
          <t>Memo - TVA nette du mois</t>
        </is>
      </c>
      <c r="B22" s="3" t="n"/>
      <c r="C22" s="5">
        <f>C20-C21</f>
        <v/>
      </c>
      <c r="D22" s="5">
        <f>D20-D21</f>
        <v/>
      </c>
      <c r="E22" s="5">
        <f>E20-E21</f>
        <v/>
      </c>
      <c r="F22" s="5">
        <f>F20-F21</f>
        <v/>
      </c>
      <c r="G22" s="5">
        <f>G20-G21</f>
        <v/>
      </c>
      <c r="H22" s="5">
        <f>H20-H21</f>
        <v/>
      </c>
      <c r="I22" s="5">
        <f>I20-I21</f>
        <v/>
      </c>
      <c r="J22" s="5">
        <f>J20-J21</f>
        <v/>
      </c>
      <c r="K22" s="5">
        <f>K20-K21</f>
        <v/>
      </c>
      <c r="L22" s="5">
        <f>L20-L21</f>
        <v/>
      </c>
      <c r="M22" s="5">
        <f>M20-M21</f>
        <v/>
      </c>
      <c r="N22" s="5">
        <f>N20-N21</f>
        <v/>
      </c>
      <c r="O22" s="5">
        <f>O20-O21</f>
        <v/>
      </c>
      <c r="P22" s="5">
        <f>P20-P21</f>
        <v/>
      </c>
      <c r="Q22" s="5">
        <f>Q20-Q21</f>
        <v/>
      </c>
      <c r="R22" s="5">
        <f>R20-R21</f>
        <v/>
      </c>
      <c r="S22" s="5">
        <f>S20-S21</f>
        <v/>
      </c>
      <c r="T22" s="5">
        <f>T20-T21</f>
        <v/>
      </c>
      <c r="U22" s="5">
        <f>U20-U21</f>
        <v/>
      </c>
      <c r="V22" s="5">
        <f>V20-V21</f>
        <v/>
      </c>
      <c r="W22" s="5">
        <f>W20-W21</f>
        <v/>
      </c>
      <c r="X22" s="5">
        <f>X20-X21</f>
        <v/>
      </c>
      <c r="Y22" s="5">
        <f>Y20-Y21</f>
        <v/>
      </c>
      <c r="Z22" s="5">
        <f>Z20-Z21</f>
        <v/>
      </c>
      <c r="AA22" s="5">
        <f>AA20-AA21</f>
        <v/>
      </c>
      <c r="AB22" s="5">
        <f>AB20-AB21</f>
        <v/>
      </c>
      <c r="AC22" s="5">
        <f>AC20-AC21</f>
        <v/>
      </c>
      <c r="AD22" s="5">
        <f>AD20-AD21</f>
        <v/>
      </c>
      <c r="AE22" s="5">
        <f>AE20-AE21</f>
        <v/>
      </c>
      <c r="AF22" s="5">
        <f>AF20-AF21</f>
        <v/>
      </c>
      <c r="AG22" s="5">
        <f>AG20-AG21</f>
        <v/>
      </c>
      <c r="AH22" s="5">
        <f>AH20-AH21</f>
        <v/>
      </c>
      <c r="AI22" s="5">
        <f>AI20-AI21</f>
        <v/>
      </c>
      <c r="AJ22" s="5">
        <f>AJ20-AJ21</f>
        <v/>
      </c>
      <c r="AK22" s="5">
        <f>AK20-AK21</f>
        <v/>
      </c>
      <c r="AL22" s="5">
        <f>AL20-AL21</f>
        <v/>
      </c>
    </row>
    <row r="23" ht="20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</row>
    <row r="24" ht="20" customHeight="1">
      <c r="A24" s="7" t="inlineStr">
        <is>
          <t>Minimum cash over period</t>
        </is>
      </c>
      <c r="B24" s="7" t="n"/>
      <c r="C24" s="7">
        <f>MIN(C18:AL18)</f>
        <v/>
      </c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</cols>
  <sheetData>
    <row r="1" ht="20" customHeight="1">
      <c r="A1" s="1" t="inlineStr">
        <is>
          <t>Market data used by model</t>
        </is>
      </c>
    </row>
    <row r="2" ht="20" customHeight="1">
      <c r="A2" s="2" t="inlineStr">
        <is>
          <t>External series are normalized to each model unit price to preserve realistic movement without unit mismatch.</t>
        </is>
      </c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20" customHeight="1">
      <c r="A4" s="6" t="inlineStr">
        <is>
          <t>Cost line</t>
        </is>
      </c>
      <c r="B4" s="6" t="inlineStr">
        <is>
          <t>Underlying</t>
        </is>
      </c>
      <c r="C4" s="6" t="inlineStr">
        <is>
          <t>Market code</t>
        </is>
      </c>
      <c r="D4" s="6" t="inlineStr">
        <is>
          <t>Source</t>
        </is>
      </c>
      <c r="E4" s="6" t="inlineStr">
        <is>
          <t>Model unit</t>
        </is>
      </c>
      <c r="F4" s="6" t="inlineStr">
        <is>
          <t>Model unit price</t>
        </is>
      </c>
      <c r="G4" s="6" t="inlineStr">
        <is>
          <t>Month</t>
        </is>
      </c>
      <c r="H4" s="6" t="inlineStr">
        <is>
          <t>Value</t>
        </is>
      </c>
    </row>
    <row r="5" ht="20" customHeight="1">
      <c r="A5" s="3" t="inlineStr">
        <is>
          <t>Insurance, accounting, software</t>
        </is>
      </c>
      <c r="B5" s="3" t="n"/>
      <c r="C5" s="3" t="inlineStr">
        <is>
          <t>ADMIN_SERVICES</t>
        </is>
      </c>
      <c r="D5" s="3" t="inlineStr">
        <is>
          <t xml:space="preserve">INSEE BDM 010766756: Indices des prix de production des services français aux entreprises françaises (BtoB) − CPF 82.11 − Services administratifs combinés </t>
        </is>
      </c>
      <c r="E5" s="3" t="inlineStr">
        <is>
          <t>monthly package</t>
        </is>
      </c>
      <c r="F5" s="3" t="n">
        <v>2400</v>
      </c>
      <c r="G5" s="3" t="inlineStr">
        <is>
          <t>2021-01</t>
        </is>
      </c>
      <c r="H5" s="3" t="n">
        <v>2400</v>
      </c>
    </row>
    <row r="6" ht="20" customHeight="1">
      <c r="A6" s="3" t="inlineStr">
        <is>
          <t>Insurance, accounting, software</t>
        </is>
      </c>
      <c r="B6" s="3" t="n"/>
      <c r="C6" s="3" t="inlineStr">
        <is>
          <t>ADMIN_SERVICES</t>
        </is>
      </c>
      <c r="D6" s="3" t="inlineStr">
        <is>
          <t xml:space="preserve">INSEE BDM 010766756: Indices des prix de production des services français aux entreprises françaises (BtoB) − CPF 82.11 − Services administratifs combinés </t>
        </is>
      </c>
      <c r="E6" s="3" t="inlineStr">
        <is>
          <t>monthly package</t>
        </is>
      </c>
      <c r="F6" s="3" t="n">
        <v>2400</v>
      </c>
      <c r="G6" s="3" t="inlineStr">
        <is>
          <t>2021-02</t>
        </is>
      </c>
      <c r="H6" s="3" t="n">
        <v>2400</v>
      </c>
    </row>
    <row r="7" ht="20" customHeight="1">
      <c r="A7" s="3" t="inlineStr">
        <is>
          <t>Insurance, accounting, software</t>
        </is>
      </c>
      <c r="B7" s="3" t="n"/>
      <c r="C7" s="3" t="inlineStr">
        <is>
          <t>ADMIN_SERVICES</t>
        </is>
      </c>
      <c r="D7" s="3" t="inlineStr">
        <is>
          <t xml:space="preserve">INSEE BDM 010766756: Indices des prix de production des services français aux entreprises françaises (BtoB) − CPF 82.11 − Services administratifs combinés </t>
        </is>
      </c>
      <c r="E7" s="3" t="inlineStr">
        <is>
          <t>monthly package</t>
        </is>
      </c>
      <c r="F7" s="3" t="n">
        <v>2400</v>
      </c>
      <c r="G7" s="3" t="inlineStr">
        <is>
          <t>2021-03</t>
        </is>
      </c>
      <c r="H7" s="3" t="n">
        <v>2400</v>
      </c>
    </row>
    <row r="8" ht="20" customHeight="1">
      <c r="A8" s="3" t="inlineStr">
        <is>
          <t>Insurance, accounting, software</t>
        </is>
      </c>
      <c r="B8" s="3" t="n"/>
      <c r="C8" s="3" t="inlineStr">
        <is>
          <t>ADMIN_SERVICES</t>
        </is>
      </c>
      <c r="D8" s="3" t="inlineStr">
        <is>
          <t xml:space="preserve">INSEE BDM 010766756: Indices des prix de production des services français aux entreprises françaises (BtoB) − CPF 82.11 − Services administratifs combinés </t>
        </is>
      </c>
      <c r="E8" s="3" t="inlineStr">
        <is>
          <t>monthly package</t>
        </is>
      </c>
      <c r="F8" s="3" t="n">
        <v>2400</v>
      </c>
      <c r="G8" s="3" t="inlineStr">
        <is>
          <t>2021-04</t>
        </is>
      </c>
      <c r="H8" s="3" t="n">
        <v>2400</v>
      </c>
    </row>
    <row r="9" ht="20" customHeight="1">
      <c r="A9" s="3" t="inlineStr">
        <is>
          <t>Insurance, accounting, software</t>
        </is>
      </c>
      <c r="B9" s="3" t="n"/>
      <c r="C9" s="3" t="inlineStr">
        <is>
          <t>ADMIN_SERVICES</t>
        </is>
      </c>
      <c r="D9" s="3" t="inlineStr">
        <is>
          <t xml:space="preserve">INSEE BDM 010766756: Indices des prix de production des services français aux entreprises françaises (BtoB) − CPF 82.11 − Services administratifs combinés </t>
        </is>
      </c>
      <c r="E9" s="3" t="inlineStr">
        <is>
          <t>monthly package</t>
        </is>
      </c>
      <c r="F9" s="3" t="n">
        <v>2400</v>
      </c>
      <c r="G9" s="3" t="inlineStr">
        <is>
          <t>2021-05</t>
        </is>
      </c>
      <c r="H9" s="3" t="n">
        <v>2400</v>
      </c>
    </row>
    <row r="10" ht="20" customHeight="1">
      <c r="A10" s="3" t="inlineStr">
        <is>
          <t>Insurance, accounting, software</t>
        </is>
      </c>
      <c r="B10" s="3" t="n"/>
      <c r="C10" s="3" t="inlineStr">
        <is>
          <t>ADMIN_SERVICES</t>
        </is>
      </c>
      <c r="D10" s="3" t="inlineStr">
        <is>
          <t xml:space="preserve">INSEE BDM 010766756: Indices des prix de production des services français aux entreprises françaises (BtoB) − CPF 82.11 − Services administratifs combinés </t>
        </is>
      </c>
      <c r="E10" s="3" t="inlineStr">
        <is>
          <t>monthly package</t>
        </is>
      </c>
      <c r="F10" s="3" t="n">
        <v>2400</v>
      </c>
      <c r="G10" s="3" t="inlineStr">
        <is>
          <t>2021-06</t>
        </is>
      </c>
      <c r="H10" s="3" t="n">
        <v>2400</v>
      </c>
    </row>
    <row r="11" ht="20" customHeight="1">
      <c r="A11" s="3" t="inlineStr">
        <is>
          <t>Insurance, accounting, software</t>
        </is>
      </c>
      <c r="B11" s="3" t="n"/>
      <c r="C11" s="3" t="inlineStr">
        <is>
          <t>ADMIN_SERVICES</t>
        </is>
      </c>
      <c r="D11" s="3" t="inlineStr">
        <is>
          <t xml:space="preserve">INSEE BDM 010766756: Indices des prix de production des services français aux entreprises françaises (BtoB) − CPF 82.11 − Services administratifs combinés </t>
        </is>
      </c>
      <c r="E11" s="3" t="inlineStr">
        <is>
          <t>monthly package</t>
        </is>
      </c>
      <c r="F11" s="3" t="n">
        <v>2400</v>
      </c>
      <c r="G11" s="3" t="inlineStr">
        <is>
          <t>2021-07</t>
        </is>
      </c>
      <c r="H11" s="3" t="n">
        <v>2400</v>
      </c>
    </row>
    <row r="12" ht="20" customHeight="1">
      <c r="A12" s="3" t="inlineStr">
        <is>
          <t>Insurance, accounting, software</t>
        </is>
      </c>
      <c r="B12" s="3" t="n"/>
      <c r="C12" s="3" t="inlineStr">
        <is>
          <t>ADMIN_SERVICES</t>
        </is>
      </c>
      <c r="D12" s="3" t="inlineStr">
        <is>
          <t xml:space="preserve">INSEE BDM 010766756: Indices des prix de production des services français aux entreprises françaises (BtoB) − CPF 82.11 − Services administratifs combinés </t>
        </is>
      </c>
      <c r="E12" s="3" t="inlineStr">
        <is>
          <t>monthly package</t>
        </is>
      </c>
      <c r="F12" s="3" t="n">
        <v>2400</v>
      </c>
      <c r="G12" s="3" t="inlineStr">
        <is>
          <t>2021-08</t>
        </is>
      </c>
      <c r="H12" s="3" t="n">
        <v>2400</v>
      </c>
    </row>
    <row r="13" ht="20" customHeight="1">
      <c r="A13" s="3" t="inlineStr">
        <is>
          <t>Insurance, accounting, software</t>
        </is>
      </c>
      <c r="B13" s="3" t="n"/>
      <c r="C13" s="3" t="inlineStr">
        <is>
          <t>ADMIN_SERVICES</t>
        </is>
      </c>
      <c r="D13" s="3" t="inlineStr">
        <is>
          <t xml:space="preserve">INSEE BDM 010766756: Indices des prix de production des services français aux entreprises françaises (BtoB) − CPF 82.11 − Services administratifs combinés </t>
        </is>
      </c>
      <c r="E13" s="3" t="inlineStr">
        <is>
          <t>monthly package</t>
        </is>
      </c>
      <c r="F13" s="3" t="n">
        <v>2400</v>
      </c>
      <c r="G13" s="3" t="inlineStr">
        <is>
          <t>2021-09</t>
        </is>
      </c>
      <c r="H13" s="3" t="n">
        <v>2400</v>
      </c>
    </row>
    <row r="14" ht="20" customHeight="1">
      <c r="A14" s="3" t="inlineStr">
        <is>
          <t>Insurance, accounting, software</t>
        </is>
      </c>
      <c r="B14" s="3" t="n"/>
      <c r="C14" s="3" t="inlineStr">
        <is>
          <t>ADMIN_SERVICES</t>
        </is>
      </c>
      <c r="D14" s="3" t="inlineStr">
        <is>
          <t xml:space="preserve">INSEE BDM 010766756: Indices des prix de production des services français aux entreprises françaises (BtoB) − CPF 82.11 − Services administratifs combinés </t>
        </is>
      </c>
      <c r="E14" s="3" t="inlineStr">
        <is>
          <t>monthly package</t>
        </is>
      </c>
      <c r="F14" s="3" t="n">
        <v>2400</v>
      </c>
      <c r="G14" s="3" t="inlineStr">
        <is>
          <t>2021-10</t>
        </is>
      </c>
      <c r="H14" s="3" t="n">
        <v>2400</v>
      </c>
    </row>
    <row r="15" ht="20" customHeight="1">
      <c r="A15" s="3" t="inlineStr">
        <is>
          <t>Insurance, accounting, software</t>
        </is>
      </c>
      <c r="B15" s="3" t="n"/>
      <c r="C15" s="3" t="inlineStr">
        <is>
          <t>ADMIN_SERVICES</t>
        </is>
      </c>
      <c r="D15" s="3" t="inlineStr">
        <is>
          <t xml:space="preserve">INSEE BDM 010766756: Indices des prix de production des services français aux entreprises françaises (BtoB) − CPF 82.11 − Services administratifs combinés </t>
        </is>
      </c>
      <c r="E15" s="3" t="inlineStr">
        <is>
          <t>monthly package</t>
        </is>
      </c>
      <c r="F15" s="3" t="n">
        <v>2400</v>
      </c>
      <c r="G15" s="3" t="inlineStr">
        <is>
          <t>2021-11</t>
        </is>
      </c>
      <c r="H15" s="3" t="n">
        <v>2400</v>
      </c>
    </row>
    <row r="16" ht="20" customHeight="1">
      <c r="A16" s="3" t="inlineStr">
        <is>
          <t>Insurance, accounting, software</t>
        </is>
      </c>
      <c r="B16" s="3" t="n"/>
      <c r="C16" s="3" t="inlineStr">
        <is>
          <t>ADMIN_SERVICES</t>
        </is>
      </c>
      <c r="D16" s="3" t="inlineStr">
        <is>
          <t xml:space="preserve">INSEE BDM 010766756: Indices des prix de production des services français aux entreprises françaises (BtoB) − CPF 82.11 − Services administratifs combinés </t>
        </is>
      </c>
      <c r="E16" s="3" t="inlineStr">
        <is>
          <t>monthly package</t>
        </is>
      </c>
      <c r="F16" s="3" t="n">
        <v>2400</v>
      </c>
      <c r="G16" s="3" t="inlineStr">
        <is>
          <t>2021-12</t>
        </is>
      </c>
      <c r="H16" s="3" t="n">
        <v>2400</v>
      </c>
    </row>
    <row r="17" ht="20" customHeight="1">
      <c r="A17" s="3" t="inlineStr">
        <is>
          <t>Insurance, accounting, software</t>
        </is>
      </c>
      <c r="B17" s="3" t="n"/>
      <c r="C17" s="3" t="inlineStr">
        <is>
          <t>ADMIN_SERVICES</t>
        </is>
      </c>
      <c r="D17" s="3" t="inlineStr">
        <is>
          <t xml:space="preserve">INSEE BDM 010766756: Indices des prix de production des services français aux entreprises françaises (BtoB) − CPF 82.11 − Services administratifs combinés </t>
        </is>
      </c>
      <c r="E17" s="3" t="inlineStr">
        <is>
          <t>monthly package</t>
        </is>
      </c>
      <c r="F17" s="3" t="n">
        <v>2400</v>
      </c>
      <c r="G17" s="3" t="inlineStr">
        <is>
          <t>2022-01</t>
        </is>
      </c>
      <c r="H17" s="3" t="n">
        <v>2400</v>
      </c>
    </row>
    <row r="18" ht="20" customHeight="1">
      <c r="A18" s="3" t="inlineStr">
        <is>
          <t>Insurance, accounting, software</t>
        </is>
      </c>
      <c r="B18" s="3" t="n"/>
      <c r="C18" s="3" t="inlineStr">
        <is>
          <t>ADMIN_SERVICES</t>
        </is>
      </c>
      <c r="D18" s="3" t="inlineStr">
        <is>
          <t xml:space="preserve">INSEE BDM 010766756: Indices des prix de production des services français aux entreprises françaises (BtoB) − CPF 82.11 − Services administratifs combinés </t>
        </is>
      </c>
      <c r="E18" s="3" t="inlineStr">
        <is>
          <t>monthly package</t>
        </is>
      </c>
      <c r="F18" s="3" t="n">
        <v>2400</v>
      </c>
      <c r="G18" s="3" t="inlineStr">
        <is>
          <t>2022-02</t>
        </is>
      </c>
      <c r="H18" s="3" t="n">
        <v>2400</v>
      </c>
    </row>
    <row r="19" ht="20" customHeight="1">
      <c r="A19" s="3" t="inlineStr">
        <is>
          <t>Insurance, accounting, software</t>
        </is>
      </c>
      <c r="B19" s="3" t="n"/>
      <c r="C19" s="3" t="inlineStr">
        <is>
          <t>ADMIN_SERVICES</t>
        </is>
      </c>
      <c r="D19" s="3" t="inlineStr">
        <is>
          <t xml:space="preserve">INSEE BDM 010766756: Indices des prix de production des services français aux entreprises françaises (BtoB) − CPF 82.11 − Services administratifs combinés </t>
        </is>
      </c>
      <c r="E19" s="3" t="inlineStr">
        <is>
          <t>monthly package</t>
        </is>
      </c>
      <c r="F19" s="3" t="n">
        <v>2400</v>
      </c>
      <c r="G19" s="3" t="inlineStr">
        <is>
          <t>2022-03</t>
        </is>
      </c>
      <c r="H19" s="3" t="n">
        <v>2400</v>
      </c>
    </row>
    <row r="20" ht="20" customHeight="1">
      <c r="A20" s="3" t="inlineStr">
        <is>
          <t>Insurance, accounting, software</t>
        </is>
      </c>
      <c r="B20" s="3" t="n"/>
      <c r="C20" s="3" t="inlineStr">
        <is>
          <t>ADMIN_SERVICES</t>
        </is>
      </c>
      <c r="D20" s="3" t="inlineStr">
        <is>
          <t xml:space="preserve">INSEE BDM 010766756: Indices des prix de production des services français aux entreprises françaises (BtoB) − CPF 82.11 − Services administratifs combinés </t>
        </is>
      </c>
      <c r="E20" s="3" t="inlineStr">
        <is>
          <t>monthly package</t>
        </is>
      </c>
      <c r="F20" s="3" t="n">
        <v>2400</v>
      </c>
      <c r="G20" s="3" t="inlineStr">
        <is>
          <t>2022-04</t>
        </is>
      </c>
      <c r="H20" s="3" t="n">
        <v>2400</v>
      </c>
    </row>
    <row r="21" ht="20" customHeight="1">
      <c r="A21" s="3" t="inlineStr">
        <is>
          <t>Insurance, accounting, software</t>
        </is>
      </c>
      <c r="B21" s="3" t="n"/>
      <c r="C21" s="3" t="inlineStr">
        <is>
          <t>ADMIN_SERVICES</t>
        </is>
      </c>
      <c r="D21" s="3" t="inlineStr">
        <is>
          <t xml:space="preserve">INSEE BDM 010766756: Indices des prix de production des services français aux entreprises françaises (BtoB) − CPF 82.11 − Services administratifs combinés </t>
        </is>
      </c>
      <c r="E21" s="3" t="inlineStr">
        <is>
          <t>monthly package</t>
        </is>
      </c>
      <c r="F21" s="3" t="n">
        <v>2400</v>
      </c>
      <c r="G21" s="3" t="inlineStr">
        <is>
          <t>2022-05</t>
        </is>
      </c>
      <c r="H21" s="3" t="n">
        <v>2400</v>
      </c>
    </row>
    <row r="22" ht="20" customHeight="1">
      <c r="A22" s="3" t="inlineStr">
        <is>
          <t>Insurance, accounting, software</t>
        </is>
      </c>
      <c r="B22" s="3" t="n"/>
      <c r="C22" s="3" t="inlineStr">
        <is>
          <t>ADMIN_SERVICES</t>
        </is>
      </c>
      <c r="D22" s="3" t="inlineStr">
        <is>
          <t xml:space="preserve">INSEE BDM 010766756: Indices des prix de production des services français aux entreprises françaises (BtoB) − CPF 82.11 − Services administratifs combinés </t>
        </is>
      </c>
      <c r="E22" s="3" t="inlineStr">
        <is>
          <t>monthly package</t>
        </is>
      </c>
      <c r="F22" s="3" t="n">
        <v>2400</v>
      </c>
      <c r="G22" s="3" t="inlineStr">
        <is>
          <t>2022-06</t>
        </is>
      </c>
      <c r="H22" s="3" t="n">
        <v>2400</v>
      </c>
    </row>
    <row r="23" ht="20" customHeight="1">
      <c r="A23" s="3" t="inlineStr">
        <is>
          <t>Insurance, accounting, software</t>
        </is>
      </c>
      <c r="B23" s="3" t="n"/>
      <c r="C23" s="3" t="inlineStr">
        <is>
          <t>ADMIN_SERVICES</t>
        </is>
      </c>
      <c r="D23" s="3" t="inlineStr">
        <is>
          <t xml:space="preserve">INSEE BDM 010766756: Indices des prix de production des services français aux entreprises françaises (BtoB) − CPF 82.11 − Services administratifs combinés </t>
        </is>
      </c>
      <c r="E23" s="3" t="inlineStr">
        <is>
          <t>monthly package</t>
        </is>
      </c>
      <c r="F23" s="3" t="n">
        <v>2400</v>
      </c>
      <c r="G23" s="3" t="inlineStr">
        <is>
          <t>2022-07</t>
        </is>
      </c>
      <c r="H23" s="3" t="n">
        <v>2400</v>
      </c>
    </row>
    <row r="24" ht="20" customHeight="1">
      <c r="A24" s="3" t="inlineStr">
        <is>
          <t>Insurance, accounting, software</t>
        </is>
      </c>
      <c r="B24" s="3" t="n"/>
      <c r="C24" s="3" t="inlineStr">
        <is>
          <t>ADMIN_SERVICES</t>
        </is>
      </c>
      <c r="D24" s="3" t="inlineStr">
        <is>
          <t xml:space="preserve">INSEE BDM 010766756: Indices des prix de production des services français aux entreprises françaises (BtoB) − CPF 82.11 − Services administratifs combinés </t>
        </is>
      </c>
      <c r="E24" s="3" t="inlineStr">
        <is>
          <t>monthly package</t>
        </is>
      </c>
      <c r="F24" s="3" t="n">
        <v>2400</v>
      </c>
      <c r="G24" s="3" t="inlineStr">
        <is>
          <t>2022-08</t>
        </is>
      </c>
      <c r="H24" s="3" t="n">
        <v>2400</v>
      </c>
    </row>
    <row r="25" ht="20" customHeight="1">
      <c r="A25" s="3" t="inlineStr">
        <is>
          <t>Insurance, accounting, software</t>
        </is>
      </c>
      <c r="B25" s="3" t="n"/>
      <c r="C25" s="3" t="inlineStr">
        <is>
          <t>ADMIN_SERVICES</t>
        </is>
      </c>
      <c r="D25" s="3" t="inlineStr">
        <is>
          <t xml:space="preserve">INSEE BDM 010766756: Indices des prix de production des services français aux entreprises françaises (BtoB) − CPF 82.11 − Services administratifs combinés </t>
        </is>
      </c>
      <c r="E25" s="3" t="inlineStr">
        <is>
          <t>monthly package</t>
        </is>
      </c>
      <c r="F25" s="3" t="n">
        <v>2400</v>
      </c>
      <c r="G25" s="3" t="inlineStr">
        <is>
          <t>2022-09</t>
        </is>
      </c>
      <c r="H25" s="3" t="n">
        <v>2400</v>
      </c>
    </row>
    <row r="26" ht="20" customHeight="1">
      <c r="A26" s="3" t="inlineStr">
        <is>
          <t>Insurance, accounting, software</t>
        </is>
      </c>
      <c r="B26" s="3" t="n"/>
      <c r="C26" s="3" t="inlineStr">
        <is>
          <t>ADMIN_SERVICES</t>
        </is>
      </c>
      <c r="D26" s="3" t="inlineStr">
        <is>
          <t xml:space="preserve">INSEE BDM 010766756: Indices des prix de production des services français aux entreprises françaises (BtoB) − CPF 82.11 − Services administratifs combinés </t>
        </is>
      </c>
      <c r="E26" s="3" t="inlineStr">
        <is>
          <t>monthly package</t>
        </is>
      </c>
      <c r="F26" s="3" t="n">
        <v>2400</v>
      </c>
      <c r="G26" s="3" t="inlineStr">
        <is>
          <t>2022-10</t>
        </is>
      </c>
      <c r="H26" s="3" t="n">
        <v>2400</v>
      </c>
    </row>
    <row r="27" ht="20" customHeight="1">
      <c r="A27" s="3" t="inlineStr">
        <is>
          <t>Insurance, accounting, software</t>
        </is>
      </c>
      <c r="B27" s="3" t="n"/>
      <c r="C27" s="3" t="inlineStr">
        <is>
          <t>ADMIN_SERVICES</t>
        </is>
      </c>
      <c r="D27" s="3" t="inlineStr">
        <is>
          <t xml:space="preserve">INSEE BDM 010766756: Indices des prix de production des services français aux entreprises françaises (BtoB) − CPF 82.11 − Services administratifs combinés </t>
        </is>
      </c>
      <c r="E27" s="3" t="inlineStr">
        <is>
          <t>monthly package</t>
        </is>
      </c>
      <c r="F27" s="3" t="n">
        <v>2400</v>
      </c>
      <c r="G27" s="3" t="inlineStr">
        <is>
          <t>2022-11</t>
        </is>
      </c>
      <c r="H27" s="3" t="n">
        <v>2400</v>
      </c>
    </row>
    <row r="28" ht="20" customHeight="1">
      <c r="A28" s="3" t="inlineStr">
        <is>
          <t>Insurance, accounting, software</t>
        </is>
      </c>
      <c r="B28" s="3" t="n"/>
      <c r="C28" s="3" t="inlineStr">
        <is>
          <t>ADMIN_SERVICES</t>
        </is>
      </c>
      <c r="D28" s="3" t="inlineStr">
        <is>
          <t xml:space="preserve">INSEE BDM 010766756: Indices des prix de production des services français aux entreprises françaises (BtoB) − CPF 82.11 − Services administratifs combinés </t>
        </is>
      </c>
      <c r="E28" s="3" t="inlineStr">
        <is>
          <t>monthly package</t>
        </is>
      </c>
      <c r="F28" s="3" t="n">
        <v>2400</v>
      </c>
      <c r="G28" s="3" t="inlineStr">
        <is>
          <t>2022-12</t>
        </is>
      </c>
      <c r="H28" s="3" t="n">
        <v>2400</v>
      </c>
    </row>
    <row r="29" ht="20" customHeight="1">
      <c r="A29" s="3" t="inlineStr">
        <is>
          <t>Insurance, accounting, software</t>
        </is>
      </c>
      <c r="B29" s="3" t="n"/>
      <c r="C29" s="3" t="inlineStr">
        <is>
          <t>ADMIN_SERVICES</t>
        </is>
      </c>
      <c r="D29" s="3" t="inlineStr">
        <is>
          <t xml:space="preserve">INSEE BDM 010766756: Indices des prix de production des services français aux entreprises françaises (BtoB) − CPF 82.11 − Services administratifs combinés </t>
        </is>
      </c>
      <c r="E29" s="3" t="inlineStr">
        <is>
          <t>monthly package</t>
        </is>
      </c>
      <c r="F29" s="3" t="n">
        <v>2400</v>
      </c>
      <c r="G29" s="3" t="inlineStr">
        <is>
          <t>2023-01</t>
        </is>
      </c>
      <c r="H29" s="3" t="n">
        <v>2400</v>
      </c>
    </row>
    <row r="30" ht="20" customHeight="1">
      <c r="A30" s="3" t="inlineStr">
        <is>
          <t>Insurance, accounting, software</t>
        </is>
      </c>
      <c r="B30" s="3" t="n"/>
      <c r="C30" s="3" t="inlineStr">
        <is>
          <t>ADMIN_SERVICES</t>
        </is>
      </c>
      <c r="D30" s="3" t="inlineStr">
        <is>
          <t xml:space="preserve">INSEE BDM 010766756: Indices des prix de production des services français aux entreprises françaises (BtoB) − CPF 82.11 − Services administratifs combinés </t>
        </is>
      </c>
      <c r="E30" s="3" t="inlineStr">
        <is>
          <t>monthly package</t>
        </is>
      </c>
      <c r="F30" s="3" t="n">
        <v>2400</v>
      </c>
      <c r="G30" s="3" t="inlineStr">
        <is>
          <t>2023-02</t>
        </is>
      </c>
      <c r="H30" s="3" t="n">
        <v>2400</v>
      </c>
    </row>
    <row r="31" ht="20" customHeight="1">
      <c r="A31" s="3" t="inlineStr">
        <is>
          <t>Insurance, accounting, software</t>
        </is>
      </c>
      <c r="B31" s="3" t="n"/>
      <c r="C31" s="3" t="inlineStr">
        <is>
          <t>ADMIN_SERVICES</t>
        </is>
      </c>
      <c r="D31" s="3" t="inlineStr">
        <is>
          <t xml:space="preserve">INSEE BDM 010766756: Indices des prix de production des services français aux entreprises françaises (BtoB) − CPF 82.11 − Services administratifs combinés </t>
        </is>
      </c>
      <c r="E31" s="3" t="inlineStr">
        <is>
          <t>monthly package</t>
        </is>
      </c>
      <c r="F31" s="3" t="n">
        <v>2400</v>
      </c>
      <c r="G31" s="3" t="inlineStr">
        <is>
          <t>2023-03</t>
        </is>
      </c>
      <c r="H31" s="3" t="n">
        <v>2400</v>
      </c>
    </row>
    <row r="32" ht="20" customHeight="1">
      <c r="A32" s="3" t="inlineStr">
        <is>
          <t>Insurance, accounting, software</t>
        </is>
      </c>
      <c r="B32" s="3" t="n"/>
      <c r="C32" s="3" t="inlineStr">
        <is>
          <t>ADMIN_SERVICES</t>
        </is>
      </c>
      <c r="D32" s="3" t="inlineStr">
        <is>
          <t xml:space="preserve">INSEE BDM 010766756: Indices des prix de production des services français aux entreprises françaises (BtoB) − CPF 82.11 − Services administratifs combinés </t>
        </is>
      </c>
      <c r="E32" s="3" t="inlineStr">
        <is>
          <t>monthly package</t>
        </is>
      </c>
      <c r="F32" s="3" t="n">
        <v>2400</v>
      </c>
      <c r="G32" s="3" t="inlineStr">
        <is>
          <t>2023-04</t>
        </is>
      </c>
      <c r="H32" s="3" t="n">
        <v>2400</v>
      </c>
    </row>
    <row r="33" ht="20" customHeight="1">
      <c r="A33" s="3" t="inlineStr">
        <is>
          <t>Insurance, accounting, software</t>
        </is>
      </c>
      <c r="B33" s="3" t="n"/>
      <c r="C33" s="3" t="inlineStr">
        <is>
          <t>ADMIN_SERVICES</t>
        </is>
      </c>
      <c r="D33" s="3" t="inlineStr">
        <is>
          <t xml:space="preserve">INSEE BDM 010766756: Indices des prix de production des services français aux entreprises françaises (BtoB) − CPF 82.11 − Services administratifs combinés </t>
        </is>
      </c>
      <c r="E33" s="3" t="inlineStr">
        <is>
          <t>monthly package</t>
        </is>
      </c>
      <c r="F33" s="3" t="n">
        <v>2400</v>
      </c>
      <c r="G33" s="3" t="inlineStr">
        <is>
          <t>2023-05</t>
        </is>
      </c>
      <c r="H33" s="3" t="n">
        <v>2400</v>
      </c>
    </row>
    <row r="34" ht="20" customHeight="1">
      <c r="A34" s="3" t="inlineStr">
        <is>
          <t>Insurance, accounting, software</t>
        </is>
      </c>
      <c r="B34" s="3" t="n"/>
      <c r="C34" s="3" t="inlineStr">
        <is>
          <t>ADMIN_SERVICES</t>
        </is>
      </c>
      <c r="D34" s="3" t="inlineStr">
        <is>
          <t xml:space="preserve">INSEE BDM 010766756: Indices des prix de production des services français aux entreprises françaises (BtoB) − CPF 82.11 − Services administratifs combinés </t>
        </is>
      </c>
      <c r="E34" s="3" t="inlineStr">
        <is>
          <t>monthly package</t>
        </is>
      </c>
      <c r="F34" s="3" t="n">
        <v>2400</v>
      </c>
      <c r="G34" s="3" t="inlineStr">
        <is>
          <t>2023-06</t>
        </is>
      </c>
      <c r="H34" s="3" t="n">
        <v>2400</v>
      </c>
    </row>
    <row r="35" ht="20" customHeight="1">
      <c r="A35" s="3" t="inlineStr">
        <is>
          <t>Insurance, accounting, software</t>
        </is>
      </c>
      <c r="B35" s="3" t="n"/>
      <c r="C35" s="3" t="inlineStr">
        <is>
          <t>ADMIN_SERVICES</t>
        </is>
      </c>
      <c r="D35" s="3" t="inlineStr">
        <is>
          <t xml:space="preserve">INSEE BDM 010766756: Indices des prix de production des services français aux entreprises françaises (BtoB) − CPF 82.11 − Services administratifs combinés </t>
        </is>
      </c>
      <c r="E35" s="3" t="inlineStr">
        <is>
          <t>monthly package</t>
        </is>
      </c>
      <c r="F35" s="3" t="n">
        <v>2400</v>
      </c>
      <c r="G35" s="3" t="inlineStr">
        <is>
          <t>2023-07</t>
        </is>
      </c>
      <c r="H35" s="3" t="n">
        <v>2400</v>
      </c>
    </row>
    <row r="36" ht="20" customHeight="1">
      <c r="A36" s="3" t="inlineStr">
        <is>
          <t>Insurance, accounting, software</t>
        </is>
      </c>
      <c r="B36" s="3" t="n"/>
      <c r="C36" s="3" t="inlineStr">
        <is>
          <t>ADMIN_SERVICES</t>
        </is>
      </c>
      <c r="D36" s="3" t="inlineStr">
        <is>
          <t xml:space="preserve">INSEE BDM 010766756: Indices des prix de production des services français aux entreprises françaises (BtoB) − CPF 82.11 − Services administratifs combinés </t>
        </is>
      </c>
      <c r="E36" s="3" t="inlineStr">
        <is>
          <t>monthly package</t>
        </is>
      </c>
      <c r="F36" s="3" t="n">
        <v>2400</v>
      </c>
      <c r="G36" s="3" t="inlineStr">
        <is>
          <t>2023-08</t>
        </is>
      </c>
      <c r="H36" s="3" t="n">
        <v>2400</v>
      </c>
    </row>
    <row r="37" ht="20" customHeight="1">
      <c r="A37" s="3" t="inlineStr">
        <is>
          <t>Insurance, accounting, software</t>
        </is>
      </c>
      <c r="B37" s="3" t="n"/>
      <c r="C37" s="3" t="inlineStr">
        <is>
          <t>ADMIN_SERVICES</t>
        </is>
      </c>
      <c r="D37" s="3" t="inlineStr">
        <is>
          <t xml:space="preserve">INSEE BDM 010766756: Indices des prix de production des services français aux entreprises françaises (BtoB) − CPF 82.11 − Services administratifs combinés </t>
        </is>
      </c>
      <c r="E37" s="3" t="inlineStr">
        <is>
          <t>monthly package</t>
        </is>
      </c>
      <c r="F37" s="3" t="n">
        <v>2400</v>
      </c>
      <c r="G37" s="3" t="inlineStr">
        <is>
          <t>2023-09</t>
        </is>
      </c>
      <c r="H37" s="3" t="n">
        <v>2400</v>
      </c>
    </row>
    <row r="38" ht="20" customHeight="1">
      <c r="A38" s="3" t="inlineStr">
        <is>
          <t>Insurance, accounting, software</t>
        </is>
      </c>
      <c r="B38" s="3" t="n"/>
      <c r="C38" s="3" t="inlineStr">
        <is>
          <t>ADMIN_SERVICES</t>
        </is>
      </c>
      <c r="D38" s="3" t="inlineStr">
        <is>
          <t xml:space="preserve">INSEE BDM 010766756: Indices des prix de production des services français aux entreprises françaises (BtoB) − CPF 82.11 − Services administratifs combinés </t>
        </is>
      </c>
      <c r="E38" s="3" t="inlineStr">
        <is>
          <t>monthly package</t>
        </is>
      </c>
      <c r="F38" s="3" t="n">
        <v>2400</v>
      </c>
      <c r="G38" s="3" t="inlineStr">
        <is>
          <t>2023-10</t>
        </is>
      </c>
      <c r="H38" s="3" t="n">
        <v>2400</v>
      </c>
    </row>
    <row r="39" ht="20" customHeight="1">
      <c r="A39" s="3" t="inlineStr">
        <is>
          <t>Insurance, accounting, software</t>
        </is>
      </c>
      <c r="B39" s="3" t="n"/>
      <c r="C39" s="3" t="inlineStr">
        <is>
          <t>ADMIN_SERVICES</t>
        </is>
      </c>
      <c r="D39" s="3" t="inlineStr">
        <is>
          <t xml:space="preserve">INSEE BDM 010766756: Indices des prix de production des services français aux entreprises françaises (BtoB) − CPF 82.11 − Services administratifs combinés </t>
        </is>
      </c>
      <c r="E39" s="3" t="inlineStr">
        <is>
          <t>monthly package</t>
        </is>
      </c>
      <c r="F39" s="3" t="n">
        <v>2400</v>
      </c>
      <c r="G39" s="3" t="inlineStr">
        <is>
          <t>2023-11</t>
        </is>
      </c>
      <c r="H39" s="3" t="n">
        <v>2400</v>
      </c>
    </row>
    <row r="40" ht="20" customHeight="1">
      <c r="A40" s="3" t="inlineStr">
        <is>
          <t>Insurance, accounting, software</t>
        </is>
      </c>
      <c r="B40" s="3" t="n"/>
      <c r="C40" s="3" t="inlineStr">
        <is>
          <t>ADMIN_SERVICES</t>
        </is>
      </c>
      <c r="D40" s="3" t="inlineStr">
        <is>
          <t xml:space="preserve">INSEE BDM 010766756: Indices des prix de production des services français aux entreprises françaises (BtoB) − CPF 82.11 − Services administratifs combinés </t>
        </is>
      </c>
      <c r="E40" s="3" t="inlineStr">
        <is>
          <t>monthly package</t>
        </is>
      </c>
      <c r="F40" s="3" t="n">
        <v>2400</v>
      </c>
      <c r="G40" s="3" t="inlineStr">
        <is>
          <t>2023-12</t>
        </is>
      </c>
      <c r="H40" s="3" t="n">
        <v>2400</v>
      </c>
    </row>
    <row r="41" ht="20" customHeight="1">
      <c r="A41" s="3" t="inlineStr">
        <is>
          <t>Butter, cream and dairy fats</t>
        </is>
      </c>
      <c r="B41" s="3" t="inlineStr">
        <is>
          <t>Fats</t>
        </is>
      </c>
      <c r="C41" s="3" t="inlineStr">
        <is>
          <t>DAIRY_FATS</t>
        </is>
      </c>
      <c r="D41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41" s="3" t="inlineStr">
        <is>
          <t>kg/L</t>
        </is>
      </c>
      <c r="F41" s="3" t="n">
        <v>4.2</v>
      </c>
      <c r="G41" s="3" t="inlineStr">
        <is>
          <t>2021-01</t>
        </is>
      </c>
      <c r="H41" s="3" t="n">
        <v>4.2</v>
      </c>
    </row>
    <row r="42" ht="20" customHeight="1">
      <c r="A42" s="3" t="inlineStr">
        <is>
          <t>Butter, cream and dairy fats</t>
        </is>
      </c>
      <c r="B42" s="3" t="inlineStr">
        <is>
          <t>Fats</t>
        </is>
      </c>
      <c r="C42" s="3" t="inlineStr">
        <is>
          <t>DAIRY_FATS</t>
        </is>
      </c>
      <c r="D42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42" s="3" t="inlineStr">
        <is>
          <t>kg/L</t>
        </is>
      </c>
      <c r="F42" s="3" t="n">
        <v>4.2</v>
      </c>
      <c r="G42" s="3" t="inlineStr">
        <is>
          <t>2021-02</t>
        </is>
      </c>
      <c r="H42" s="3" t="n">
        <v>4.2522</v>
      </c>
    </row>
    <row r="43" ht="20" customHeight="1">
      <c r="A43" s="3" t="inlineStr">
        <is>
          <t>Butter, cream and dairy fats</t>
        </is>
      </c>
      <c r="B43" s="3" t="inlineStr">
        <is>
          <t>Fats</t>
        </is>
      </c>
      <c r="C43" s="3" t="inlineStr">
        <is>
          <t>DAIRY_FATS</t>
        </is>
      </c>
      <c r="D43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43" s="3" t="inlineStr">
        <is>
          <t>kg/L</t>
        </is>
      </c>
      <c r="F43" s="3" t="n">
        <v>4.2</v>
      </c>
      <c r="G43" s="3" t="inlineStr">
        <is>
          <t>2021-03</t>
        </is>
      </c>
      <c r="H43" s="3" t="n">
        <v>4.3174</v>
      </c>
    </row>
    <row r="44" ht="20" customHeight="1">
      <c r="A44" s="3" t="inlineStr">
        <is>
          <t>Butter, cream and dairy fats</t>
        </is>
      </c>
      <c r="B44" s="3" t="inlineStr">
        <is>
          <t>Fats</t>
        </is>
      </c>
      <c r="C44" s="3" t="inlineStr">
        <is>
          <t>DAIRY_FATS</t>
        </is>
      </c>
      <c r="D44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44" s="3" t="inlineStr">
        <is>
          <t>kg/L</t>
        </is>
      </c>
      <c r="F44" s="3" t="n">
        <v>4.2</v>
      </c>
      <c r="G44" s="3" t="inlineStr">
        <is>
          <t>2021-04</t>
        </is>
      </c>
      <c r="H44" s="3" t="n">
        <v>4.3435</v>
      </c>
    </row>
    <row r="45" ht="20" customHeight="1">
      <c r="A45" s="3" t="inlineStr">
        <is>
          <t>Butter, cream and dairy fats</t>
        </is>
      </c>
      <c r="B45" s="3" t="inlineStr">
        <is>
          <t>Fats</t>
        </is>
      </c>
      <c r="C45" s="3" t="inlineStr">
        <is>
          <t>DAIRY_FATS</t>
        </is>
      </c>
      <c r="D45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45" s="3" t="inlineStr">
        <is>
          <t>kg/L</t>
        </is>
      </c>
      <c r="F45" s="3" t="n">
        <v>4.2</v>
      </c>
      <c r="G45" s="3" t="inlineStr">
        <is>
          <t>2021-05</t>
        </is>
      </c>
      <c r="H45" s="3" t="n">
        <v>4.3652</v>
      </c>
    </row>
    <row r="46" ht="20" customHeight="1">
      <c r="A46" s="3" t="inlineStr">
        <is>
          <t>Butter, cream and dairy fats</t>
        </is>
      </c>
      <c r="B46" s="3" t="inlineStr">
        <is>
          <t>Fats</t>
        </is>
      </c>
      <c r="C46" s="3" t="inlineStr">
        <is>
          <t>DAIRY_FATS</t>
        </is>
      </c>
      <c r="D46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46" s="3" t="inlineStr">
        <is>
          <t>kg/L</t>
        </is>
      </c>
      <c r="F46" s="3" t="n">
        <v>4.2</v>
      </c>
      <c r="G46" s="3" t="inlineStr">
        <is>
          <t>2021-06</t>
        </is>
      </c>
      <c r="H46" s="3" t="n">
        <v>4.3522</v>
      </c>
    </row>
    <row r="47" ht="20" customHeight="1">
      <c r="A47" s="3" t="inlineStr">
        <is>
          <t>Butter, cream and dairy fats</t>
        </is>
      </c>
      <c r="B47" s="3" t="inlineStr">
        <is>
          <t>Fats</t>
        </is>
      </c>
      <c r="C47" s="3" t="inlineStr">
        <is>
          <t>DAIRY_FATS</t>
        </is>
      </c>
      <c r="D47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47" s="3" t="inlineStr">
        <is>
          <t>kg/L</t>
        </is>
      </c>
      <c r="F47" s="3" t="n">
        <v>4.2</v>
      </c>
      <c r="G47" s="3" t="inlineStr">
        <is>
          <t>2021-07</t>
        </is>
      </c>
      <c r="H47" s="3" t="n">
        <v>4.3957</v>
      </c>
    </row>
    <row r="48" ht="20" customHeight="1">
      <c r="A48" s="3" t="inlineStr">
        <is>
          <t>Butter, cream and dairy fats</t>
        </is>
      </c>
      <c r="B48" s="3" t="inlineStr">
        <is>
          <t>Fats</t>
        </is>
      </c>
      <c r="C48" s="3" t="inlineStr">
        <is>
          <t>DAIRY_FATS</t>
        </is>
      </c>
      <c r="D48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48" s="3" t="inlineStr">
        <is>
          <t>kg/L</t>
        </is>
      </c>
      <c r="F48" s="3" t="n">
        <v>4.2</v>
      </c>
      <c r="G48" s="3" t="inlineStr">
        <is>
          <t>2021-08</t>
        </is>
      </c>
      <c r="H48" s="3" t="n">
        <v>4.387</v>
      </c>
    </row>
    <row r="49" ht="20" customHeight="1">
      <c r="A49" s="3" t="inlineStr">
        <is>
          <t>Butter, cream and dairy fats</t>
        </is>
      </c>
      <c r="B49" s="3" t="inlineStr">
        <is>
          <t>Fats</t>
        </is>
      </c>
      <c r="C49" s="3" t="inlineStr">
        <is>
          <t>DAIRY_FATS</t>
        </is>
      </c>
      <c r="D49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49" s="3" t="inlineStr">
        <is>
          <t>kg/L</t>
        </is>
      </c>
      <c r="F49" s="3" t="n">
        <v>4.2</v>
      </c>
      <c r="G49" s="3" t="inlineStr">
        <is>
          <t>2021-09</t>
        </is>
      </c>
      <c r="H49" s="3" t="n">
        <v>4.387</v>
      </c>
    </row>
    <row r="50" ht="20" customHeight="1">
      <c r="A50" s="3" t="inlineStr">
        <is>
          <t>Butter, cream and dairy fats</t>
        </is>
      </c>
      <c r="B50" s="3" t="inlineStr">
        <is>
          <t>Fats</t>
        </is>
      </c>
      <c r="C50" s="3" t="inlineStr">
        <is>
          <t>DAIRY_FATS</t>
        </is>
      </c>
      <c r="D50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50" s="3" t="inlineStr">
        <is>
          <t>kg/L</t>
        </is>
      </c>
      <c r="F50" s="3" t="n">
        <v>4.2</v>
      </c>
      <c r="G50" s="3" t="inlineStr">
        <is>
          <t>2021-10</t>
        </is>
      </c>
      <c r="H50" s="3" t="n">
        <v>4.3391</v>
      </c>
    </row>
    <row r="51" ht="20" customHeight="1">
      <c r="A51" s="3" t="inlineStr">
        <is>
          <t>Butter, cream and dairy fats</t>
        </is>
      </c>
      <c r="B51" s="3" t="inlineStr">
        <is>
          <t>Fats</t>
        </is>
      </c>
      <c r="C51" s="3" t="inlineStr">
        <is>
          <t>DAIRY_FATS</t>
        </is>
      </c>
      <c r="D51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51" s="3" t="inlineStr">
        <is>
          <t>kg/L</t>
        </is>
      </c>
      <c r="F51" s="3" t="n">
        <v>4.2</v>
      </c>
      <c r="G51" s="3" t="inlineStr">
        <is>
          <t>2021-11</t>
        </is>
      </c>
      <c r="H51" s="3" t="n">
        <v>4.4739</v>
      </c>
    </row>
    <row r="52" ht="20" customHeight="1">
      <c r="A52" s="3" t="inlineStr">
        <is>
          <t>Butter, cream and dairy fats</t>
        </is>
      </c>
      <c r="B52" s="3" t="inlineStr">
        <is>
          <t>Fats</t>
        </is>
      </c>
      <c r="C52" s="3" t="inlineStr">
        <is>
          <t>DAIRY_FATS</t>
        </is>
      </c>
      <c r="D52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52" s="3" t="inlineStr">
        <is>
          <t>kg/L</t>
        </is>
      </c>
      <c r="F52" s="3" t="n">
        <v>4.2</v>
      </c>
      <c r="G52" s="3" t="inlineStr">
        <is>
          <t>2021-12</t>
        </is>
      </c>
      <c r="H52" s="3" t="n">
        <v>4.3565</v>
      </c>
    </row>
    <row r="53" ht="20" customHeight="1">
      <c r="A53" s="3" t="inlineStr">
        <is>
          <t>Butter, cream and dairy fats</t>
        </is>
      </c>
      <c r="B53" s="3" t="inlineStr">
        <is>
          <t>Fats</t>
        </is>
      </c>
      <c r="C53" s="3" t="inlineStr">
        <is>
          <t>DAIRY_FATS</t>
        </is>
      </c>
      <c r="D53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53" s="3" t="inlineStr">
        <is>
          <t>kg/L</t>
        </is>
      </c>
      <c r="F53" s="3" t="n">
        <v>4.2</v>
      </c>
      <c r="G53" s="3" t="inlineStr">
        <is>
          <t>2022-01</t>
        </is>
      </c>
      <c r="H53" s="3" t="n">
        <v>4.7435</v>
      </c>
    </row>
    <row r="54" ht="20" customHeight="1">
      <c r="A54" s="3" t="inlineStr">
        <is>
          <t>Butter, cream and dairy fats</t>
        </is>
      </c>
      <c r="B54" s="3" t="inlineStr">
        <is>
          <t>Fats</t>
        </is>
      </c>
      <c r="C54" s="3" t="inlineStr">
        <is>
          <t>DAIRY_FATS</t>
        </is>
      </c>
      <c r="D54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54" s="3" t="inlineStr">
        <is>
          <t>kg/L</t>
        </is>
      </c>
      <c r="F54" s="3" t="n">
        <v>4.2</v>
      </c>
      <c r="G54" s="3" t="inlineStr">
        <is>
          <t>2022-02</t>
        </is>
      </c>
      <c r="H54" s="3" t="n">
        <v>4.7565</v>
      </c>
    </row>
    <row r="55" ht="20" customHeight="1">
      <c r="A55" s="3" t="inlineStr">
        <is>
          <t>Butter, cream and dairy fats</t>
        </is>
      </c>
      <c r="B55" s="3" t="inlineStr">
        <is>
          <t>Fats</t>
        </is>
      </c>
      <c r="C55" s="3" t="inlineStr">
        <is>
          <t>DAIRY_FATS</t>
        </is>
      </c>
      <c r="D55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55" s="3" t="inlineStr">
        <is>
          <t>kg/L</t>
        </is>
      </c>
      <c r="F55" s="3" t="n">
        <v>4.2</v>
      </c>
      <c r="G55" s="3" t="inlineStr">
        <is>
          <t>2022-03</t>
        </is>
      </c>
      <c r="H55" s="3" t="n">
        <v>4.7783</v>
      </c>
    </row>
    <row r="56" ht="20" customHeight="1">
      <c r="A56" s="3" t="inlineStr">
        <is>
          <t>Butter, cream and dairy fats</t>
        </is>
      </c>
      <c r="B56" s="3" t="inlineStr">
        <is>
          <t>Fats</t>
        </is>
      </c>
      <c r="C56" s="3" t="inlineStr">
        <is>
          <t>DAIRY_FATS</t>
        </is>
      </c>
      <c r="D56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56" s="3" t="inlineStr">
        <is>
          <t>kg/L</t>
        </is>
      </c>
      <c r="F56" s="3" t="n">
        <v>4.2</v>
      </c>
      <c r="G56" s="3" t="inlineStr">
        <is>
          <t>2022-04</t>
        </is>
      </c>
      <c r="H56" s="3" t="n">
        <v>4.913</v>
      </c>
    </row>
    <row r="57" ht="20" customHeight="1">
      <c r="A57" s="3" t="inlineStr">
        <is>
          <t>Butter, cream and dairy fats</t>
        </is>
      </c>
      <c r="B57" s="3" t="inlineStr">
        <is>
          <t>Fats</t>
        </is>
      </c>
      <c r="C57" s="3" t="inlineStr">
        <is>
          <t>DAIRY_FATS</t>
        </is>
      </c>
      <c r="D57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57" s="3" t="inlineStr">
        <is>
          <t>kg/L</t>
        </is>
      </c>
      <c r="F57" s="3" t="n">
        <v>4.2</v>
      </c>
      <c r="G57" s="3" t="inlineStr">
        <is>
          <t>2022-05</t>
        </is>
      </c>
      <c r="H57" s="3" t="n">
        <v>4.9652</v>
      </c>
    </row>
    <row r="58" ht="20" customHeight="1">
      <c r="A58" s="3" t="inlineStr">
        <is>
          <t>Butter, cream and dairy fats</t>
        </is>
      </c>
      <c r="B58" s="3" t="inlineStr">
        <is>
          <t>Fats</t>
        </is>
      </c>
      <c r="C58" s="3" t="inlineStr">
        <is>
          <t>DAIRY_FATS</t>
        </is>
      </c>
      <c r="D58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58" s="3" t="inlineStr">
        <is>
          <t>kg/L</t>
        </is>
      </c>
      <c r="F58" s="3" t="n">
        <v>4.2</v>
      </c>
      <c r="G58" s="3" t="inlineStr">
        <is>
          <t>2022-06</t>
        </is>
      </c>
      <c r="H58" s="3" t="n">
        <v>5.0478</v>
      </c>
    </row>
    <row r="59" ht="20" customHeight="1">
      <c r="A59" s="3" t="inlineStr">
        <is>
          <t>Butter, cream and dairy fats</t>
        </is>
      </c>
      <c r="B59" s="3" t="inlineStr">
        <is>
          <t>Fats</t>
        </is>
      </c>
      <c r="C59" s="3" t="inlineStr">
        <is>
          <t>DAIRY_FATS</t>
        </is>
      </c>
      <c r="D59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59" s="3" t="inlineStr">
        <is>
          <t>kg/L</t>
        </is>
      </c>
      <c r="F59" s="3" t="n">
        <v>4.2</v>
      </c>
      <c r="G59" s="3" t="inlineStr">
        <is>
          <t>2022-07</t>
        </is>
      </c>
      <c r="H59" s="3" t="n">
        <v>5.3783</v>
      </c>
    </row>
    <row r="60" ht="20" customHeight="1">
      <c r="A60" s="3" t="inlineStr">
        <is>
          <t>Butter, cream and dairy fats</t>
        </is>
      </c>
      <c r="B60" s="3" t="inlineStr">
        <is>
          <t>Fats</t>
        </is>
      </c>
      <c r="C60" s="3" t="inlineStr">
        <is>
          <t>DAIRY_FATS</t>
        </is>
      </c>
      <c r="D60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60" s="3" t="inlineStr">
        <is>
          <t>kg/L</t>
        </is>
      </c>
      <c r="F60" s="3" t="n">
        <v>4.2</v>
      </c>
      <c r="G60" s="3" t="inlineStr">
        <is>
          <t>2022-08</t>
        </is>
      </c>
      <c r="H60" s="3" t="n">
        <v>5.4087</v>
      </c>
    </row>
    <row r="61" ht="20" customHeight="1">
      <c r="A61" s="3" t="inlineStr">
        <is>
          <t>Butter, cream and dairy fats</t>
        </is>
      </c>
      <c r="B61" s="3" t="inlineStr">
        <is>
          <t>Fats</t>
        </is>
      </c>
      <c r="C61" s="3" t="inlineStr">
        <is>
          <t>DAIRY_FATS</t>
        </is>
      </c>
      <c r="D61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61" s="3" t="inlineStr">
        <is>
          <t>kg/L</t>
        </is>
      </c>
      <c r="F61" s="3" t="n">
        <v>4.2</v>
      </c>
      <c r="G61" s="3" t="inlineStr">
        <is>
          <t>2022-09</t>
        </is>
      </c>
      <c r="H61" s="3" t="n">
        <v>5.4478</v>
      </c>
    </row>
    <row r="62" ht="20" customHeight="1">
      <c r="A62" s="3" t="inlineStr">
        <is>
          <t>Butter, cream and dairy fats</t>
        </is>
      </c>
      <c r="B62" s="3" t="inlineStr">
        <is>
          <t>Fats</t>
        </is>
      </c>
      <c r="C62" s="3" t="inlineStr">
        <is>
          <t>DAIRY_FATS</t>
        </is>
      </c>
      <c r="D62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62" s="3" t="inlineStr">
        <is>
          <t>kg/L</t>
        </is>
      </c>
      <c r="F62" s="3" t="n">
        <v>4.2</v>
      </c>
      <c r="G62" s="3" t="inlineStr">
        <is>
          <t>2022-10</t>
        </is>
      </c>
      <c r="H62" s="3" t="n">
        <v>5.6391</v>
      </c>
    </row>
    <row r="63" ht="20" customHeight="1">
      <c r="A63" s="3" t="inlineStr">
        <is>
          <t>Butter, cream and dairy fats</t>
        </is>
      </c>
      <c r="B63" s="3" t="inlineStr">
        <is>
          <t>Fats</t>
        </is>
      </c>
      <c r="C63" s="3" t="inlineStr">
        <is>
          <t>DAIRY_FATS</t>
        </is>
      </c>
      <c r="D63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63" s="3" t="inlineStr">
        <is>
          <t>kg/L</t>
        </is>
      </c>
      <c r="F63" s="3" t="n">
        <v>4.2</v>
      </c>
      <c r="G63" s="3" t="inlineStr">
        <is>
          <t>2022-11</t>
        </is>
      </c>
      <c r="H63" s="3" t="n">
        <v>5.5783</v>
      </c>
    </row>
    <row r="64" ht="20" customHeight="1">
      <c r="A64" s="3" t="inlineStr">
        <is>
          <t>Butter, cream and dairy fats</t>
        </is>
      </c>
      <c r="B64" s="3" t="inlineStr">
        <is>
          <t>Fats</t>
        </is>
      </c>
      <c r="C64" s="3" t="inlineStr">
        <is>
          <t>DAIRY_FATS</t>
        </is>
      </c>
      <c r="D64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64" s="3" t="inlineStr">
        <is>
          <t>kg/L</t>
        </is>
      </c>
      <c r="F64" s="3" t="n">
        <v>4.2</v>
      </c>
      <c r="G64" s="3" t="inlineStr">
        <is>
          <t>2022-12</t>
        </is>
      </c>
      <c r="H64" s="3" t="n">
        <v>5.5217</v>
      </c>
    </row>
    <row r="65" ht="20" customHeight="1">
      <c r="A65" s="3" t="inlineStr">
        <is>
          <t>Butter, cream and dairy fats</t>
        </is>
      </c>
      <c r="B65" s="3" t="inlineStr">
        <is>
          <t>Fats</t>
        </is>
      </c>
      <c r="C65" s="3" t="inlineStr">
        <is>
          <t>DAIRY_FATS</t>
        </is>
      </c>
      <c r="D65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65" s="3" t="inlineStr">
        <is>
          <t>kg/L</t>
        </is>
      </c>
      <c r="F65" s="3" t="n">
        <v>4.2</v>
      </c>
      <c r="G65" s="3" t="inlineStr">
        <is>
          <t>2023-01</t>
        </is>
      </c>
      <c r="H65" s="3" t="n">
        <v>5.7696</v>
      </c>
    </row>
    <row r="66" ht="20" customHeight="1">
      <c r="A66" s="3" t="inlineStr">
        <is>
          <t>Butter, cream and dairy fats</t>
        </is>
      </c>
      <c r="B66" s="3" t="inlineStr">
        <is>
          <t>Fats</t>
        </is>
      </c>
      <c r="C66" s="3" t="inlineStr">
        <is>
          <t>DAIRY_FATS</t>
        </is>
      </c>
      <c r="D66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66" s="3" t="inlineStr">
        <is>
          <t>kg/L</t>
        </is>
      </c>
      <c r="F66" s="3" t="n">
        <v>4.2</v>
      </c>
      <c r="G66" s="3" t="inlineStr">
        <is>
          <t>2023-02</t>
        </is>
      </c>
      <c r="H66" s="3" t="n">
        <v>5.887</v>
      </c>
    </row>
    <row r="67" ht="20" customHeight="1">
      <c r="A67" s="3" t="inlineStr">
        <is>
          <t>Butter, cream and dairy fats</t>
        </is>
      </c>
      <c r="B67" s="3" t="inlineStr">
        <is>
          <t>Fats</t>
        </is>
      </c>
      <c r="C67" s="3" t="inlineStr">
        <is>
          <t>DAIRY_FATS</t>
        </is>
      </c>
      <c r="D67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67" s="3" t="inlineStr">
        <is>
          <t>kg/L</t>
        </is>
      </c>
      <c r="F67" s="3" t="n">
        <v>4.2</v>
      </c>
      <c r="G67" s="3" t="inlineStr">
        <is>
          <t>2023-03</t>
        </is>
      </c>
      <c r="H67" s="3" t="n">
        <v>6.0174</v>
      </c>
    </row>
    <row r="68" ht="20" customHeight="1">
      <c r="A68" s="3" t="inlineStr">
        <is>
          <t>Butter, cream and dairy fats</t>
        </is>
      </c>
      <c r="B68" s="3" t="inlineStr">
        <is>
          <t>Fats</t>
        </is>
      </c>
      <c r="C68" s="3" t="inlineStr">
        <is>
          <t>DAIRY_FATS</t>
        </is>
      </c>
      <c r="D68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68" s="3" t="inlineStr">
        <is>
          <t>kg/L</t>
        </is>
      </c>
      <c r="F68" s="3" t="n">
        <v>4.2</v>
      </c>
      <c r="G68" s="3" t="inlineStr">
        <is>
          <t>2023-04</t>
        </is>
      </c>
      <c r="H68" s="3" t="n">
        <v>6.0478</v>
      </c>
    </row>
    <row r="69" ht="20" customHeight="1">
      <c r="A69" s="3" t="inlineStr">
        <is>
          <t>Butter, cream and dairy fats</t>
        </is>
      </c>
      <c r="B69" s="3" t="inlineStr">
        <is>
          <t>Fats</t>
        </is>
      </c>
      <c r="C69" s="3" t="inlineStr">
        <is>
          <t>DAIRY_FATS</t>
        </is>
      </c>
      <c r="D69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69" s="3" t="inlineStr">
        <is>
          <t>kg/L</t>
        </is>
      </c>
      <c r="F69" s="3" t="n">
        <v>4.2</v>
      </c>
      <c r="G69" s="3" t="inlineStr">
        <is>
          <t>2023-05</t>
        </is>
      </c>
      <c r="H69" s="3" t="n">
        <v>6.1</v>
      </c>
    </row>
    <row r="70" ht="20" customHeight="1">
      <c r="A70" s="3" t="inlineStr">
        <is>
          <t>Butter, cream and dairy fats</t>
        </is>
      </c>
      <c r="B70" s="3" t="inlineStr">
        <is>
          <t>Fats</t>
        </is>
      </c>
      <c r="C70" s="3" t="inlineStr">
        <is>
          <t>DAIRY_FATS</t>
        </is>
      </c>
      <c r="D70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70" s="3" t="inlineStr">
        <is>
          <t>kg/L</t>
        </is>
      </c>
      <c r="F70" s="3" t="n">
        <v>4.2</v>
      </c>
      <c r="G70" s="3" t="inlineStr">
        <is>
          <t>2023-06</t>
        </is>
      </c>
      <c r="H70" s="3" t="n">
        <v>6.0304</v>
      </c>
    </row>
    <row r="71" ht="20" customHeight="1">
      <c r="A71" s="3" t="inlineStr">
        <is>
          <t>Butter, cream and dairy fats</t>
        </is>
      </c>
      <c r="B71" s="3" t="inlineStr">
        <is>
          <t>Fats</t>
        </is>
      </c>
      <c r="C71" s="3" t="inlineStr">
        <is>
          <t>DAIRY_FATS</t>
        </is>
      </c>
      <c r="D71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71" s="3" t="inlineStr">
        <is>
          <t>kg/L</t>
        </is>
      </c>
      <c r="F71" s="3" t="n">
        <v>4.2</v>
      </c>
      <c r="G71" s="3" t="inlineStr">
        <is>
          <t>2023-07</t>
        </is>
      </c>
      <c r="H71" s="3" t="n">
        <v>6.0696</v>
      </c>
    </row>
    <row r="72" ht="20" customHeight="1">
      <c r="A72" s="3" t="inlineStr">
        <is>
          <t>Butter, cream and dairy fats</t>
        </is>
      </c>
      <c r="B72" s="3" t="inlineStr">
        <is>
          <t>Fats</t>
        </is>
      </c>
      <c r="C72" s="3" t="inlineStr">
        <is>
          <t>DAIRY_FATS</t>
        </is>
      </c>
      <c r="D72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72" s="3" t="inlineStr">
        <is>
          <t>kg/L</t>
        </is>
      </c>
      <c r="F72" s="3" t="n">
        <v>4.2</v>
      </c>
      <c r="G72" s="3" t="inlineStr">
        <is>
          <t>2023-08</t>
        </is>
      </c>
      <c r="H72" s="3" t="n">
        <v>5.9435</v>
      </c>
    </row>
    <row r="73" ht="20" customHeight="1">
      <c r="A73" s="3" t="inlineStr">
        <is>
          <t>Butter, cream and dairy fats</t>
        </is>
      </c>
      <c r="B73" s="3" t="inlineStr">
        <is>
          <t>Fats</t>
        </is>
      </c>
      <c r="C73" s="3" t="inlineStr">
        <is>
          <t>DAIRY_FATS</t>
        </is>
      </c>
      <c r="D73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73" s="3" t="inlineStr">
        <is>
          <t>kg/L</t>
        </is>
      </c>
      <c r="F73" s="3" t="n">
        <v>4.2</v>
      </c>
      <c r="G73" s="3" t="inlineStr">
        <is>
          <t>2023-09</t>
        </is>
      </c>
      <c r="H73" s="3" t="n">
        <v>5.9609</v>
      </c>
    </row>
    <row r="74" ht="20" customHeight="1">
      <c r="A74" s="3" t="inlineStr">
        <is>
          <t>Butter, cream and dairy fats</t>
        </is>
      </c>
      <c r="B74" s="3" t="inlineStr">
        <is>
          <t>Fats</t>
        </is>
      </c>
      <c r="C74" s="3" t="inlineStr">
        <is>
          <t>DAIRY_FATS</t>
        </is>
      </c>
      <c r="D74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74" s="3" t="inlineStr">
        <is>
          <t>kg/L</t>
        </is>
      </c>
      <c r="F74" s="3" t="n">
        <v>4.2</v>
      </c>
      <c r="G74" s="3" t="inlineStr">
        <is>
          <t>2023-10</t>
        </is>
      </c>
      <c r="H74" s="3" t="n">
        <v>5.9522</v>
      </c>
    </row>
    <row r="75" ht="20" customHeight="1">
      <c r="A75" s="3" t="inlineStr">
        <is>
          <t>Butter, cream and dairy fats</t>
        </is>
      </c>
      <c r="B75" s="3" t="inlineStr">
        <is>
          <t>Fats</t>
        </is>
      </c>
      <c r="C75" s="3" t="inlineStr">
        <is>
          <t>DAIRY_FATS</t>
        </is>
      </c>
      <c r="D75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75" s="3" t="inlineStr">
        <is>
          <t>kg/L</t>
        </is>
      </c>
      <c r="F75" s="3" t="n">
        <v>4.2</v>
      </c>
      <c r="G75" s="3" t="inlineStr">
        <is>
          <t>2023-11</t>
        </is>
      </c>
      <c r="H75" s="3" t="n">
        <v>5.8783</v>
      </c>
    </row>
    <row r="76" ht="20" customHeight="1">
      <c r="A76" s="3" t="inlineStr">
        <is>
          <t>Butter, cream and dairy fats</t>
        </is>
      </c>
      <c r="B76" s="3" t="inlineStr">
        <is>
          <t>Fats</t>
        </is>
      </c>
      <c r="C76" s="3" t="inlineStr">
        <is>
          <t>DAIRY_FATS</t>
        </is>
      </c>
      <c r="D76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76" s="3" t="inlineStr">
        <is>
          <t>kg/L</t>
        </is>
      </c>
      <c r="F76" s="3" t="n">
        <v>4.2</v>
      </c>
      <c r="G76" s="3" t="inlineStr">
        <is>
          <t>2023-12</t>
        </is>
      </c>
      <c r="H76" s="3" t="n">
        <v>5.9043</v>
      </c>
    </row>
    <row r="77" ht="20" customHeight="1">
      <c r="A77" s="3" t="inlineStr">
        <is>
          <t>Electricity for kitchen and refrigeration</t>
        </is>
      </c>
      <c r="B77" s="3" t="inlineStr">
        <is>
          <t>Electricity</t>
        </is>
      </c>
      <c r="C77" s="3" t="inlineStr">
        <is>
          <t>ELECTRICITY</t>
        </is>
      </c>
      <c r="D77" s="3" t="inlineStr">
        <is>
          <t>INSEE BDM 010777317: Indice mensuel des prix d'achat des moyens de production agricole (IPAMPA) - Electricité</t>
        </is>
      </c>
      <c r="E77" s="3" t="inlineStr">
        <is>
          <t>kWh</t>
        </is>
      </c>
      <c r="F77" s="3" t="n">
        <v>0.17</v>
      </c>
      <c r="G77" s="3" t="inlineStr">
        <is>
          <t>2021-01</t>
        </is>
      </c>
      <c r="H77" s="3" t="n">
        <v>0.17</v>
      </c>
    </row>
    <row r="78" ht="20" customHeight="1">
      <c r="A78" s="3" t="inlineStr">
        <is>
          <t>Electricity for kitchen and refrigeration</t>
        </is>
      </c>
      <c r="B78" s="3" t="inlineStr">
        <is>
          <t>Electricity</t>
        </is>
      </c>
      <c r="C78" s="3" t="inlineStr">
        <is>
          <t>ELECTRICITY</t>
        </is>
      </c>
      <c r="D78" s="3" t="inlineStr">
        <is>
          <t>INSEE BDM 010777317: Indice mensuel des prix d'achat des moyens de production agricole (IPAMPA) - Electricité</t>
        </is>
      </c>
      <c r="E78" s="3" t="inlineStr">
        <is>
          <t>kWh</t>
        </is>
      </c>
      <c r="F78" s="3" t="n">
        <v>0.17</v>
      </c>
      <c r="G78" s="3" t="inlineStr">
        <is>
          <t>2021-02</t>
        </is>
      </c>
      <c r="H78" s="3" t="n">
        <v>0.1725</v>
      </c>
    </row>
    <row r="79" ht="20" customHeight="1">
      <c r="A79" s="3" t="inlineStr">
        <is>
          <t>Electricity for kitchen and refrigeration</t>
        </is>
      </c>
      <c r="B79" s="3" t="inlineStr">
        <is>
          <t>Electricity</t>
        </is>
      </c>
      <c r="C79" s="3" t="inlineStr">
        <is>
          <t>ELECTRICITY</t>
        </is>
      </c>
      <c r="D79" s="3" t="inlineStr">
        <is>
          <t>INSEE BDM 010777317: Indice mensuel des prix d'achat des moyens de production agricole (IPAMPA) - Electricité</t>
        </is>
      </c>
      <c r="E79" s="3" t="inlineStr">
        <is>
          <t>kWh</t>
        </is>
      </c>
      <c r="F79" s="3" t="n">
        <v>0.17</v>
      </c>
      <c r="G79" s="3" t="inlineStr">
        <is>
          <t>2021-03</t>
        </is>
      </c>
      <c r="H79" s="3" t="n">
        <v>0.1725</v>
      </c>
    </row>
    <row r="80" ht="20" customHeight="1">
      <c r="A80" s="3" t="inlineStr">
        <is>
          <t>Electricity for kitchen and refrigeration</t>
        </is>
      </c>
      <c r="B80" s="3" t="inlineStr">
        <is>
          <t>Electricity</t>
        </is>
      </c>
      <c r="C80" s="3" t="inlineStr">
        <is>
          <t>ELECTRICITY</t>
        </is>
      </c>
      <c r="D80" s="3" t="inlineStr">
        <is>
          <t>INSEE BDM 010777317: Indice mensuel des prix d'achat des moyens de production agricole (IPAMPA) - Electricité</t>
        </is>
      </c>
      <c r="E80" s="3" t="inlineStr">
        <is>
          <t>kWh</t>
        </is>
      </c>
      <c r="F80" s="3" t="n">
        <v>0.17</v>
      </c>
      <c r="G80" s="3" t="inlineStr">
        <is>
          <t>2021-04</t>
        </is>
      </c>
      <c r="H80" s="3" t="n">
        <v>0.1725</v>
      </c>
    </row>
    <row r="81" ht="20" customHeight="1">
      <c r="A81" s="3" t="inlineStr">
        <is>
          <t>Electricity for kitchen and refrigeration</t>
        </is>
      </c>
      <c r="B81" s="3" t="inlineStr">
        <is>
          <t>Electricity</t>
        </is>
      </c>
      <c r="C81" s="3" t="inlineStr">
        <is>
          <t>ELECTRICITY</t>
        </is>
      </c>
      <c r="D81" s="3" t="inlineStr">
        <is>
          <t>INSEE BDM 010777317: Indice mensuel des prix d'achat des moyens de production agricole (IPAMPA) - Electricité</t>
        </is>
      </c>
      <c r="E81" s="3" t="inlineStr">
        <is>
          <t>kWh</t>
        </is>
      </c>
      <c r="F81" s="3" t="n">
        <v>0.17</v>
      </c>
      <c r="G81" s="3" t="inlineStr">
        <is>
          <t>2021-05</t>
        </is>
      </c>
      <c r="H81" s="3" t="n">
        <v>0.1727</v>
      </c>
    </row>
    <row r="82" ht="20" customHeight="1">
      <c r="A82" s="3" t="inlineStr">
        <is>
          <t>Electricity for kitchen and refrigeration</t>
        </is>
      </c>
      <c r="B82" s="3" t="inlineStr">
        <is>
          <t>Electricity</t>
        </is>
      </c>
      <c r="C82" s="3" t="inlineStr">
        <is>
          <t>ELECTRICITY</t>
        </is>
      </c>
      <c r="D82" s="3" t="inlineStr">
        <is>
          <t>INSEE BDM 010777317: Indice mensuel des prix d'achat des moyens de production agricole (IPAMPA) - Electricité</t>
        </is>
      </c>
      <c r="E82" s="3" t="inlineStr">
        <is>
          <t>kWh</t>
        </is>
      </c>
      <c r="F82" s="3" t="n">
        <v>0.17</v>
      </c>
      <c r="G82" s="3" t="inlineStr">
        <is>
          <t>2021-06</t>
        </is>
      </c>
      <c r="H82" s="3" t="n">
        <v>0.1727</v>
      </c>
    </row>
    <row r="83" ht="20" customHeight="1">
      <c r="A83" s="3" t="inlineStr">
        <is>
          <t>Electricity for kitchen and refrigeration</t>
        </is>
      </c>
      <c r="B83" s="3" t="inlineStr">
        <is>
          <t>Electricity</t>
        </is>
      </c>
      <c r="C83" s="3" t="inlineStr">
        <is>
          <t>ELECTRICITY</t>
        </is>
      </c>
      <c r="D83" s="3" t="inlineStr">
        <is>
          <t>INSEE BDM 010777317: Indice mensuel des prix d'achat des moyens de production agricole (IPAMPA) - Electricité</t>
        </is>
      </c>
      <c r="E83" s="3" t="inlineStr">
        <is>
          <t>kWh</t>
        </is>
      </c>
      <c r="F83" s="3" t="n">
        <v>0.17</v>
      </c>
      <c r="G83" s="3" t="inlineStr">
        <is>
          <t>2021-07</t>
        </is>
      </c>
      <c r="H83" s="3" t="n">
        <v>0.1727</v>
      </c>
    </row>
    <row r="84" ht="20" customHeight="1">
      <c r="A84" s="3" t="inlineStr">
        <is>
          <t>Electricity for kitchen and refrigeration</t>
        </is>
      </c>
      <c r="B84" s="3" t="inlineStr">
        <is>
          <t>Electricity</t>
        </is>
      </c>
      <c r="C84" s="3" t="inlineStr">
        <is>
          <t>ELECTRICITY</t>
        </is>
      </c>
      <c r="D84" s="3" t="inlineStr">
        <is>
          <t>INSEE BDM 010777317: Indice mensuel des prix d'achat des moyens de production agricole (IPAMPA) - Electricité</t>
        </is>
      </c>
      <c r="E84" s="3" t="inlineStr">
        <is>
          <t>kWh</t>
        </is>
      </c>
      <c r="F84" s="3" t="n">
        <v>0.17</v>
      </c>
      <c r="G84" s="3" t="inlineStr">
        <is>
          <t>2021-08</t>
        </is>
      </c>
      <c r="H84" s="3" t="n">
        <v>0.1737</v>
      </c>
    </row>
    <row r="85" ht="20" customHeight="1">
      <c r="A85" s="3" t="inlineStr">
        <is>
          <t>Electricity for kitchen and refrigeration</t>
        </is>
      </c>
      <c r="B85" s="3" t="inlineStr">
        <is>
          <t>Electricity</t>
        </is>
      </c>
      <c r="C85" s="3" t="inlineStr">
        <is>
          <t>ELECTRICITY</t>
        </is>
      </c>
      <c r="D85" s="3" t="inlineStr">
        <is>
          <t>INSEE BDM 010777317: Indice mensuel des prix d'achat des moyens de production agricole (IPAMPA) - Electricité</t>
        </is>
      </c>
      <c r="E85" s="3" t="inlineStr">
        <is>
          <t>kWh</t>
        </is>
      </c>
      <c r="F85" s="3" t="n">
        <v>0.17</v>
      </c>
      <c r="G85" s="3" t="inlineStr">
        <is>
          <t>2021-09</t>
        </is>
      </c>
      <c r="H85" s="3" t="n">
        <v>0.1737</v>
      </c>
    </row>
    <row r="86" ht="20" customHeight="1">
      <c r="A86" s="3" t="inlineStr">
        <is>
          <t>Electricity for kitchen and refrigeration</t>
        </is>
      </c>
      <c r="B86" s="3" t="inlineStr">
        <is>
          <t>Electricity</t>
        </is>
      </c>
      <c r="C86" s="3" t="inlineStr">
        <is>
          <t>ELECTRICITY</t>
        </is>
      </c>
      <c r="D86" s="3" t="inlineStr">
        <is>
          <t>INSEE BDM 010777317: Indice mensuel des prix d'achat des moyens de production agricole (IPAMPA) - Electricité</t>
        </is>
      </c>
      <c r="E86" s="3" t="inlineStr">
        <is>
          <t>kWh</t>
        </is>
      </c>
      <c r="F86" s="3" t="n">
        <v>0.17</v>
      </c>
      <c r="G86" s="3" t="inlineStr">
        <is>
          <t>2021-10</t>
        </is>
      </c>
      <c r="H86" s="3" t="n">
        <v>0.1742</v>
      </c>
    </row>
    <row r="87" ht="20" customHeight="1">
      <c r="A87" s="3" t="inlineStr">
        <is>
          <t>Electricity for kitchen and refrigeration</t>
        </is>
      </c>
      <c r="B87" s="3" t="inlineStr">
        <is>
          <t>Electricity</t>
        </is>
      </c>
      <c r="C87" s="3" t="inlineStr">
        <is>
          <t>ELECTRICITY</t>
        </is>
      </c>
      <c r="D87" s="3" t="inlineStr">
        <is>
          <t>INSEE BDM 010777317: Indice mensuel des prix d'achat des moyens de production agricole (IPAMPA) - Electricité</t>
        </is>
      </c>
      <c r="E87" s="3" t="inlineStr">
        <is>
          <t>kWh</t>
        </is>
      </c>
      <c r="F87" s="3" t="n">
        <v>0.17</v>
      </c>
      <c r="G87" s="3" t="inlineStr">
        <is>
          <t>2021-11</t>
        </is>
      </c>
      <c r="H87" s="3" t="n">
        <v>0.1754</v>
      </c>
    </row>
    <row r="88" ht="20" customHeight="1">
      <c r="A88" s="3" t="inlineStr">
        <is>
          <t>Electricity for kitchen and refrigeration</t>
        </is>
      </c>
      <c r="B88" s="3" t="inlineStr">
        <is>
          <t>Electricity</t>
        </is>
      </c>
      <c r="C88" s="3" t="inlineStr">
        <is>
          <t>ELECTRICITY</t>
        </is>
      </c>
      <c r="D88" s="3" t="inlineStr">
        <is>
          <t>INSEE BDM 010777317: Indice mensuel des prix d'achat des moyens de production agricole (IPAMPA) - Electricité</t>
        </is>
      </c>
      <c r="E88" s="3" t="inlineStr">
        <is>
          <t>kWh</t>
        </is>
      </c>
      <c r="F88" s="3" t="n">
        <v>0.17</v>
      </c>
      <c r="G88" s="3" t="inlineStr">
        <is>
          <t>2021-12</t>
        </is>
      </c>
      <c r="H88" s="3" t="n">
        <v>0.175</v>
      </c>
    </row>
    <row r="89" ht="20" customHeight="1">
      <c r="A89" s="3" t="inlineStr">
        <is>
          <t>Electricity for kitchen and refrigeration</t>
        </is>
      </c>
      <c r="B89" s="3" t="inlineStr">
        <is>
          <t>Electricity</t>
        </is>
      </c>
      <c r="C89" s="3" t="inlineStr">
        <is>
          <t>ELECTRICITY</t>
        </is>
      </c>
      <c r="D89" s="3" t="inlineStr">
        <is>
          <t>INSEE BDM 010777317: Indice mensuel des prix d'achat des moyens de production agricole (IPAMPA) - Electricité</t>
        </is>
      </c>
      <c r="E89" s="3" t="inlineStr">
        <is>
          <t>kWh</t>
        </is>
      </c>
      <c r="F89" s="3" t="n">
        <v>0.17</v>
      </c>
      <c r="G89" s="3" t="inlineStr">
        <is>
          <t>2022-01</t>
        </is>
      </c>
      <c r="H89" s="3" t="n">
        <v>0.1766</v>
      </c>
    </row>
    <row r="90" ht="20" customHeight="1">
      <c r="A90" s="3" t="inlineStr">
        <is>
          <t>Electricity for kitchen and refrigeration</t>
        </is>
      </c>
      <c r="B90" s="3" t="inlineStr">
        <is>
          <t>Electricity</t>
        </is>
      </c>
      <c r="C90" s="3" t="inlineStr">
        <is>
          <t>ELECTRICITY</t>
        </is>
      </c>
      <c r="D90" s="3" t="inlineStr">
        <is>
          <t>INSEE BDM 010777317: Indice mensuel des prix d'achat des moyens de production agricole (IPAMPA) - Electricité</t>
        </is>
      </c>
      <c r="E90" s="3" t="inlineStr">
        <is>
          <t>kWh</t>
        </is>
      </c>
      <c r="F90" s="3" t="n">
        <v>0.17</v>
      </c>
      <c r="G90" s="3" t="inlineStr">
        <is>
          <t>2022-02</t>
        </is>
      </c>
      <c r="H90" s="3" t="n">
        <v>0.1809</v>
      </c>
    </row>
    <row r="91" ht="20" customHeight="1">
      <c r="A91" s="3" t="inlineStr">
        <is>
          <t>Electricity for kitchen and refrigeration</t>
        </is>
      </c>
      <c r="B91" s="3" t="inlineStr">
        <is>
          <t>Electricity</t>
        </is>
      </c>
      <c r="C91" s="3" t="inlineStr">
        <is>
          <t>ELECTRICITY</t>
        </is>
      </c>
      <c r="D91" s="3" t="inlineStr">
        <is>
          <t>INSEE BDM 010777317: Indice mensuel des prix d'achat des moyens de production agricole (IPAMPA) - Electricité</t>
        </is>
      </c>
      <c r="E91" s="3" t="inlineStr">
        <is>
          <t>kWh</t>
        </is>
      </c>
      <c r="F91" s="3" t="n">
        <v>0.17</v>
      </c>
      <c r="G91" s="3" t="inlineStr">
        <is>
          <t>2022-03</t>
        </is>
      </c>
      <c r="H91" s="3" t="n">
        <v>0.1829</v>
      </c>
    </row>
    <row r="92" ht="20" customHeight="1">
      <c r="A92" s="3" t="inlineStr">
        <is>
          <t>Electricity for kitchen and refrigeration</t>
        </is>
      </c>
      <c r="B92" s="3" t="inlineStr">
        <is>
          <t>Electricity</t>
        </is>
      </c>
      <c r="C92" s="3" t="inlineStr">
        <is>
          <t>ELECTRICITY</t>
        </is>
      </c>
      <c r="D92" s="3" t="inlineStr">
        <is>
          <t>INSEE BDM 010777317: Indice mensuel des prix d'achat des moyens de production agricole (IPAMPA) - Electricité</t>
        </is>
      </c>
      <c r="E92" s="3" t="inlineStr">
        <is>
          <t>kWh</t>
        </is>
      </c>
      <c r="F92" s="3" t="n">
        <v>0.17</v>
      </c>
      <c r="G92" s="3" t="inlineStr">
        <is>
          <t>2022-04</t>
        </is>
      </c>
      <c r="H92" s="3" t="n">
        <v>0.1845</v>
      </c>
    </row>
    <row r="93" ht="20" customHeight="1">
      <c r="A93" s="3" t="inlineStr">
        <is>
          <t>Electricity for kitchen and refrigeration</t>
        </is>
      </c>
      <c r="B93" s="3" t="inlineStr">
        <is>
          <t>Electricity</t>
        </is>
      </c>
      <c r="C93" s="3" t="inlineStr">
        <is>
          <t>ELECTRICITY</t>
        </is>
      </c>
      <c r="D93" s="3" t="inlineStr">
        <is>
          <t>INSEE BDM 010777317: Indice mensuel des prix d'achat des moyens de production agricole (IPAMPA) - Electricité</t>
        </is>
      </c>
      <c r="E93" s="3" t="inlineStr">
        <is>
          <t>kWh</t>
        </is>
      </c>
      <c r="F93" s="3" t="n">
        <v>0.17</v>
      </c>
      <c r="G93" s="3" t="inlineStr">
        <is>
          <t>2022-05</t>
        </is>
      </c>
      <c r="H93" s="3" t="n">
        <v>0.1838</v>
      </c>
    </row>
    <row r="94" ht="20" customHeight="1">
      <c r="A94" s="3" t="inlineStr">
        <is>
          <t>Electricity for kitchen and refrigeration</t>
        </is>
      </c>
      <c r="B94" s="3" t="inlineStr">
        <is>
          <t>Electricity</t>
        </is>
      </c>
      <c r="C94" s="3" t="inlineStr">
        <is>
          <t>ELECTRICITY</t>
        </is>
      </c>
      <c r="D94" s="3" t="inlineStr">
        <is>
          <t>INSEE BDM 010777317: Indice mensuel des prix d'achat des moyens de production agricole (IPAMPA) - Electricité</t>
        </is>
      </c>
      <c r="E94" s="3" t="inlineStr">
        <is>
          <t>kWh</t>
        </is>
      </c>
      <c r="F94" s="3" t="n">
        <v>0.17</v>
      </c>
      <c r="G94" s="3" t="inlineStr">
        <is>
          <t>2022-06</t>
        </is>
      </c>
      <c r="H94" s="3" t="n">
        <v>0.1858</v>
      </c>
    </row>
    <row r="95" ht="20" customHeight="1">
      <c r="A95" s="3" t="inlineStr">
        <is>
          <t>Electricity for kitchen and refrigeration</t>
        </is>
      </c>
      <c r="B95" s="3" t="inlineStr">
        <is>
          <t>Electricity</t>
        </is>
      </c>
      <c r="C95" s="3" t="inlineStr">
        <is>
          <t>ELECTRICITY</t>
        </is>
      </c>
      <c r="D95" s="3" t="inlineStr">
        <is>
          <t>INSEE BDM 010777317: Indice mensuel des prix d'achat des moyens de production agricole (IPAMPA) - Electricité</t>
        </is>
      </c>
      <c r="E95" s="3" t="inlineStr">
        <is>
          <t>kWh</t>
        </is>
      </c>
      <c r="F95" s="3" t="n">
        <v>0.17</v>
      </c>
      <c r="G95" s="3" t="inlineStr">
        <is>
          <t>2022-07</t>
        </is>
      </c>
      <c r="H95" s="3" t="n">
        <v>0.187</v>
      </c>
    </row>
    <row r="96" ht="20" customHeight="1">
      <c r="A96" s="3" t="inlineStr">
        <is>
          <t>Electricity for kitchen and refrigeration</t>
        </is>
      </c>
      <c r="B96" s="3" t="inlineStr">
        <is>
          <t>Electricity</t>
        </is>
      </c>
      <c r="C96" s="3" t="inlineStr">
        <is>
          <t>ELECTRICITY</t>
        </is>
      </c>
      <c r="D96" s="3" t="inlineStr">
        <is>
          <t>INSEE BDM 010777317: Indice mensuel des prix d'achat des moyens de production agricole (IPAMPA) - Electricité</t>
        </is>
      </c>
      <c r="E96" s="3" t="inlineStr">
        <is>
          <t>kWh</t>
        </is>
      </c>
      <c r="F96" s="3" t="n">
        <v>0.17</v>
      </c>
      <c r="G96" s="3" t="inlineStr">
        <is>
          <t>2022-08</t>
        </is>
      </c>
      <c r="H96" s="3" t="n">
        <v>0.1872</v>
      </c>
    </row>
    <row r="97" ht="20" customHeight="1">
      <c r="A97" s="3" t="inlineStr">
        <is>
          <t>Electricity for kitchen and refrigeration</t>
        </is>
      </c>
      <c r="B97" s="3" t="inlineStr">
        <is>
          <t>Electricity</t>
        </is>
      </c>
      <c r="C97" s="3" t="inlineStr">
        <is>
          <t>ELECTRICITY</t>
        </is>
      </c>
      <c r="D97" s="3" t="inlineStr">
        <is>
          <t>INSEE BDM 010777317: Indice mensuel des prix d'achat des moyens de production agricole (IPAMPA) - Electricité</t>
        </is>
      </c>
      <c r="E97" s="3" t="inlineStr">
        <is>
          <t>kWh</t>
        </is>
      </c>
      <c r="F97" s="3" t="n">
        <v>0.17</v>
      </c>
      <c r="G97" s="3" t="inlineStr">
        <is>
          <t>2022-09</t>
        </is>
      </c>
      <c r="H97" s="3" t="n">
        <v>0.1922</v>
      </c>
    </row>
    <row r="98" ht="20" customHeight="1">
      <c r="A98" s="3" t="inlineStr">
        <is>
          <t>Electricity for kitchen and refrigeration</t>
        </is>
      </c>
      <c r="B98" s="3" t="inlineStr">
        <is>
          <t>Electricity</t>
        </is>
      </c>
      <c r="C98" s="3" t="inlineStr">
        <is>
          <t>ELECTRICITY</t>
        </is>
      </c>
      <c r="D98" s="3" t="inlineStr">
        <is>
          <t>INSEE BDM 010777317: Indice mensuel des prix d'achat des moyens de production agricole (IPAMPA) - Electricité</t>
        </is>
      </c>
      <c r="E98" s="3" t="inlineStr">
        <is>
          <t>kWh</t>
        </is>
      </c>
      <c r="F98" s="3" t="n">
        <v>0.17</v>
      </c>
      <c r="G98" s="3" t="inlineStr">
        <is>
          <t>2022-10</t>
        </is>
      </c>
      <c r="H98" s="3" t="n">
        <v>0.1895</v>
      </c>
    </row>
    <row r="99" ht="20" customHeight="1">
      <c r="A99" s="3" t="inlineStr">
        <is>
          <t>Electricity for kitchen and refrigeration</t>
        </is>
      </c>
      <c r="B99" s="3" t="inlineStr">
        <is>
          <t>Electricity</t>
        </is>
      </c>
      <c r="C99" s="3" t="inlineStr">
        <is>
          <t>ELECTRICITY</t>
        </is>
      </c>
      <c r="D99" s="3" t="inlineStr">
        <is>
          <t>INSEE BDM 010777317: Indice mensuel des prix d'achat des moyens de production agricole (IPAMPA) - Electricité</t>
        </is>
      </c>
      <c r="E99" s="3" t="inlineStr">
        <is>
          <t>kWh</t>
        </is>
      </c>
      <c r="F99" s="3" t="n">
        <v>0.17</v>
      </c>
      <c r="G99" s="3" t="inlineStr">
        <is>
          <t>2022-11</t>
        </is>
      </c>
      <c r="H99" s="3" t="n">
        <v>0.1927</v>
      </c>
    </row>
    <row r="100" ht="20" customHeight="1">
      <c r="A100" s="3" t="inlineStr">
        <is>
          <t>Electricity for kitchen and refrigeration</t>
        </is>
      </c>
      <c r="B100" s="3" t="inlineStr">
        <is>
          <t>Electricity</t>
        </is>
      </c>
      <c r="C100" s="3" t="inlineStr">
        <is>
          <t>ELECTRICITY</t>
        </is>
      </c>
      <c r="D100" s="3" t="inlineStr">
        <is>
          <t>INSEE BDM 010777317: Indice mensuel des prix d'achat des moyens de production agricole (IPAMPA) - Electricité</t>
        </is>
      </c>
      <c r="E100" s="3" t="inlineStr">
        <is>
          <t>kWh</t>
        </is>
      </c>
      <c r="F100" s="3" t="n">
        <v>0.17</v>
      </c>
      <c r="G100" s="3" t="inlineStr">
        <is>
          <t>2022-12</t>
        </is>
      </c>
      <c r="H100" s="3" t="n">
        <v>0.1878</v>
      </c>
    </row>
    <row r="101" ht="20" customHeight="1">
      <c r="A101" s="3" t="inlineStr">
        <is>
          <t>Electricity for kitchen and refrigeration</t>
        </is>
      </c>
      <c r="B101" s="3" t="inlineStr">
        <is>
          <t>Electricity</t>
        </is>
      </c>
      <c r="C101" s="3" t="inlineStr">
        <is>
          <t>ELECTRICITY</t>
        </is>
      </c>
      <c r="D101" s="3" t="inlineStr">
        <is>
          <t>INSEE BDM 010777317: Indice mensuel des prix d'achat des moyens de production agricole (IPAMPA) - Electricité</t>
        </is>
      </c>
      <c r="E101" s="3" t="inlineStr">
        <is>
          <t>kWh</t>
        </is>
      </c>
      <c r="F101" s="3" t="n">
        <v>0.17</v>
      </c>
      <c r="G101" s="3" t="inlineStr">
        <is>
          <t>2023-01</t>
        </is>
      </c>
      <c r="H101" s="3" t="n">
        <v>0.1821</v>
      </c>
    </row>
    <row r="102" ht="20" customHeight="1">
      <c r="A102" s="3" t="inlineStr">
        <is>
          <t>Electricity for kitchen and refrigeration</t>
        </is>
      </c>
      <c r="B102" s="3" t="inlineStr">
        <is>
          <t>Electricity</t>
        </is>
      </c>
      <c r="C102" s="3" t="inlineStr">
        <is>
          <t>ELECTRICITY</t>
        </is>
      </c>
      <c r="D102" s="3" t="inlineStr">
        <is>
          <t>INSEE BDM 010777317: Indice mensuel des prix d'achat des moyens de production agricole (IPAMPA) - Electricité</t>
        </is>
      </c>
      <c r="E102" s="3" t="inlineStr">
        <is>
          <t>kWh</t>
        </is>
      </c>
      <c r="F102" s="3" t="n">
        <v>0.17</v>
      </c>
      <c r="G102" s="3" t="inlineStr">
        <is>
          <t>2023-02</t>
        </is>
      </c>
      <c r="H102" s="3" t="n">
        <v>0.1993</v>
      </c>
    </row>
    <row r="103" ht="20" customHeight="1">
      <c r="A103" s="3" t="inlineStr">
        <is>
          <t>Electricity for kitchen and refrigeration</t>
        </is>
      </c>
      <c r="B103" s="3" t="inlineStr">
        <is>
          <t>Electricity</t>
        </is>
      </c>
      <c r="C103" s="3" t="inlineStr">
        <is>
          <t>ELECTRICITY</t>
        </is>
      </c>
      <c r="D103" s="3" t="inlineStr">
        <is>
          <t>INSEE BDM 010777317: Indice mensuel des prix d'achat des moyens de production agricole (IPAMPA) - Electricité</t>
        </is>
      </c>
      <c r="E103" s="3" t="inlineStr">
        <is>
          <t>kWh</t>
        </is>
      </c>
      <c r="F103" s="3" t="n">
        <v>0.17</v>
      </c>
      <c r="G103" s="3" t="inlineStr">
        <is>
          <t>2023-03</t>
        </is>
      </c>
      <c r="H103" s="3" t="n">
        <v>0.2031</v>
      </c>
    </row>
    <row r="104" ht="20" customHeight="1">
      <c r="A104" s="3" t="inlineStr">
        <is>
          <t>Electricity for kitchen and refrigeration</t>
        </is>
      </c>
      <c r="B104" s="3" t="inlineStr">
        <is>
          <t>Electricity</t>
        </is>
      </c>
      <c r="C104" s="3" t="inlineStr">
        <is>
          <t>ELECTRICITY</t>
        </is>
      </c>
      <c r="D104" s="3" t="inlineStr">
        <is>
          <t>INSEE BDM 010777317: Indice mensuel des prix d'achat des moyens de production agricole (IPAMPA) - Electricité</t>
        </is>
      </c>
      <c r="E104" s="3" t="inlineStr">
        <is>
          <t>kWh</t>
        </is>
      </c>
      <c r="F104" s="3" t="n">
        <v>0.17</v>
      </c>
      <c r="G104" s="3" t="inlineStr">
        <is>
          <t>2023-04</t>
        </is>
      </c>
      <c r="H104" s="3" t="n">
        <v>0.2051</v>
      </c>
    </row>
    <row r="105" ht="20" customHeight="1">
      <c r="A105" s="3" t="inlineStr">
        <is>
          <t>Electricity for kitchen and refrigeration</t>
        </is>
      </c>
      <c r="B105" s="3" t="inlineStr">
        <is>
          <t>Electricity</t>
        </is>
      </c>
      <c r="C105" s="3" t="inlineStr">
        <is>
          <t>ELECTRICITY</t>
        </is>
      </c>
      <c r="D105" s="3" t="inlineStr">
        <is>
          <t>INSEE BDM 010777317: Indice mensuel des prix d'achat des moyens de production agricole (IPAMPA) - Electricité</t>
        </is>
      </c>
      <c r="E105" s="3" t="inlineStr">
        <is>
          <t>kWh</t>
        </is>
      </c>
      <c r="F105" s="3" t="n">
        <v>0.17</v>
      </c>
      <c r="G105" s="3" t="inlineStr">
        <is>
          <t>2023-05</t>
        </is>
      </c>
      <c r="H105" s="3" t="n">
        <v>0.2046</v>
      </c>
    </row>
    <row r="106" ht="20" customHeight="1">
      <c r="A106" s="3" t="inlineStr">
        <is>
          <t>Electricity for kitchen and refrigeration</t>
        </is>
      </c>
      <c r="B106" s="3" t="inlineStr">
        <is>
          <t>Electricity</t>
        </is>
      </c>
      <c r="C106" s="3" t="inlineStr">
        <is>
          <t>ELECTRICITY</t>
        </is>
      </c>
      <c r="D106" s="3" t="inlineStr">
        <is>
          <t>INSEE BDM 010777317: Indice mensuel des prix d'achat des moyens de production agricole (IPAMPA) - Electricité</t>
        </is>
      </c>
      <c r="E106" s="3" t="inlineStr">
        <is>
          <t>kWh</t>
        </is>
      </c>
      <c r="F106" s="3" t="n">
        <v>0.17</v>
      </c>
      <c r="G106" s="3" t="inlineStr">
        <is>
          <t>2023-06</t>
        </is>
      </c>
      <c r="H106" s="3" t="n">
        <v>0.2045</v>
      </c>
    </row>
    <row r="107" ht="20" customHeight="1">
      <c r="A107" s="3" t="inlineStr">
        <is>
          <t>Electricity for kitchen and refrigeration</t>
        </is>
      </c>
      <c r="B107" s="3" t="inlineStr">
        <is>
          <t>Electricity</t>
        </is>
      </c>
      <c r="C107" s="3" t="inlineStr">
        <is>
          <t>ELECTRICITY</t>
        </is>
      </c>
      <c r="D107" s="3" t="inlineStr">
        <is>
          <t>INSEE BDM 010777317: Indice mensuel des prix d'achat des moyens de production agricole (IPAMPA) - Electricité</t>
        </is>
      </c>
      <c r="E107" s="3" t="inlineStr">
        <is>
          <t>kWh</t>
        </is>
      </c>
      <c r="F107" s="3" t="n">
        <v>0.17</v>
      </c>
      <c r="G107" s="3" t="inlineStr">
        <is>
          <t>2023-07</t>
        </is>
      </c>
      <c r="H107" s="3" t="n">
        <v>0.2045</v>
      </c>
    </row>
    <row r="108" ht="20" customHeight="1">
      <c r="A108" s="3" t="inlineStr">
        <is>
          <t>Electricity for kitchen and refrigeration</t>
        </is>
      </c>
      <c r="B108" s="3" t="inlineStr">
        <is>
          <t>Electricity</t>
        </is>
      </c>
      <c r="C108" s="3" t="inlineStr">
        <is>
          <t>ELECTRICITY</t>
        </is>
      </c>
      <c r="D108" s="3" t="inlineStr">
        <is>
          <t>INSEE BDM 010777317: Indice mensuel des prix d'achat des moyens de production agricole (IPAMPA) - Electricité</t>
        </is>
      </c>
      <c r="E108" s="3" t="inlineStr">
        <is>
          <t>kWh</t>
        </is>
      </c>
      <c r="F108" s="3" t="n">
        <v>0.17</v>
      </c>
      <c r="G108" s="3" t="inlineStr">
        <is>
          <t>2023-08</t>
        </is>
      </c>
      <c r="H108" s="3" t="n">
        <v>0.2208</v>
      </c>
    </row>
    <row r="109" ht="20" customHeight="1">
      <c r="A109" s="3" t="inlineStr">
        <is>
          <t>Electricity for kitchen and refrigeration</t>
        </is>
      </c>
      <c r="B109" s="3" t="inlineStr">
        <is>
          <t>Electricity</t>
        </is>
      </c>
      <c r="C109" s="3" t="inlineStr">
        <is>
          <t>ELECTRICITY</t>
        </is>
      </c>
      <c r="D109" s="3" t="inlineStr">
        <is>
          <t>INSEE BDM 010777317: Indice mensuel des prix d'achat des moyens de production agricole (IPAMPA) - Electricité</t>
        </is>
      </c>
      <c r="E109" s="3" t="inlineStr">
        <is>
          <t>kWh</t>
        </is>
      </c>
      <c r="F109" s="3" t="n">
        <v>0.17</v>
      </c>
      <c r="G109" s="3" t="inlineStr">
        <is>
          <t>2023-09</t>
        </is>
      </c>
      <c r="H109" s="3" t="n">
        <v>0.2231</v>
      </c>
    </row>
    <row r="110" ht="20" customHeight="1">
      <c r="A110" s="3" t="inlineStr">
        <is>
          <t>Electricity for kitchen and refrigeration</t>
        </is>
      </c>
      <c r="B110" s="3" t="inlineStr">
        <is>
          <t>Electricity</t>
        </is>
      </c>
      <c r="C110" s="3" t="inlineStr">
        <is>
          <t>ELECTRICITY</t>
        </is>
      </c>
      <c r="D110" s="3" t="inlineStr">
        <is>
          <t>INSEE BDM 010777317: Indice mensuel des prix d'achat des moyens de production agricole (IPAMPA) - Electricité</t>
        </is>
      </c>
      <c r="E110" s="3" t="inlineStr">
        <is>
          <t>kWh</t>
        </is>
      </c>
      <c r="F110" s="3" t="n">
        <v>0.17</v>
      </c>
      <c r="G110" s="3" t="inlineStr">
        <is>
          <t>2023-10</t>
        </is>
      </c>
      <c r="H110" s="3" t="n">
        <v>0.2245</v>
      </c>
    </row>
    <row r="111" ht="20" customHeight="1">
      <c r="A111" s="3" t="inlineStr">
        <is>
          <t>Electricity for kitchen and refrigeration</t>
        </is>
      </c>
      <c r="B111" s="3" t="inlineStr">
        <is>
          <t>Electricity</t>
        </is>
      </c>
      <c r="C111" s="3" t="inlineStr">
        <is>
          <t>ELECTRICITY</t>
        </is>
      </c>
      <c r="D111" s="3" t="inlineStr">
        <is>
          <t>INSEE BDM 010777317: Indice mensuel des prix d'achat des moyens de production agricole (IPAMPA) - Electricité</t>
        </is>
      </c>
      <c r="E111" s="3" t="inlineStr">
        <is>
          <t>kWh</t>
        </is>
      </c>
      <c r="F111" s="3" t="n">
        <v>0.17</v>
      </c>
      <c r="G111" s="3" t="inlineStr">
        <is>
          <t>2023-11</t>
        </is>
      </c>
      <c r="H111" s="3" t="n">
        <v>0.2236</v>
      </c>
    </row>
    <row r="112" ht="20" customHeight="1">
      <c r="A112" s="3" t="inlineStr">
        <is>
          <t>Electricity for kitchen and refrigeration</t>
        </is>
      </c>
      <c r="B112" s="3" t="inlineStr">
        <is>
          <t>Electricity</t>
        </is>
      </c>
      <c r="C112" s="3" t="inlineStr">
        <is>
          <t>ELECTRICITY</t>
        </is>
      </c>
      <c r="D112" s="3" t="inlineStr">
        <is>
          <t>INSEE BDM 010777317: Indice mensuel des prix d'achat des moyens de production agricole (IPAMPA) - Electricité</t>
        </is>
      </c>
      <c r="E112" s="3" t="inlineStr">
        <is>
          <t>kWh</t>
        </is>
      </c>
      <c r="F112" s="3" t="n">
        <v>0.17</v>
      </c>
      <c r="G112" s="3" t="inlineStr">
        <is>
          <t>2023-12</t>
        </is>
      </c>
      <c r="H112" s="3" t="n">
        <v>0.2235</v>
      </c>
    </row>
    <row r="113" ht="20" customHeight="1">
      <c r="A113" s="3" t="inlineStr">
        <is>
          <t>Food purchases</t>
        </is>
      </c>
      <c r="B113" s="3" t="n"/>
      <c r="C113" s="3" t="inlineStr">
        <is>
          <t>FOOD_PRODUCTS</t>
        </is>
      </c>
      <c r="D113" s="3" t="inlineStr">
        <is>
          <t xml:space="preserve">INSEE BDM 010763739: Indice de prix de production de l'industrie française pour le marché français − CPF 10.8 − Autres produits alimentaires </t>
        </is>
      </c>
      <c r="E113" s="3" t="inlineStr">
        <is>
          <t>monthly package</t>
        </is>
      </c>
      <c r="F113" s="3" t="n">
        <v>10000</v>
      </c>
      <c r="G113" s="3" t="inlineStr">
        <is>
          <t>2021-01</t>
        </is>
      </c>
      <c r="H113" s="3" t="n">
        <v>10000</v>
      </c>
    </row>
    <row r="114" ht="20" customHeight="1">
      <c r="A114" s="3" t="inlineStr">
        <is>
          <t>Food purchases</t>
        </is>
      </c>
      <c r="B114" s="3" t="n"/>
      <c r="C114" s="3" t="inlineStr">
        <is>
          <t>FOOD_PRODUCTS</t>
        </is>
      </c>
      <c r="D114" s="3" t="inlineStr">
        <is>
          <t xml:space="preserve">INSEE BDM 010763739: Indice de prix de production de l'industrie française pour le marché français − CPF 10.8 − Autres produits alimentaires </t>
        </is>
      </c>
      <c r="E114" s="3" t="inlineStr">
        <is>
          <t>monthly package</t>
        </is>
      </c>
      <c r="F114" s="3" t="n">
        <v>10000</v>
      </c>
      <c r="G114" s="3" t="inlineStr">
        <is>
          <t>2021-02</t>
        </is>
      </c>
      <c r="H114" s="3" t="n">
        <v>9939.879800000001</v>
      </c>
    </row>
    <row r="115" ht="20" customHeight="1">
      <c r="A115" s="3" t="inlineStr">
        <is>
          <t>Food purchases</t>
        </is>
      </c>
      <c r="B115" s="3" t="n"/>
      <c r="C115" s="3" t="inlineStr">
        <is>
          <t>FOOD_PRODUCTS</t>
        </is>
      </c>
      <c r="D115" s="3" t="inlineStr">
        <is>
          <t xml:space="preserve">INSEE BDM 010763739: Indice de prix de production de l'industrie française pour le marché français − CPF 10.8 − Autres produits alimentaires </t>
        </is>
      </c>
      <c r="E115" s="3" t="inlineStr">
        <is>
          <t>monthly package</t>
        </is>
      </c>
      <c r="F115" s="3" t="n">
        <v>10000</v>
      </c>
      <c r="G115" s="3" t="inlineStr">
        <is>
          <t>2021-03</t>
        </is>
      </c>
      <c r="H115" s="3" t="n">
        <v>9979.9599</v>
      </c>
    </row>
    <row r="116" ht="20" customHeight="1">
      <c r="A116" s="3" t="inlineStr">
        <is>
          <t>Food purchases</t>
        </is>
      </c>
      <c r="B116" s="3" t="n"/>
      <c r="C116" s="3" t="inlineStr">
        <is>
          <t>FOOD_PRODUCTS</t>
        </is>
      </c>
      <c r="D116" s="3" t="inlineStr">
        <is>
          <t xml:space="preserve">INSEE BDM 010763739: Indice de prix de production de l'industrie française pour le marché français − CPF 10.8 − Autres produits alimentaires </t>
        </is>
      </c>
      <c r="E116" s="3" t="inlineStr">
        <is>
          <t>monthly package</t>
        </is>
      </c>
      <c r="F116" s="3" t="n">
        <v>10000</v>
      </c>
      <c r="G116" s="3" t="inlineStr">
        <is>
          <t>2021-04</t>
        </is>
      </c>
      <c r="H116" s="3" t="n">
        <v>9969.939899999999</v>
      </c>
    </row>
    <row r="117" ht="20" customHeight="1">
      <c r="A117" s="3" t="inlineStr">
        <is>
          <t>Food purchases</t>
        </is>
      </c>
      <c r="B117" s="3" t="n"/>
      <c r="C117" s="3" t="inlineStr">
        <is>
          <t>FOOD_PRODUCTS</t>
        </is>
      </c>
      <c r="D117" s="3" t="inlineStr">
        <is>
          <t xml:space="preserve">INSEE BDM 010763739: Indice de prix de production de l'industrie française pour le marché français − CPF 10.8 − Autres produits alimentaires </t>
        </is>
      </c>
      <c r="E117" s="3" t="inlineStr">
        <is>
          <t>monthly package</t>
        </is>
      </c>
      <c r="F117" s="3" t="n">
        <v>10000</v>
      </c>
      <c r="G117" s="3" t="inlineStr">
        <is>
          <t>2021-05</t>
        </is>
      </c>
      <c r="H117" s="3" t="n">
        <v>9989.98</v>
      </c>
    </row>
    <row r="118" ht="20" customHeight="1">
      <c r="A118" s="3" t="inlineStr">
        <is>
          <t>Food purchases</t>
        </is>
      </c>
      <c r="B118" s="3" t="n"/>
      <c r="C118" s="3" t="inlineStr">
        <is>
          <t>FOOD_PRODUCTS</t>
        </is>
      </c>
      <c r="D118" s="3" t="inlineStr">
        <is>
          <t xml:space="preserve">INSEE BDM 010763739: Indice de prix de production de l'industrie française pour le marché français − CPF 10.8 − Autres produits alimentaires </t>
        </is>
      </c>
      <c r="E118" s="3" t="inlineStr">
        <is>
          <t>monthly package</t>
        </is>
      </c>
      <c r="F118" s="3" t="n">
        <v>10000</v>
      </c>
      <c r="G118" s="3" t="inlineStr">
        <is>
          <t>2021-06</t>
        </is>
      </c>
      <c r="H118" s="3" t="n">
        <v>10000</v>
      </c>
    </row>
    <row r="119" ht="20" customHeight="1">
      <c r="A119" s="3" t="inlineStr">
        <is>
          <t>Food purchases</t>
        </is>
      </c>
      <c r="B119" s="3" t="n"/>
      <c r="C119" s="3" t="inlineStr">
        <is>
          <t>FOOD_PRODUCTS</t>
        </is>
      </c>
      <c r="D119" s="3" t="inlineStr">
        <is>
          <t xml:space="preserve">INSEE BDM 010763739: Indice de prix de production de l'industrie française pour le marché français − CPF 10.8 − Autres produits alimentaires </t>
        </is>
      </c>
      <c r="E119" s="3" t="inlineStr">
        <is>
          <t>monthly package</t>
        </is>
      </c>
      <c r="F119" s="3" t="n">
        <v>10000</v>
      </c>
      <c r="G119" s="3" t="inlineStr">
        <is>
          <t>2021-07</t>
        </is>
      </c>
      <c r="H119" s="3" t="n">
        <v>9959.9198</v>
      </c>
    </row>
    <row r="120" ht="20" customHeight="1">
      <c r="A120" s="3" t="inlineStr">
        <is>
          <t>Food purchases</t>
        </is>
      </c>
      <c r="B120" s="3" t="n"/>
      <c r="C120" s="3" t="inlineStr">
        <is>
          <t>FOOD_PRODUCTS</t>
        </is>
      </c>
      <c r="D120" s="3" t="inlineStr">
        <is>
          <t xml:space="preserve">INSEE BDM 010763739: Indice de prix de production de l'industrie française pour le marché français − CPF 10.8 − Autres produits alimentaires </t>
        </is>
      </c>
      <c r="E120" s="3" t="inlineStr">
        <is>
          <t>monthly package</t>
        </is>
      </c>
      <c r="F120" s="3" t="n">
        <v>10000</v>
      </c>
      <c r="G120" s="3" t="inlineStr">
        <is>
          <t>2021-08</t>
        </is>
      </c>
      <c r="H120" s="3" t="n">
        <v>9969.939899999999</v>
      </c>
    </row>
    <row r="121" ht="20" customHeight="1">
      <c r="A121" s="3" t="inlineStr">
        <is>
          <t>Food purchases</t>
        </is>
      </c>
      <c r="B121" s="3" t="n"/>
      <c r="C121" s="3" t="inlineStr">
        <is>
          <t>FOOD_PRODUCTS</t>
        </is>
      </c>
      <c r="D121" s="3" t="inlineStr">
        <is>
          <t xml:space="preserve">INSEE BDM 010763739: Indice de prix de production de l'industrie française pour le marché français − CPF 10.8 − Autres produits alimentaires </t>
        </is>
      </c>
      <c r="E121" s="3" t="inlineStr">
        <is>
          <t>monthly package</t>
        </is>
      </c>
      <c r="F121" s="3" t="n">
        <v>10000</v>
      </c>
      <c r="G121" s="3" t="inlineStr">
        <is>
          <t>2021-09</t>
        </is>
      </c>
      <c r="H121" s="3" t="n">
        <v>10040.0802</v>
      </c>
    </row>
    <row r="122" ht="20" customHeight="1">
      <c r="A122" s="3" t="inlineStr">
        <is>
          <t>Food purchases</t>
        </is>
      </c>
      <c r="B122" s="3" t="n"/>
      <c r="C122" s="3" t="inlineStr">
        <is>
          <t>FOOD_PRODUCTS</t>
        </is>
      </c>
      <c r="D122" s="3" t="inlineStr">
        <is>
          <t xml:space="preserve">INSEE BDM 010763739: Indice de prix de production de l'industrie française pour le marché français − CPF 10.8 − Autres produits alimentaires </t>
        </is>
      </c>
      <c r="E122" s="3" t="inlineStr">
        <is>
          <t>monthly package</t>
        </is>
      </c>
      <c r="F122" s="3" t="n">
        <v>10000</v>
      </c>
      <c r="G122" s="3" t="inlineStr">
        <is>
          <t>2021-10</t>
        </is>
      </c>
      <c r="H122" s="3" t="n">
        <v>10100.2004</v>
      </c>
    </row>
    <row r="123" ht="20" customHeight="1">
      <c r="A123" s="3" t="inlineStr">
        <is>
          <t>Food purchases</t>
        </is>
      </c>
      <c r="B123" s="3" t="n"/>
      <c r="C123" s="3" t="inlineStr">
        <is>
          <t>FOOD_PRODUCTS</t>
        </is>
      </c>
      <c r="D123" s="3" t="inlineStr">
        <is>
          <t xml:space="preserve">INSEE BDM 010763739: Indice de prix de production de l'industrie française pour le marché français − CPF 10.8 − Autres produits alimentaires </t>
        </is>
      </c>
      <c r="E123" s="3" t="inlineStr">
        <is>
          <t>monthly package</t>
        </is>
      </c>
      <c r="F123" s="3" t="n">
        <v>10000</v>
      </c>
      <c r="G123" s="3" t="inlineStr">
        <is>
          <t>2021-11</t>
        </is>
      </c>
      <c r="H123" s="3" t="n">
        <v>10160.3206</v>
      </c>
    </row>
    <row r="124" ht="20" customHeight="1">
      <c r="A124" s="3" t="inlineStr">
        <is>
          <t>Food purchases</t>
        </is>
      </c>
      <c r="B124" s="3" t="n"/>
      <c r="C124" s="3" t="inlineStr">
        <is>
          <t>FOOD_PRODUCTS</t>
        </is>
      </c>
      <c r="D124" s="3" t="inlineStr">
        <is>
          <t xml:space="preserve">INSEE BDM 010763739: Indice de prix de production de l'industrie française pour le marché français − CPF 10.8 − Autres produits alimentaires </t>
        </is>
      </c>
      <c r="E124" s="3" t="inlineStr">
        <is>
          <t>monthly package</t>
        </is>
      </c>
      <c r="F124" s="3" t="n">
        <v>10000</v>
      </c>
      <c r="G124" s="3" t="inlineStr">
        <is>
          <t>2021-12</t>
        </is>
      </c>
      <c r="H124" s="3" t="n">
        <v>10140.2806</v>
      </c>
    </row>
    <row r="125" ht="20" customHeight="1">
      <c r="A125" s="3" t="inlineStr">
        <is>
          <t>Food purchases</t>
        </is>
      </c>
      <c r="B125" s="3" t="n"/>
      <c r="C125" s="3" t="inlineStr">
        <is>
          <t>FOOD_PRODUCTS</t>
        </is>
      </c>
      <c r="D125" s="3" t="inlineStr">
        <is>
          <t xml:space="preserve">INSEE BDM 010763739: Indice de prix de production de l'industrie française pour le marché français − CPF 10.8 − Autres produits alimentaires </t>
        </is>
      </c>
      <c r="E125" s="3" t="inlineStr">
        <is>
          <t>monthly package</t>
        </is>
      </c>
      <c r="F125" s="3" t="n">
        <v>10000</v>
      </c>
      <c r="G125" s="3" t="inlineStr">
        <is>
          <t>2022-01</t>
        </is>
      </c>
      <c r="H125" s="3" t="n">
        <v>10320.6413</v>
      </c>
    </row>
    <row r="126" ht="20" customHeight="1">
      <c r="A126" s="3" t="inlineStr">
        <is>
          <t>Food purchases</t>
        </is>
      </c>
      <c r="B126" s="3" t="n"/>
      <c r="C126" s="3" t="inlineStr">
        <is>
          <t>FOOD_PRODUCTS</t>
        </is>
      </c>
      <c r="D126" s="3" t="inlineStr">
        <is>
          <t xml:space="preserve">INSEE BDM 010763739: Indice de prix de production de l'industrie française pour le marché français − CPF 10.8 − Autres produits alimentaires </t>
        </is>
      </c>
      <c r="E126" s="3" t="inlineStr">
        <is>
          <t>monthly package</t>
        </is>
      </c>
      <c r="F126" s="3" t="n">
        <v>10000</v>
      </c>
      <c r="G126" s="3" t="inlineStr">
        <is>
          <t>2022-02</t>
        </is>
      </c>
      <c r="H126" s="3" t="n">
        <v>10460.9218</v>
      </c>
    </row>
    <row r="127" ht="20" customHeight="1">
      <c r="A127" s="3" t="inlineStr">
        <is>
          <t>Food purchases</t>
        </is>
      </c>
      <c r="B127" s="3" t="n"/>
      <c r="C127" s="3" t="inlineStr">
        <is>
          <t>FOOD_PRODUCTS</t>
        </is>
      </c>
      <c r="D127" s="3" t="inlineStr">
        <is>
          <t xml:space="preserve">INSEE BDM 010763739: Indice de prix de production de l'industrie française pour le marché français − CPF 10.8 − Autres produits alimentaires </t>
        </is>
      </c>
      <c r="E127" s="3" t="inlineStr">
        <is>
          <t>monthly package</t>
        </is>
      </c>
      <c r="F127" s="3" t="n">
        <v>10000</v>
      </c>
      <c r="G127" s="3" t="inlineStr">
        <is>
          <t>2022-03</t>
        </is>
      </c>
      <c r="H127" s="3" t="n">
        <v>10781.5631</v>
      </c>
    </row>
    <row r="128" ht="20" customHeight="1">
      <c r="A128" s="3" t="inlineStr">
        <is>
          <t>Food purchases</t>
        </is>
      </c>
      <c r="B128" s="3" t="n"/>
      <c r="C128" s="3" t="inlineStr">
        <is>
          <t>FOOD_PRODUCTS</t>
        </is>
      </c>
      <c r="D128" s="3" t="inlineStr">
        <is>
          <t xml:space="preserve">INSEE BDM 010763739: Indice de prix de production de l'industrie française pour le marché français − CPF 10.8 − Autres produits alimentaires </t>
        </is>
      </c>
      <c r="E128" s="3" t="inlineStr">
        <is>
          <t>monthly package</t>
        </is>
      </c>
      <c r="F128" s="3" t="n">
        <v>10000</v>
      </c>
      <c r="G128" s="3" t="inlineStr">
        <is>
          <t>2022-04</t>
        </is>
      </c>
      <c r="H128" s="3" t="n">
        <v>11292.5852</v>
      </c>
    </row>
    <row r="129" ht="20" customHeight="1">
      <c r="A129" s="3" t="inlineStr">
        <is>
          <t>Food purchases</t>
        </is>
      </c>
      <c r="B129" s="3" t="n"/>
      <c r="C129" s="3" t="inlineStr">
        <is>
          <t>FOOD_PRODUCTS</t>
        </is>
      </c>
      <c r="D129" s="3" t="inlineStr">
        <is>
          <t xml:space="preserve">INSEE BDM 010763739: Indice de prix de production de l'industrie française pour le marché français − CPF 10.8 − Autres produits alimentaires </t>
        </is>
      </c>
      <c r="E129" s="3" t="inlineStr">
        <is>
          <t>monthly package</t>
        </is>
      </c>
      <c r="F129" s="3" t="n">
        <v>10000</v>
      </c>
      <c r="G129" s="3" t="inlineStr">
        <is>
          <t>2022-05</t>
        </is>
      </c>
      <c r="H129" s="3" t="n">
        <v>11402.8056</v>
      </c>
    </row>
    <row r="130" ht="20" customHeight="1">
      <c r="A130" s="3" t="inlineStr">
        <is>
          <t>Food purchases</t>
        </is>
      </c>
      <c r="B130" s="3" t="n"/>
      <c r="C130" s="3" t="inlineStr">
        <is>
          <t>FOOD_PRODUCTS</t>
        </is>
      </c>
      <c r="D130" s="3" t="inlineStr">
        <is>
          <t xml:space="preserve">INSEE BDM 010763739: Indice de prix de production de l'industrie française pour le marché français − CPF 10.8 − Autres produits alimentaires </t>
        </is>
      </c>
      <c r="E130" s="3" t="inlineStr">
        <is>
          <t>monthly package</t>
        </is>
      </c>
      <c r="F130" s="3" t="n">
        <v>10000</v>
      </c>
      <c r="G130" s="3" t="inlineStr">
        <is>
          <t>2022-06</t>
        </is>
      </c>
      <c r="H130" s="3" t="n">
        <v>11543.0862</v>
      </c>
    </row>
    <row r="131" ht="20" customHeight="1">
      <c r="A131" s="3" t="inlineStr">
        <is>
          <t>Food purchases</t>
        </is>
      </c>
      <c r="B131" s="3" t="n"/>
      <c r="C131" s="3" t="inlineStr">
        <is>
          <t>FOOD_PRODUCTS</t>
        </is>
      </c>
      <c r="D131" s="3" t="inlineStr">
        <is>
          <t xml:space="preserve">INSEE BDM 010763739: Indice de prix de production de l'industrie française pour le marché français − CPF 10.8 − Autres produits alimentaires </t>
        </is>
      </c>
      <c r="E131" s="3" t="inlineStr">
        <is>
          <t>monthly package</t>
        </is>
      </c>
      <c r="F131" s="3" t="n">
        <v>10000</v>
      </c>
      <c r="G131" s="3" t="inlineStr">
        <is>
          <t>2022-07</t>
        </is>
      </c>
      <c r="H131" s="3" t="n">
        <v>11713.4269</v>
      </c>
    </row>
    <row r="132" ht="20" customHeight="1">
      <c r="A132" s="3" t="inlineStr">
        <is>
          <t>Food purchases</t>
        </is>
      </c>
      <c r="B132" s="3" t="n"/>
      <c r="C132" s="3" t="inlineStr">
        <is>
          <t>FOOD_PRODUCTS</t>
        </is>
      </c>
      <c r="D132" s="3" t="inlineStr">
        <is>
          <t xml:space="preserve">INSEE BDM 010763739: Indice de prix de production de l'industrie française pour le marché français − CPF 10.8 − Autres produits alimentaires </t>
        </is>
      </c>
      <c r="E132" s="3" t="inlineStr">
        <is>
          <t>monthly package</t>
        </is>
      </c>
      <c r="F132" s="3" t="n">
        <v>10000</v>
      </c>
      <c r="G132" s="3" t="inlineStr">
        <is>
          <t>2022-08</t>
        </is>
      </c>
      <c r="H132" s="3" t="n">
        <v>11873.7475</v>
      </c>
    </row>
    <row r="133" ht="20" customHeight="1">
      <c r="A133" s="3" t="inlineStr">
        <is>
          <t>Food purchases</t>
        </is>
      </c>
      <c r="B133" s="3" t="n"/>
      <c r="C133" s="3" t="inlineStr">
        <is>
          <t>FOOD_PRODUCTS</t>
        </is>
      </c>
      <c r="D133" s="3" t="inlineStr">
        <is>
          <t xml:space="preserve">INSEE BDM 010763739: Indice de prix de production de l'industrie française pour le marché français − CPF 10.8 − Autres produits alimentaires </t>
        </is>
      </c>
      <c r="E133" s="3" t="inlineStr">
        <is>
          <t>monthly package</t>
        </is>
      </c>
      <c r="F133" s="3" t="n">
        <v>10000</v>
      </c>
      <c r="G133" s="3" t="inlineStr">
        <is>
          <t>2022-09</t>
        </is>
      </c>
      <c r="H133" s="3" t="n">
        <v>11943.8878</v>
      </c>
    </row>
    <row r="134" ht="20" customHeight="1">
      <c r="A134" s="3" t="inlineStr">
        <is>
          <t>Food purchases</t>
        </is>
      </c>
      <c r="B134" s="3" t="n"/>
      <c r="C134" s="3" t="inlineStr">
        <is>
          <t>FOOD_PRODUCTS</t>
        </is>
      </c>
      <c r="D134" s="3" t="inlineStr">
        <is>
          <t xml:space="preserve">INSEE BDM 010763739: Indice de prix de production de l'industrie française pour le marché français − CPF 10.8 − Autres produits alimentaires </t>
        </is>
      </c>
      <c r="E134" s="3" t="inlineStr">
        <is>
          <t>monthly package</t>
        </is>
      </c>
      <c r="F134" s="3" t="n">
        <v>10000</v>
      </c>
      <c r="G134" s="3" t="inlineStr">
        <is>
          <t>2022-10</t>
        </is>
      </c>
      <c r="H134" s="3" t="n">
        <v>12294.5892</v>
      </c>
    </row>
    <row r="135" ht="20" customHeight="1">
      <c r="A135" s="3" t="inlineStr">
        <is>
          <t>Food purchases</t>
        </is>
      </c>
      <c r="B135" s="3" t="n"/>
      <c r="C135" s="3" t="inlineStr">
        <is>
          <t>FOOD_PRODUCTS</t>
        </is>
      </c>
      <c r="D135" s="3" t="inlineStr">
        <is>
          <t xml:space="preserve">INSEE BDM 010763739: Indice de prix de production de l'industrie française pour le marché français − CPF 10.8 − Autres produits alimentaires </t>
        </is>
      </c>
      <c r="E135" s="3" t="inlineStr">
        <is>
          <t>monthly package</t>
        </is>
      </c>
      <c r="F135" s="3" t="n">
        <v>10000</v>
      </c>
      <c r="G135" s="3" t="inlineStr">
        <is>
          <t>2022-11</t>
        </is>
      </c>
      <c r="H135" s="3" t="n">
        <v>12474.9499</v>
      </c>
    </row>
    <row r="136" ht="20" customHeight="1">
      <c r="A136" s="3" t="inlineStr">
        <is>
          <t>Food purchases</t>
        </is>
      </c>
      <c r="B136" s="3" t="n"/>
      <c r="C136" s="3" t="inlineStr">
        <is>
          <t>FOOD_PRODUCTS</t>
        </is>
      </c>
      <c r="D136" s="3" t="inlineStr">
        <is>
          <t xml:space="preserve">INSEE BDM 010763739: Indice de prix de production de l'industrie française pour le marché français − CPF 10.8 − Autres produits alimentaires </t>
        </is>
      </c>
      <c r="E136" s="3" t="inlineStr">
        <is>
          <t>monthly package</t>
        </is>
      </c>
      <c r="F136" s="3" t="n">
        <v>10000</v>
      </c>
      <c r="G136" s="3" t="inlineStr">
        <is>
          <t>2022-12</t>
        </is>
      </c>
      <c r="H136" s="3" t="n">
        <v>12735.4709</v>
      </c>
    </row>
    <row r="137" ht="20" customHeight="1">
      <c r="A137" s="3" t="inlineStr">
        <is>
          <t>Food purchases</t>
        </is>
      </c>
      <c r="B137" s="3" t="n"/>
      <c r="C137" s="3" t="inlineStr">
        <is>
          <t>FOOD_PRODUCTS</t>
        </is>
      </c>
      <c r="D137" s="3" t="inlineStr">
        <is>
          <t xml:space="preserve">INSEE BDM 010763739: Indice de prix de production de l'industrie française pour le marché français − CPF 10.8 − Autres produits alimentaires </t>
        </is>
      </c>
      <c r="E137" s="3" t="inlineStr">
        <is>
          <t>monthly package</t>
        </is>
      </c>
      <c r="F137" s="3" t="n">
        <v>10000</v>
      </c>
      <c r="G137" s="3" t="inlineStr">
        <is>
          <t>2023-01</t>
        </is>
      </c>
      <c r="H137" s="3" t="n">
        <v>13156.3126</v>
      </c>
    </row>
    <row r="138" ht="20" customHeight="1">
      <c r="A138" s="3" t="inlineStr">
        <is>
          <t>Food purchases</t>
        </is>
      </c>
      <c r="B138" s="3" t="n"/>
      <c r="C138" s="3" t="inlineStr">
        <is>
          <t>FOOD_PRODUCTS</t>
        </is>
      </c>
      <c r="D138" s="3" t="inlineStr">
        <is>
          <t xml:space="preserve">INSEE BDM 010763739: Indice de prix de production de l'industrie française pour le marché français − CPF 10.8 − Autres produits alimentaires </t>
        </is>
      </c>
      <c r="E138" s="3" t="inlineStr">
        <is>
          <t>monthly package</t>
        </is>
      </c>
      <c r="F138" s="3" t="n">
        <v>10000</v>
      </c>
      <c r="G138" s="3" t="inlineStr">
        <is>
          <t>2023-02</t>
        </is>
      </c>
      <c r="H138" s="3" t="n">
        <v>13356.7134</v>
      </c>
    </row>
    <row r="139" ht="20" customHeight="1">
      <c r="A139" s="3" t="inlineStr">
        <is>
          <t>Food purchases</t>
        </is>
      </c>
      <c r="B139" s="3" t="n"/>
      <c r="C139" s="3" t="inlineStr">
        <is>
          <t>FOOD_PRODUCTS</t>
        </is>
      </c>
      <c r="D139" s="3" t="inlineStr">
        <is>
          <t xml:space="preserve">INSEE BDM 010763739: Indice de prix de production de l'industrie française pour le marché français − CPF 10.8 − Autres produits alimentaires </t>
        </is>
      </c>
      <c r="E139" s="3" t="inlineStr">
        <is>
          <t>monthly package</t>
        </is>
      </c>
      <c r="F139" s="3" t="n">
        <v>10000</v>
      </c>
      <c r="G139" s="3" t="inlineStr">
        <is>
          <t>2023-03</t>
        </is>
      </c>
      <c r="H139" s="3" t="n">
        <v>13617.2345</v>
      </c>
    </row>
    <row r="140" ht="20" customHeight="1">
      <c r="A140" s="3" t="inlineStr">
        <is>
          <t>Food purchases</t>
        </is>
      </c>
      <c r="B140" s="3" t="n"/>
      <c r="C140" s="3" t="inlineStr">
        <is>
          <t>FOOD_PRODUCTS</t>
        </is>
      </c>
      <c r="D140" s="3" t="inlineStr">
        <is>
          <t xml:space="preserve">INSEE BDM 010763739: Indice de prix de production de l'industrie française pour le marché français − CPF 10.8 − Autres produits alimentaires </t>
        </is>
      </c>
      <c r="E140" s="3" t="inlineStr">
        <is>
          <t>monthly package</t>
        </is>
      </c>
      <c r="F140" s="3" t="n">
        <v>10000</v>
      </c>
      <c r="G140" s="3" t="inlineStr">
        <is>
          <t>2023-04</t>
        </is>
      </c>
      <c r="H140" s="3" t="n">
        <v>13837.6754</v>
      </c>
    </row>
    <row r="141" ht="20" customHeight="1">
      <c r="A141" s="3" t="inlineStr">
        <is>
          <t>Food purchases</t>
        </is>
      </c>
      <c r="B141" s="3" t="n"/>
      <c r="C141" s="3" t="inlineStr">
        <is>
          <t>FOOD_PRODUCTS</t>
        </is>
      </c>
      <c r="D141" s="3" t="inlineStr">
        <is>
          <t xml:space="preserve">INSEE BDM 010763739: Indice de prix de production de l'industrie française pour le marché français − CPF 10.8 − Autres produits alimentaires </t>
        </is>
      </c>
      <c r="E141" s="3" t="inlineStr">
        <is>
          <t>monthly package</t>
        </is>
      </c>
      <c r="F141" s="3" t="n">
        <v>10000</v>
      </c>
      <c r="G141" s="3" t="inlineStr">
        <is>
          <t>2023-05</t>
        </is>
      </c>
      <c r="H141" s="3" t="n">
        <v>13847.6954</v>
      </c>
    </row>
    <row r="142" ht="20" customHeight="1">
      <c r="A142" s="3" t="inlineStr">
        <is>
          <t>Food purchases</t>
        </is>
      </c>
      <c r="B142" s="3" t="n"/>
      <c r="C142" s="3" t="inlineStr">
        <is>
          <t>FOOD_PRODUCTS</t>
        </is>
      </c>
      <c r="D142" s="3" t="inlineStr">
        <is>
          <t xml:space="preserve">INSEE BDM 010763739: Indice de prix de production de l'industrie française pour le marché français − CPF 10.8 − Autres produits alimentaires </t>
        </is>
      </c>
      <c r="E142" s="3" t="inlineStr">
        <is>
          <t>monthly package</t>
        </is>
      </c>
      <c r="F142" s="3" t="n">
        <v>10000</v>
      </c>
      <c r="G142" s="3" t="inlineStr">
        <is>
          <t>2023-06</t>
        </is>
      </c>
      <c r="H142" s="3" t="n">
        <v>13847.6954</v>
      </c>
    </row>
    <row r="143" ht="20" customHeight="1">
      <c r="A143" s="3" t="inlineStr">
        <is>
          <t>Food purchases</t>
        </is>
      </c>
      <c r="B143" s="3" t="n"/>
      <c r="C143" s="3" t="inlineStr">
        <is>
          <t>FOOD_PRODUCTS</t>
        </is>
      </c>
      <c r="D143" s="3" t="inlineStr">
        <is>
          <t xml:space="preserve">INSEE BDM 010763739: Indice de prix de production de l'industrie française pour le marché français − CPF 10.8 − Autres produits alimentaires </t>
        </is>
      </c>
      <c r="E143" s="3" t="inlineStr">
        <is>
          <t>monthly package</t>
        </is>
      </c>
      <c r="F143" s="3" t="n">
        <v>10000</v>
      </c>
      <c r="G143" s="3" t="inlineStr">
        <is>
          <t>2023-07</t>
        </is>
      </c>
      <c r="H143" s="3" t="n">
        <v>13677.3547</v>
      </c>
    </row>
    <row r="144" ht="20" customHeight="1">
      <c r="A144" s="3" t="inlineStr">
        <is>
          <t>Food purchases</t>
        </is>
      </c>
      <c r="B144" s="3" t="n"/>
      <c r="C144" s="3" t="inlineStr">
        <is>
          <t>FOOD_PRODUCTS</t>
        </is>
      </c>
      <c r="D144" s="3" t="inlineStr">
        <is>
          <t xml:space="preserve">INSEE BDM 010763739: Indice de prix de production de l'industrie française pour le marché français − CPF 10.8 − Autres produits alimentaires </t>
        </is>
      </c>
      <c r="E144" s="3" t="inlineStr">
        <is>
          <t>monthly package</t>
        </is>
      </c>
      <c r="F144" s="3" t="n">
        <v>10000</v>
      </c>
      <c r="G144" s="3" t="inlineStr">
        <is>
          <t>2023-08</t>
        </is>
      </c>
      <c r="H144" s="3" t="n">
        <v>13747.495</v>
      </c>
    </row>
    <row r="145" ht="20" customHeight="1">
      <c r="A145" s="3" t="inlineStr">
        <is>
          <t>Food purchases</t>
        </is>
      </c>
      <c r="B145" s="3" t="n"/>
      <c r="C145" s="3" t="inlineStr">
        <is>
          <t>FOOD_PRODUCTS</t>
        </is>
      </c>
      <c r="D145" s="3" t="inlineStr">
        <is>
          <t xml:space="preserve">INSEE BDM 010763739: Indice de prix de production de l'industrie française pour le marché français − CPF 10.8 − Autres produits alimentaires </t>
        </is>
      </c>
      <c r="E145" s="3" t="inlineStr">
        <is>
          <t>monthly package</t>
        </is>
      </c>
      <c r="F145" s="3" t="n">
        <v>10000</v>
      </c>
      <c r="G145" s="3" t="inlineStr">
        <is>
          <t>2023-09</t>
        </is>
      </c>
      <c r="H145" s="3" t="n">
        <v>13657.3146</v>
      </c>
    </row>
    <row r="146" ht="20" customHeight="1">
      <c r="A146" s="3" t="inlineStr">
        <is>
          <t>Food purchases</t>
        </is>
      </c>
      <c r="B146" s="3" t="n"/>
      <c r="C146" s="3" t="inlineStr">
        <is>
          <t>FOOD_PRODUCTS</t>
        </is>
      </c>
      <c r="D146" s="3" t="inlineStr">
        <is>
          <t xml:space="preserve">INSEE BDM 010763739: Indice de prix de production de l'industrie française pour le marché français − CPF 10.8 − Autres produits alimentaires </t>
        </is>
      </c>
      <c r="E146" s="3" t="inlineStr">
        <is>
          <t>monthly package</t>
        </is>
      </c>
      <c r="F146" s="3" t="n">
        <v>10000</v>
      </c>
      <c r="G146" s="3" t="inlineStr">
        <is>
          <t>2023-10</t>
        </is>
      </c>
      <c r="H146" s="3" t="n">
        <v>13707.4148</v>
      </c>
    </row>
    <row r="147" ht="20" customHeight="1">
      <c r="A147" s="3" t="inlineStr">
        <is>
          <t>Food purchases</t>
        </is>
      </c>
      <c r="B147" s="3" t="n"/>
      <c r="C147" s="3" t="inlineStr">
        <is>
          <t>FOOD_PRODUCTS</t>
        </is>
      </c>
      <c r="D147" s="3" t="inlineStr">
        <is>
          <t xml:space="preserve">INSEE BDM 010763739: Indice de prix de production de l'industrie française pour le marché français − CPF 10.8 − Autres produits alimentaires </t>
        </is>
      </c>
      <c r="E147" s="3" t="inlineStr">
        <is>
          <t>monthly package</t>
        </is>
      </c>
      <c r="F147" s="3" t="n">
        <v>10000</v>
      </c>
      <c r="G147" s="3" t="inlineStr">
        <is>
          <t>2023-11</t>
        </is>
      </c>
      <c r="H147" s="3" t="n">
        <v>13747.495</v>
      </c>
    </row>
    <row r="148" ht="20" customHeight="1">
      <c r="A148" s="3" t="inlineStr">
        <is>
          <t>Food purchases</t>
        </is>
      </c>
      <c r="B148" s="3" t="n"/>
      <c r="C148" s="3" t="inlineStr">
        <is>
          <t>FOOD_PRODUCTS</t>
        </is>
      </c>
      <c r="D148" s="3" t="inlineStr">
        <is>
          <t xml:space="preserve">INSEE BDM 010763739: Indice de prix de production de l'industrie française pour le marché français − CPF 10.8 − Autres produits alimentaires </t>
        </is>
      </c>
      <c r="E148" s="3" t="inlineStr">
        <is>
          <t>monthly package</t>
        </is>
      </c>
      <c r="F148" s="3" t="n">
        <v>10000</v>
      </c>
      <c r="G148" s="3" t="inlineStr">
        <is>
          <t>2023-12</t>
        </is>
      </c>
      <c r="H148" s="3" t="n">
        <v>13777.5551</v>
      </c>
    </row>
    <row r="149" ht="20" customHeight="1">
      <c r="A149" s="3" t="inlineStr">
        <is>
          <t>Kitchen and service payroll</t>
        </is>
      </c>
      <c r="B149" s="3" t="n"/>
      <c r="C149" s="3" t="inlineStr">
        <is>
          <t>LABOR_HOSPITALITY</t>
        </is>
      </c>
      <c r="D149" s="3" t="inlineStr">
        <is>
          <t xml:space="preserve">INSEE BDM 010762009: Indice du coût du travail - Coût horaire - Hébergement, restauration (NAF rév. 2 section I) - Base 100 en 2020 </t>
        </is>
      </c>
      <c r="E149" s="3" t="inlineStr">
        <is>
          <t>monthly package</t>
        </is>
      </c>
      <c r="F149" s="3" t="n">
        <v>16000</v>
      </c>
      <c r="G149" s="3" t="inlineStr">
        <is>
          <t>2021-01</t>
        </is>
      </c>
      <c r="H149" s="3" t="n">
        <v>16000</v>
      </c>
    </row>
    <row r="150" ht="20" customHeight="1">
      <c r="A150" s="3" t="inlineStr">
        <is>
          <t>Kitchen and service payroll</t>
        </is>
      </c>
      <c r="B150" s="3" t="n"/>
      <c r="C150" s="3" t="inlineStr">
        <is>
          <t>LABOR_HOSPITALITY</t>
        </is>
      </c>
      <c r="D150" s="3" t="inlineStr">
        <is>
          <t xml:space="preserve">INSEE BDM 010762009: Indice du coût du travail - Coût horaire - Hébergement, restauration (NAF rév. 2 section I) - Base 100 en 2020 </t>
        </is>
      </c>
      <c r="E150" s="3" t="inlineStr">
        <is>
          <t>monthly package</t>
        </is>
      </c>
      <c r="F150" s="3" t="n">
        <v>16000</v>
      </c>
      <c r="G150" s="3" t="inlineStr">
        <is>
          <t>2021-02</t>
        </is>
      </c>
      <c r="H150" s="3" t="n">
        <v>16000</v>
      </c>
    </row>
    <row r="151" ht="20" customHeight="1">
      <c r="A151" s="3" t="inlineStr">
        <is>
          <t>Kitchen and service payroll</t>
        </is>
      </c>
      <c r="B151" s="3" t="n"/>
      <c r="C151" s="3" t="inlineStr">
        <is>
          <t>LABOR_HOSPITALITY</t>
        </is>
      </c>
      <c r="D151" s="3" t="inlineStr">
        <is>
          <t xml:space="preserve">INSEE BDM 010762009: Indice du coût du travail - Coût horaire - Hébergement, restauration (NAF rév. 2 section I) - Base 100 en 2020 </t>
        </is>
      </c>
      <c r="E151" s="3" t="inlineStr">
        <is>
          <t>monthly package</t>
        </is>
      </c>
      <c r="F151" s="3" t="n">
        <v>16000</v>
      </c>
      <c r="G151" s="3" t="inlineStr">
        <is>
          <t>2021-03</t>
        </is>
      </c>
      <c r="H151" s="3" t="n">
        <v>16000</v>
      </c>
    </row>
    <row r="152" ht="20" customHeight="1">
      <c r="A152" s="3" t="inlineStr">
        <is>
          <t>Kitchen and service payroll</t>
        </is>
      </c>
      <c r="B152" s="3" t="n"/>
      <c r="C152" s="3" t="inlineStr">
        <is>
          <t>LABOR_HOSPITALITY</t>
        </is>
      </c>
      <c r="D152" s="3" t="inlineStr">
        <is>
          <t xml:space="preserve">INSEE BDM 010762009: Indice du coût du travail - Coût horaire - Hébergement, restauration (NAF rév. 2 section I) - Base 100 en 2020 </t>
        </is>
      </c>
      <c r="E152" s="3" t="inlineStr">
        <is>
          <t>monthly package</t>
        </is>
      </c>
      <c r="F152" s="3" t="n">
        <v>16000</v>
      </c>
      <c r="G152" s="3" t="inlineStr">
        <is>
          <t>2021-04</t>
        </is>
      </c>
      <c r="H152" s="3" t="n">
        <v>16000</v>
      </c>
    </row>
    <row r="153" ht="20" customHeight="1">
      <c r="A153" s="3" t="inlineStr">
        <is>
          <t>Kitchen and service payroll</t>
        </is>
      </c>
      <c r="B153" s="3" t="n"/>
      <c r="C153" s="3" t="inlineStr">
        <is>
          <t>LABOR_HOSPITALITY</t>
        </is>
      </c>
      <c r="D153" s="3" t="inlineStr">
        <is>
          <t xml:space="preserve">INSEE BDM 010762009: Indice du coût du travail - Coût horaire - Hébergement, restauration (NAF rév. 2 section I) - Base 100 en 2020 </t>
        </is>
      </c>
      <c r="E153" s="3" t="inlineStr">
        <is>
          <t>monthly package</t>
        </is>
      </c>
      <c r="F153" s="3" t="n">
        <v>16000</v>
      </c>
      <c r="G153" s="3" t="inlineStr">
        <is>
          <t>2021-05</t>
        </is>
      </c>
      <c r="H153" s="3" t="n">
        <v>16000</v>
      </c>
    </row>
    <row r="154" ht="20" customHeight="1">
      <c r="A154" s="3" t="inlineStr">
        <is>
          <t>Kitchen and service payroll</t>
        </is>
      </c>
      <c r="B154" s="3" t="n"/>
      <c r="C154" s="3" t="inlineStr">
        <is>
          <t>LABOR_HOSPITALITY</t>
        </is>
      </c>
      <c r="D154" s="3" t="inlineStr">
        <is>
          <t xml:space="preserve">INSEE BDM 010762009: Indice du coût du travail - Coût horaire - Hébergement, restauration (NAF rév. 2 section I) - Base 100 en 2020 </t>
        </is>
      </c>
      <c r="E154" s="3" t="inlineStr">
        <is>
          <t>monthly package</t>
        </is>
      </c>
      <c r="F154" s="3" t="n">
        <v>16000</v>
      </c>
      <c r="G154" s="3" t="inlineStr">
        <is>
          <t>2021-06</t>
        </is>
      </c>
      <c r="H154" s="3" t="n">
        <v>16000</v>
      </c>
    </row>
    <row r="155" ht="20" customHeight="1">
      <c r="A155" s="3" t="inlineStr">
        <is>
          <t>Kitchen and service payroll</t>
        </is>
      </c>
      <c r="B155" s="3" t="n"/>
      <c r="C155" s="3" t="inlineStr">
        <is>
          <t>LABOR_HOSPITALITY</t>
        </is>
      </c>
      <c r="D155" s="3" t="inlineStr">
        <is>
          <t xml:space="preserve">INSEE BDM 010762009: Indice du coût du travail - Coût horaire - Hébergement, restauration (NAF rév. 2 section I) - Base 100 en 2020 </t>
        </is>
      </c>
      <c r="E155" s="3" t="inlineStr">
        <is>
          <t>monthly package</t>
        </is>
      </c>
      <c r="F155" s="3" t="n">
        <v>16000</v>
      </c>
      <c r="G155" s="3" t="inlineStr">
        <is>
          <t>2021-07</t>
        </is>
      </c>
      <c r="H155" s="3" t="n">
        <v>16000</v>
      </c>
    </row>
    <row r="156" ht="20" customHeight="1">
      <c r="A156" s="3" t="inlineStr">
        <is>
          <t>Kitchen and service payroll</t>
        </is>
      </c>
      <c r="B156" s="3" t="n"/>
      <c r="C156" s="3" t="inlineStr">
        <is>
          <t>LABOR_HOSPITALITY</t>
        </is>
      </c>
      <c r="D156" s="3" t="inlineStr">
        <is>
          <t xml:space="preserve">INSEE BDM 010762009: Indice du coût du travail - Coût horaire - Hébergement, restauration (NAF rév. 2 section I) - Base 100 en 2020 </t>
        </is>
      </c>
      <c r="E156" s="3" t="inlineStr">
        <is>
          <t>monthly package</t>
        </is>
      </c>
      <c r="F156" s="3" t="n">
        <v>16000</v>
      </c>
      <c r="G156" s="3" t="inlineStr">
        <is>
          <t>2021-08</t>
        </is>
      </c>
      <c r="H156" s="3" t="n">
        <v>16000</v>
      </c>
    </row>
    <row r="157" ht="20" customHeight="1">
      <c r="A157" s="3" t="inlineStr">
        <is>
          <t>Kitchen and service payroll</t>
        </is>
      </c>
      <c r="B157" s="3" t="n"/>
      <c r="C157" s="3" t="inlineStr">
        <is>
          <t>LABOR_HOSPITALITY</t>
        </is>
      </c>
      <c r="D157" s="3" t="inlineStr">
        <is>
          <t xml:space="preserve">INSEE BDM 010762009: Indice du coût du travail - Coût horaire - Hébergement, restauration (NAF rév. 2 section I) - Base 100 en 2020 </t>
        </is>
      </c>
      <c r="E157" s="3" t="inlineStr">
        <is>
          <t>monthly package</t>
        </is>
      </c>
      <c r="F157" s="3" t="n">
        <v>16000</v>
      </c>
      <c r="G157" s="3" t="inlineStr">
        <is>
          <t>2021-09</t>
        </is>
      </c>
      <c r="H157" s="3" t="n">
        <v>16000</v>
      </c>
    </row>
    <row r="158" ht="20" customHeight="1">
      <c r="A158" s="3" t="inlineStr">
        <is>
          <t>Kitchen and service payroll</t>
        </is>
      </c>
      <c r="B158" s="3" t="n"/>
      <c r="C158" s="3" t="inlineStr">
        <is>
          <t>LABOR_HOSPITALITY</t>
        </is>
      </c>
      <c r="D158" s="3" t="inlineStr">
        <is>
          <t xml:space="preserve">INSEE BDM 010762009: Indice du coût du travail - Coût horaire - Hébergement, restauration (NAF rév. 2 section I) - Base 100 en 2020 </t>
        </is>
      </c>
      <c r="E158" s="3" t="inlineStr">
        <is>
          <t>monthly package</t>
        </is>
      </c>
      <c r="F158" s="3" t="n">
        <v>16000</v>
      </c>
      <c r="G158" s="3" t="inlineStr">
        <is>
          <t>2021-10</t>
        </is>
      </c>
      <c r="H158" s="3" t="n">
        <v>16000</v>
      </c>
    </row>
    <row r="159" ht="20" customHeight="1">
      <c r="A159" s="3" t="inlineStr">
        <is>
          <t>Kitchen and service payroll</t>
        </is>
      </c>
      <c r="B159" s="3" t="n"/>
      <c r="C159" s="3" t="inlineStr">
        <is>
          <t>LABOR_HOSPITALITY</t>
        </is>
      </c>
      <c r="D159" s="3" t="inlineStr">
        <is>
          <t xml:space="preserve">INSEE BDM 010762009: Indice du coût du travail - Coût horaire - Hébergement, restauration (NAF rév. 2 section I) - Base 100 en 2020 </t>
        </is>
      </c>
      <c r="E159" s="3" t="inlineStr">
        <is>
          <t>monthly package</t>
        </is>
      </c>
      <c r="F159" s="3" t="n">
        <v>16000</v>
      </c>
      <c r="G159" s="3" t="inlineStr">
        <is>
          <t>2021-11</t>
        </is>
      </c>
      <c r="H159" s="3" t="n">
        <v>16000</v>
      </c>
    </row>
    <row r="160" ht="20" customHeight="1">
      <c r="A160" s="3" t="inlineStr">
        <is>
          <t>Kitchen and service payroll</t>
        </is>
      </c>
      <c r="B160" s="3" t="n"/>
      <c r="C160" s="3" t="inlineStr">
        <is>
          <t>LABOR_HOSPITALITY</t>
        </is>
      </c>
      <c r="D160" s="3" t="inlineStr">
        <is>
          <t xml:space="preserve">INSEE BDM 010762009: Indice du coût du travail - Coût horaire - Hébergement, restauration (NAF rév. 2 section I) - Base 100 en 2020 </t>
        </is>
      </c>
      <c r="E160" s="3" t="inlineStr">
        <is>
          <t>monthly package</t>
        </is>
      </c>
      <c r="F160" s="3" t="n">
        <v>16000</v>
      </c>
      <c r="G160" s="3" t="inlineStr">
        <is>
          <t>2021-12</t>
        </is>
      </c>
      <c r="H160" s="3" t="n">
        <v>16000</v>
      </c>
    </row>
    <row r="161" ht="20" customHeight="1">
      <c r="A161" s="3" t="inlineStr">
        <is>
          <t>Kitchen and service payroll</t>
        </is>
      </c>
      <c r="B161" s="3" t="n"/>
      <c r="C161" s="3" t="inlineStr">
        <is>
          <t>LABOR_HOSPITALITY</t>
        </is>
      </c>
      <c r="D161" s="3" t="inlineStr">
        <is>
          <t xml:space="preserve">INSEE BDM 010762009: Indice du coût du travail - Coût horaire - Hébergement, restauration (NAF rév. 2 section I) - Base 100 en 2020 </t>
        </is>
      </c>
      <c r="E161" s="3" t="inlineStr">
        <is>
          <t>monthly package</t>
        </is>
      </c>
      <c r="F161" s="3" t="n">
        <v>16000</v>
      </c>
      <c r="G161" s="3" t="inlineStr">
        <is>
          <t>2022-01</t>
        </is>
      </c>
      <c r="H161" s="3" t="n">
        <v>16000</v>
      </c>
    </row>
    <row r="162" ht="20" customHeight="1">
      <c r="A162" s="3" t="inlineStr">
        <is>
          <t>Kitchen and service payroll</t>
        </is>
      </c>
      <c r="B162" s="3" t="n"/>
      <c r="C162" s="3" t="inlineStr">
        <is>
          <t>LABOR_HOSPITALITY</t>
        </is>
      </c>
      <c r="D162" s="3" t="inlineStr">
        <is>
          <t xml:space="preserve">INSEE BDM 010762009: Indice du coût du travail - Coût horaire - Hébergement, restauration (NAF rév. 2 section I) - Base 100 en 2020 </t>
        </is>
      </c>
      <c r="E162" s="3" t="inlineStr">
        <is>
          <t>monthly package</t>
        </is>
      </c>
      <c r="F162" s="3" t="n">
        <v>16000</v>
      </c>
      <c r="G162" s="3" t="inlineStr">
        <is>
          <t>2022-02</t>
        </is>
      </c>
      <c r="H162" s="3" t="n">
        <v>16000</v>
      </c>
    </row>
    <row r="163" ht="20" customHeight="1">
      <c r="A163" s="3" t="inlineStr">
        <is>
          <t>Kitchen and service payroll</t>
        </is>
      </c>
      <c r="B163" s="3" t="n"/>
      <c r="C163" s="3" t="inlineStr">
        <is>
          <t>LABOR_HOSPITALITY</t>
        </is>
      </c>
      <c r="D163" s="3" t="inlineStr">
        <is>
          <t xml:space="preserve">INSEE BDM 010762009: Indice du coût du travail - Coût horaire - Hébergement, restauration (NAF rév. 2 section I) - Base 100 en 2020 </t>
        </is>
      </c>
      <c r="E163" s="3" t="inlineStr">
        <is>
          <t>monthly package</t>
        </is>
      </c>
      <c r="F163" s="3" t="n">
        <v>16000</v>
      </c>
      <c r="G163" s="3" t="inlineStr">
        <is>
          <t>2022-03</t>
        </is>
      </c>
      <c r="H163" s="3" t="n">
        <v>16000</v>
      </c>
    </row>
    <row r="164" ht="20" customHeight="1">
      <c r="A164" s="3" t="inlineStr">
        <is>
          <t>Kitchen and service payroll</t>
        </is>
      </c>
      <c r="B164" s="3" t="n"/>
      <c r="C164" s="3" t="inlineStr">
        <is>
          <t>LABOR_HOSPITALITY</t>
        </is>
      </c>
      <c r="D164" s="3" t="inlineStr">
        <is>
          <t xml:space="preserve">INSEE BDM 010762009: Indice du coût du travail - Coût horaire - Hébergement, restauration (NAF rév. 2 section I) - Base 100 en 2020 </t>
        </is>
      </c>
      <c r="E164" s="3" t="inlineStr">
        <is>
          <t>monthly package</t>
        </is>
      </c>
      <c r="F164" s="3" t="n">
        <v>16000</v>
      </c>
      <c r="G164" s="3" t="inlineStr">
        <is>
          <t>2022-04</t>
        </is>
      </c>
      <c r="H164" s="3" t="n">
        <v>16000</v>
      </c>
    </row>
    <row r="165" ht="20" customHeight="1">
      <c r="A165" s="3" t="inlineStr">
        <is>
          <t>Kitchen and service payroll</t>
        </is>
      </c>
      <c r="B165" s="3" t="n"/>
      <c r="C165" s="3" t="inlineStr">
        <is>
          <t>LABOR_HOSPITALITY</t>
        </is>
      </c>
      <c r="D165" s="3" t="inlineStr">
        <is>
          <t xml:space="preserve">INSEE BDM 010762009: Indice du coût du travail - Coût horaire - Hébergement, restauration (NAF rév. 2 section I) - Base 100 en 2020 </t>
        </is>
      </c>
      <c r="E165" s="3" t="inlineStr">
        <is>
          <t>monthly package</t>
        </is>
      </c>
      <c r="F165" s="3" t="n">
        <v>16000</v>
      </c>
      <c r="G165" s="3" t="inlineStr">
        <is>
          <t>2022-05</t>
        </is>
      </c>
      <c r="H165" s="3" t="n">
        <v>16000</v>
      </c>
    </row>
    <row r="166" ht="20" customHeight="1">
      <c r="A166" s="3" t="inlineStr">
        <is>
          <t>Kitchen and service payroll</t>
        </is>
      </c>
      <c r="B166" s="3" t="n"/>
      <c r="C166" s="3" t="inlineStr">
        <is>
          <t>LABOR_HOSPITALITY</t>
        </is>
      </c>
      <c r="D166" s="3" t="inlineStr">
        <is>
          <t xml:space="preserve">INSEE BDM 010762009: Indice du coût du travail - Coût horaire - Hébergement, restauration (NAF rév. 2 section I) - Base 100 en 2020 </t>
        </is>
      </c>
      <c r="E166" s="3" t="inlineStr">
        <is>
          <t>monthly package</t>
        </is>
      </c>
      <c r="F166" s="3" t="n">
        <v>16000</v>
      </c>
      <c r="G166" s="3" t="inlineStr">
        <is>
          <t>2022-06</t>
        </is>
      </c>
      <c r="H166" s="3" t="n">
        <v>16000</v>
      </c>
    </row>
    <row r="167" ht="20" customHeight="1">
      <c r="A167" s="3" t="inlineStr">
        <is>
          <t>Kitchen and service payroll</t>
        </is>
      </c>
      <c r="B167" s="3" t="n"/>
      <c r="C167" s="3" t="inlineStr">
        <is>
          <t>LABOR_HOSPITALITY</t>
        </is>
      </c>
      <c r="D167" s="3" t="inlineStr">
        <is>
          <t xml:space="preserve">INSEE BDM 010762009: Indice du coût du travail - Coût horaire - Hébergement, restauration (NAF rév. 2 section I) - Base 100 en 2020 </t>
        </is>
      </c>
      <c r="E167" s="3" t="inlineStr">
        <is>
          <t>monthly package</t>
        </is>
      </c>
      <c r="F167" s="3" t="n">
        <v>16000</v>
      </c>
      <c r="G167" s="3" t="inlineStr">
        <is>
          <t>2022-07</t>
        </is>
      </c>
      <c r="H167" s="3" t="n">
        <v>16000</v>
      </c>
    </row>
    <row r="168" ht="20" customHeight="1">
      <c r="A168" s="3" t="inlineStr">
        <is>
          <t>Kitchen and service payroll</t>
        </is>
      </c>
      <c r="B168" s="3" t="n"/>
      <c r="C168" s="3" t="inlineStr">
        <is>
          <t>LABOR_HOSPITALITY</t>
        </is>
      </c>
      <c r="D168" s="3" t="inlineStr">
        <is>
          <t xml:space="preserve">INSEE BDM 010762009: Indice du coût du travail - Coût horaire - Hébergement, restauration (NAF rév. 2 section I) - Base 100 en 2020 </t>
        </is>
      </c>
      <c r="E168" s="3" t="inlineStr">
        <is>
          <t>monthly package</t>
        </is>
      </c>
      <c r="F168" s="3" t="n">
        <v>16000</v>
      </c>
      <c r="G168" s="3" t="inlineStr">
        <is>
          <t>2022-08</t>
        </is>
      </c>
      <c r="H168" s="3" t="n">
        <v>16000</v>
      </c>
    </row>
    <row r="169" ht="20" customHeight="1">
      <c r="A169" s="3" t="inlineStr">
        <is>
          <t>Kitchen and service payroll</t>
        </is>
      </c>
      <c r="B169" s="3" t="n"/>
      <c r="C169" s="3" t="inlineStr">
        <is>
          <t>LABOR_HOSPITALITY</t>
        </is>
      </c>
      <c r="D169" s="3" t="inlineStr">
        <is>
          <t xml:space="preserve">INSEE BDM 010762009: Indice du coût du travail - Coût horaire - Hébergement, restauration (NAF rév. 2 section I) - Base 100 en 2020 </t>
        </is>
      </c>
      <c r="E169" s="3" t="inlineStr">
        <is>
          <t>monthly package</t>
        </is>
      </c>
      <c r="F169" s="3" t="n">
        <v>16000</v>
      </c>
      <c r="G169" s="3" t="inlineStr">
        <is>
          <t>2022-09</t>
        </is>
      </c>
      <c r="H169" s="3" t="n">
        <v>16000</v>
      </c>
    </row>
    <row r="170" ht="20" customHeight="1">
      <c r="A170" s="3" t="inlineStr">
        <is>
          <t>Kitchen and service payroll</t>
        </is>
      </c>
      <c r="B170" s="3" t="n"/>
      <c r="C170" s="3" t="inlineStr">
        <is>
          <t>LABOR_HOSPITALITY</t>
        </is>
      </c>
      <c r="D170" s="3" t="inlineStr">
        <is>
          <t xml:space="preserve">INSEE BDM 010762009: Indice du coût du travail - Coût horaire - Hébergement, restauration (NAF rév. 2 section I) - Base 100 en 2020 </t>
        </is>
      </c>
      <c r="E170" s="3" t="inlineStr">
        <is>
          <t>monthly package</t>
        </is>
      </c>
      <c r="F170" s="3" t="n">
        <v>16000</v>
      </c>
      <c r="G170" s="3" t="inlineStr">
        <is>
          <t>2022-10</t>
        </is>
      </c>
      <c r="H170" s="3" t="n">
        <v>16000</v>
      </c>
    </row>
    <row r="171" ht="20" customHeight="1">
      <c r="A171" s="3" t="inlineStr">
        <is>
          <t>Kitchen and service payroll</t>
        </is>
      </c>
      <c r="B171" s="3" t="n"/>
      <c r="C171" s="3" t="inlineStr">
        <is>
          <t>LABOR_HOSPITALITY</t>
        </is>
      </c>
      <c r="D171" s="3" t="inlineStr">
        <is>
          <t xml:space="preserve">INSEE BDM 010762009: Indice du coût du travail - Coût horaire - Hébergement, restauration (NAF rév. 2 section I) - Base 100 en 2020 </t>
        </is>
      </c>
      <c r="E171" s="3" t="inlineStr">
        <is>
          <t>monthly package</t>
        </is>
      </c>
      <c r="F171" s="3" t="n">
        <v>16000</v>
      </c>
      <c r="G171" s="3" t="inlineStr">
        <is>
          <t>2022-11</t>
        </is>
      </c>
      <c r="H171" s="3" t="n">
        <v>16000</v>
      </c>
    </row>
    <row r="172" ht="20" customHeight="1">
      <c r="A172" s="3" t="inlineStr">
        <is>
          <t>Kitchen and service payroll</t>
        </is>
      </c>
      <c r="B172" s="3" t="n"/>
      <c r="C172" s="3" t="inlineStr">
        <is>
          <t>LABOR_HOSPITALITY</t>
        </is>
      </c>
      <c r="D172" s="3" t="inlineStr">
        <is>
          <t xml:space="preserve">INSEE BDM 010762009: Indice du coût du travail - Coût horaire - Hébergement, restauration (NAF rév. 2 section I) - Base 100 en 2020 </t>
        </is>
      </c>
      <c r="E172" s="3" t="inlineStr">
        <is>
          <t>monthly package</t>
        </is>
      </c>
      <c r="F172" s="3" t="n">
        <v>16000</v>
      </c>
      <c r="G172" s="3" t="inlineStr">
        <is>
          <t>2022-12</t>
        </is>
      </c>
      <c r="H172" s="3" t="n">
        <v>16000</v>
      </c>
    </row>
    <row r="173" ht="20" customHeight="1">
      <c r="A173" s="3" t="inlineStr">
        <is>
          <t>Kitchen and service payroll</t>
        </is>
      </c>
      <c r="B173" s="3" t="n"/>
      <c r="C173" s="3" t="inlineStr">
        <is>
          <t>LABOR_HOSPITALITY</t>
        </is>
      </c>
      <c r="D173" s="3" t="inlineStr">
        <is>
          <t xml:space="preserve">INSEE BDM 010762009: Indice du coût du travail - Coût horaire - Hébergement, restauration (NAF rév. 2 section I) - Base 100 en 2020 </t>
        </is>
      </c>
      <c r="E173" s="3" t="inlineStr">
        <is>
          <t>monthly package</t>
        </is>
      </c>
      <c r="F173" s="3" t="n">
        <v>16000</v>
      </c>
      <c r="G173" s="3" t="inlineStr">
        <is>
          <t>2023-01</t>
        </is>
      </c>
      <c r="H173" s="3" t="n">
        <v>16000</v>
      </c>
    </row>
    <row r="174" ht="20" customHeight="1">
      <c r="A174" s="3" t="inlineStr">
        <is>
          <t>Kitchen and service payroll</t>
        </is>
      </c>
      <c r="B174" s="3" t="n"/>
      <c r="C174" s="3" t="inlineStr">
        <is>
          <t>LABOR_HOSPITALITY</t>
        </is>
      </c>
      <c r="D174" s="3" t="inlineStr">
        <is>
          <t xml:space="preserve">INSEE BDM 010762009: Indice du coût du travail - Coût horaire - Hébergement, restauration (NAF rév. 2 section I) - Base 100 en 2020 </t>
        </is>
      </c>
      <c r="E174" s="3" t="inlineStr">
        <is>
          <t>monthly package</t>
        </is>
      </c>
      <c r="F174" s="3" t="n">
        <v>16000</v>
      </c>
      <c r="G174" s="3" t="inlineStr">
        <is>
          <t>2023-02</t>
        </is>
      </c>
      <c r="H174" s="3" t="n">
        <v>16000</v>
      </c>
    </row>
    <row r="175" ht="20" customHeight="1">
      <c r="A175" s="3" t="inlineStr">
        <is>
          <t>Kitchen and service payroll</t>
        </is>
      </c>
      <c r="B175" s="3" t="n"/>
      <c r="C175" s="3" t="inlineStr">
        <is>
          <t>LABOR_HOSPITALITY</t>
        </is>
      </c>
      <c r="D175" s="3" t="inlineStr">
        <is>
          <t xml:space="preserve">INSEE BDM 010762009: Indice du coût du travail - Coût horaire - Hébergement, restauration (NAF rév. 2 section I) - Base 100 en 2020 </t>
        </is>
      </c>
      <c r="E175" s="3" t="inlineStr">
        <is>
          <t>monthly package</t>
        </is>
      </c>
      <c r="F175" s="3" t="n">
        <v>16000</v>
      </c>
      <c r="G175" s="3" t="inlineStr">
        <is>
          <t>2023-03</t>
        </is>
      </c>
      <c r="H175" s="3" t="n">
        <v>16000</v>
      </c>
    </row>
    <row r="176" ht="20" customHeight="1">
      <c r="A176" s="3" t="inlineStr">
        <is>
          <t>Kitchen and service payroll</t>
        </is>
      </c>
      <c r="B176" s="3" t="n"/>
      <c r="C176" s="3" t="inlineStr">
        <is>
          <t>LABOR_HOSPITALITY</t>
        </is>
      </c>
      <c r="D176" s="3" t="inlineStr">
        <is>
          <t xml:space="preserve">INSEE BDM 010762009: Indice du coût du travail - Coût horaire - Hébergement, restauration (NAF rév. 2 section I) - Base 100 en 2020 </t>
        </is>
      </c>
      <c r="E176" s="3" t="inlineStr">
        <is>
          <t>monthly package</t>
        </is>
      </c>
      <c r="F176" s="3" t="n">
        <v>16000</v>
      </c>
      <c r="G176" s="3" t="inlineStr">
        <is>
          <t>2023-04</t>
        </is>
      </c>
      <c r="H176" s="3" t="n">
        <v>16000</v>
      </c>
    </row>
    <row r="177" ht="20" customHeight="1">
      <c r="A177" s="3" t="inlineStr">
        <is>
          <t>Kitchen and service payroll</t>
        </is>
      </c>
      <c r="B177" s="3" t="n"/>
      <c r="C177" s="3" t="inlineStr">
        <is>
          <t>LABOR_HOSPITALITY</t>
        </is>
      </c>
      <c r="D177" s="3" t="inlineStr">
        <is>
          <t xml:space="preserve">INSEE BDM 010762009: Indice du coût du travail - Coût horaire - Hébergement, restauration (NAF rév. 2 section I) - Base 100 en 2020 </t>
        </is>
      </c>
      <c r="E177" s="3" t="inlineStr">
        <is>
          <t>monthly package</t>
        </is>
      </c>
      <c r="F177" s="3" t="n">
        <v>16000</v>
      </c>
      <c r="G177" s="3" t="inlineStr">
        <is>
          <t>2023-05</t>
        </is>
      </c>
      <c r="H177" s="3" t="n">
        <v>16000</v>
      </c>
    </row>
    <row r="178" ht="20" customHeight="1">
      <c r="A178" s="3" t="inlineStr">
        <is>
          <t>Kitchen and service payroll</t>
        </is>
      </c>
      <c r="B178" s="3" t="n"/>
      <c r="C178" s="3" t="inlineStr">
        <is>
          <t>LABOR_HOSPITALITY</t>
        </is>
      </c>
      <c r="D178" s="3" t="inlineStr">
        <is>
          <t xml:space="preserve">INSEE BDM 010762009: Indice du coût du travail - Coût horaire - Hébergement, restauration (NAF rév. 2 section I) - Base 100 en 2020 </t>
        </is>
      </c>
      <c r="E178" s="3" t="inlineStr">
        <is>
          <t>monthly package</t>
        </is>
      </c>
      <c r="F178" s="3" t="n">
        <v>16000</v>
      </c>
      <c r="G178" s="3" t="inlineStr">
        <is>
          <t>2023-06</t>
        </is>
      </c>
      <c r="H178" s="3" t="n">
        <v>16000</v>
      </c>
    </row>
    <row r="179" ht="20" customHeight="1">
      <c r="A179" s="3" t="inlineStr">
        <is>
          <t>Kitchen and service payroll</t>
        </is>
      </c>
      <c r="B179" s="3" t="n"/>
      <c r="C179" s="3" t="inlineStr">
        <is>
          <t>LABOR_HOSPITALITY</t>
        </is>
      </c>
      <c r="D179" s="3" t="inlineStr">
        <is>
          <t xml:space="preserve">INSEE BDM 010762009: Indice du coût du travail - Coût horaire - Hébergement, restauration (NAF rév. 2 section I) - Base 100 en 2020 </t>
        </is>
      </c>
      <c r="E179" s="3" t="inlineStr">
        <is>
          <t>monthly package</t>
        </is>
      </c>
      <c r="F179" s="3" t="n">
        <v>16000</v>
      </c>
      <c r="G179" s="3" t="inlineStr">
        <is>
          <t>2023-07</t>
        </is>
      </c>
      <c r="H179" s="3" t="n">
        <v>16000</v>
      </c>
    </row>
    <row r="180" ht="20" customHeight="1">
      <c r="A180" s="3" t="inlineStr">
        <is>
          <t>Kitchen and service payroll</t>
        </is>
      </c>
      <c r="B180" s="3" t="n"/>
      <c r="C180" s="3" t="inlineStr">
        <is>
          <t>LABOR_HOSPITALITY</t>
        </is>
      </c>
      <c r="D180" s="3" t="inlineStr">
        <is>
          <t xml:space="preserve">INSEE BDM 010762009: Indice du coût du travail - Coût horaire - Hébergement, restauration (NAF rév. 2 section I) - Base 100 en 2020 </t>
        </is>
      </c>
      <c r="E180" s="3" t="inlineStr">
        <is>
          <t>monthly package</t>
        </is>
      </c>
      <c r="F180" s="3" t="n">
        <v>16000</v>
      </c>
      <c r="G180" s="3" t="inlineStr">
        <is>
          <t>2023-08</t>
        </is>
      </c>
      <c r="H180" s="3" t="n">
        <v>16000</v>
      </c>
    </row>
    <row r="181" ht="20" customHeight="1">
      <c r="A181" s="3" t="inlineStr">
        <is>
          <t>Kitchen and service payroll</t>
        </is>
      </c>
      <c r="B181" s="3" t="n"/>
      <c r="C181" s="3" t="inlineStr">
        <is>
          <t>LABOR_HOSPITALITY</t>
        </is>
      </c>
      <c r="D181" s="3" t="inlineStr">
        <is>
          <t xml:space="preserve">INSEE BDM 010762009: Indice du coût du travail - Coût horaire - Hébergement, restauration (NAF rév. 2 section I) - Base 100 en 2020 </t>
        </is>
      </c>
      <c r="E181" s="3" t="inlineStr">
        <is>
          <t>monthly package</t>
        </is>
      </c>
      <c r="F181" s="3" t="n">
        <v>16000</v>
      </c>
      <c r="G181" s="3" t="inlineStr">
        <is>
          <t>2023-09</t>
        </is>
      </c>
      <c r="H181" s="3" t="n">
        <v>16000</v>
      </c>
    </row>
    <row r="182" ht="20" customHeight="1">
      <c r="A182" s="3" t="inlineStr">
        <is>
          <t>Kitchen and service payroll</t>
        </is>
      </c>
      <c r="B182" s="3" t="n"/>
      <c r="C182" s="3" t="inlineStr">
        <is>
          <t>LABOR_HOSPITALITY</t>
        </is>
      </c>
      <c r="D182" s="3" t="inlineStr">
        <is>
          <t xml:space="preserve">INSEE BDM 010762009: Indice du coût du travail - Coût horaire - Hébergement, restauration (NAF rév. 2 section I) - Base 100 en 2020 </t>
        </is>
      </c>
      <c r="E182" s="3" t="inlineStr">
        <is>
          <t>monthly package</t>
        </is>
      </c>
      <c r="F182" s="3" t="n">
        <v>16000</v>
      </c>
      <c r="G182" s="3" t="inlineStr">
        <is>
          <t>2023-10</t>
        </is>
      </c>
      <c r="H182" s="3" t="n">
        <v>16000</v>
      </c>
    </row>
    <row r="183" ht="20" customHeight="1">
      <c r="A183" s="3" t="inlineStr">
        <is>
          <t>Kitchen and service payroll</t>
        </is>
      </c>
      <c r="B183" s="3" t="n"/>
      <c r="C183" s="3" t="inlineStr">
        <is>
          <t>LABOR_HOSPITALITY</t>
        </is>
      </c>
      <c r="D183" s="3" t="inlineStr">
        <is>
          <t xml:space="preserve">INSEE BDM 010762009: Indice du coût du travail - Coût horaire - Hébergement, restauration (NAF rév. 2 section I) - Base 100 en 2020 </t>
        </is>
      </c>
      <c r="E183" s="3" t="inlineStr">
        <is>
          <t>monthly package</t>
        </is>
      </c>
      <c r="F183" s="3" t="n">
        <v>16000</v>
      </c>
      <c r="G183" s="3" t="inlineStr">
        <is>
          <t>2023-11</t>
        </is>
      </c>
      <c r="H183" s="3" t="n">
        <v>16000</v>
      </c>
    </row>
    <row r="184" ht="20" customHeight="1">
      <c r="A184" s="3" t="inlineStr">
        <is>
          <t>Kitchen and service payroll</t>
        </is>
      </c>
      <c r="B184" s="3" t="n"/>
      <c r="C184" s="3" t="inlineStr">
        <is>
          <t>LABOR_HOSPITALITY</t>
        </is>
      </c>
      <c r="D184" s="3" t="inlineStr">
        <is>
          <t xml:space="preserve">INSEE BDM 010762009: Indice du coût du travail - Coût horaire - Hébergement, restauration (NAF rév. 2 section I) - Base 100 en 2020 </t>
        </is>
      </c>
      <c r="E184" s="3" t="inlineStr">
        <is>
          <t>monthly package</t>
        </is>
      </c>
      <c r="F184" s="3" t="n">
        <v>16000</v>
      </c>
      <c r="G184" s="3" t="inlineStr">
        <is>
          <t>2023-12</t>
        </is>
      </c>
      <c r="H184" s="3" t="n">
        <v>16000</v>
      </c>
    </row>
    <row r="185" ht="20" customHeight="1">
      <c r="A185" s="3" t="inlineStr">
        <is>
          <t>Cooking gas</t>
        </is>
      </c>
      <c r="B185" s="3" t="inlineStr">
        <is>
          <t>Gas</t>
        </is>
      </c>
      <c r="C185" s="3" t="inlineStr">
        <is>
          <t>NATURAL_GAS</t>
        </is>
      </c>
      <c r="D185" s="3" t="inlineStr">
        <is>
          <t>INSEE BDM 010767333: Gaz naturel TTF, contrats à terme à la première échéance aux Pays-Bas - ICE Futures Europe - Prix en euros par mégawattheure</t>
        </is>
      </c>
      <c r="E185" s="3" t="inlineStr">
        <is>
          <t>kWh</t>
        </is>
      </c>
      <c r="F185" s="3" t="n">
        <v>0.105</v>
      </c>
      <c r="G185" s="3" t="inlineStr">
        <is>
          <t>2021-01</t>
        </is>
      </c>
      <c r="H185" s="3" t="n">
        <v>0.105</v>
      </c>
    </row>
    <row r="186" ht="20" customHeight="1">
      <c r="A186" s="3" t="inlineStr">
        <is>
          <t>Cooking gas</t>
        </is>
      </c>
      <c r="B186" s="3" t="inlineStr">
        <is>
          <t>Gas</t>
        </is>
      </c>
      <c r="C186" s="3" t="inlineStr">
        <is>
          <t>NATURAL_GAS</t>
        </is>
      </c>
      <c r="D186" s="3" t="inlineStr">
        <is>
          <t>INSEE BDM 010767333: Gaz naturel TTF, contrats à terme à la première échéance aux Pays-Bas - ICE Futures Europe - Prix en euros par mégawattheure</t>
        </is>
      </c>
      <c r="E186" s="3" t="inlineStr">
        <is>
          <t>kWh</t>
        </is>
      </c>
      <c r="F186" s="3" t="n">
        <v>0.105</v>
      </c>
      <c r="G186" s="3" t="inlineStr">
        <is>
          <t>2021-02</t>
        </is>
      </c>
      <c r="H186" s="3" t="n">
        <v>0.0896</v>
      </c>
    </row>
    <row r="187" ht="20" customHeight="1">
      <c r="A187" s="3" t="inlineStr">
        <is>
          <t>Cooking gas</t>
        </is>
      </c>
      <c r="B187" s="3" t="inlineStr">
        <is>
          <t>Gas</t>
        </is>
      </c>
      <c r="C187" s="3" t="inlineStr">
        <is>
          <t>NATURAL_GAS</t>
        </is>
      </c>
      <c r="D187" s="3" t="inlineStr">
        <is>
          <t>INSEE BDM 010767333: Gaz naturel TTF, contrats à terme à la première échéance aux Pays-Bas - ICE Futures Europe - Prix en euros par mégawattheure</t>
        </is>
      </c>
      <c r="E187" s="3" t="inlineStr">
        <is>
          <t>kWh</t>
        </is>
      </c>
      <c r="F187" s="3" t="n">
        <v>0.105</v>
      </c>
      <c r="G187" s="3" t="inlineStr">
        <is>
          <t>2021-03</t>
        </is>
      </c>
      <c r="H187" s="3" t="n">
        <v>0.0906</v>
      </c>
    </row>
    <row r="188" ht="20" customHeight="1">
      <c r="A188" s="3" t="inlineStr">
        <is>
          <t>Cooking gas</t>
        </is>
      </c>
      <c r="B188" s="3" t="inlineStr">
        <is>
          <t>Gas</t>
        </is>
      </c>
      <c r="C188" s="3" t="inlineStr">
        <is>
          <t>NATURAL_GAS</t>
        </is>
      </c>
      <c r="D188" s="3" t="inlineStr">
        <is>
          <t>INSEE BDM 010767333: Gaz naturel TTF, contrats à terme à la première échéance aux Pays-Bas - ICE Futures Europe - Prix en euros par mégawattheure</t>
        </is>
      </c>
      <c r="E188" s="3" t="inlineStr">
        <is>
          <t>kWh</t>
        </is>
      </c>
      <c r="F188" s="3" t="n">
        <v>0.105</v>
      </c>
      <c r="G188" s="3" t="inlineStr">
        <is>
          <t>2021-04</t>
        </is>
      </c>
      <c r="H188" s="3" t="n">
        <v>0.105</v>
      </c>
    </row>
    <row r="189" ht="20" customHeight="1">
      <c r="A189" s="3" t="inlineStr">
        <is>
          <t>Cooking gas</t>
        </is>
      </c>
      <c r="B189" s="3" t="inlineStr">
        <is>
          <t>Gas</t>
        </is>
      </c>
      <c r="C189" s="3" t="inlineStr">
        <is>
          <t>NATURAL_GAS</t>
        </is>
      </c>
      <c r="D189" s="3" t="inlineStr">
        <is>
          <t>INSEE BDM 010767333: Gaz naturel TTF, contrats à terme à la première échéance aux Pays-Bas - ICE Futures Europe - Prix en euros par mégawattheure</t>
        </is>
      </c>
      <c r="E189" s="3" t="inlineStr">
        <is>
          <t>kWh</t>
        </is>
      </c>
      <c r="F189" s="3" t="n">
        <v>0.105</v>
      </c>
      <c r="G189" s="3" t="inlineStr">
        <is>
          <t>2021-05</t>
        </is>
      </c>
      <c r="H189" s="3" t="n">
        <v>0.1287</v>
      </c>
    </row>
    <row r="190" ht="20" customHeight="1">
      <c r="A190" s="3" t="inlineStr">
        <is>
          <t>Cooking gas</t>
        </is>
      </c>
      <c r="B190" s="3" t="inlineStr">
        <is>
          <t>Gas</t>
        </is>
      </c>
      <c r="C190" s="3" t="inlineStr">
        <is>
          <t>NATURAL_GAS</t>
        </is>
      </c>
      <c r="D190" s="3" t="inlineStr">
        <is>
          <t>INSEE BDM 010767333: Gaz naturel TTF, contrats à terme à la première échéance aux Pays-Bas - ICE Futures Europe - Prix en euros par mégawattheure</t>
        </is>
      </c>
      <c r="E190" s="3" t="inlineStr">
        <is>
          <t>kWh</t>
        </is>
      </c>
      <c r="F190" s="3" t="n">
        <v>0.105</v>
      </c>
      <c r="G190" s="3" t="inlineStr">
        <is>
          <t>2021-06</t>
        </is>
      </c>
      <c r="H190" s="3" t="n">
        <v>0.1503</v>
      </c>
    </row>
    <row r="191" ht="20" customHeight="1">
      <c r="A191" s="3" t="inlineStr">
        <is>
          <t>Cooking gas</t>
        </is>
      </c>
      <c r="B191" s="3" t="inlineStr">
        <is>
          <t>Gas</t>
        </is>
      </c>
      <c r="C191" s="3" t="inlineStr">
        <is>
          <t>NATURAL_GAS</t>
        </is>
      </c>
      <c r="D191" s="3" t="inlineStr">
        <is>
          <t>INSEE BDM 010767333: Gaz naturel TTF, contrats à terme à la première échéance aux Pays-Bas - ICE Futures Europe - Prix en euros par mégawattheure</t>
        </is>
      </c>
      <c r="E191" s="3" t="inlineStr">
        <is>
          <t>kWh</t>
        </is>
      </c>
      <c r="F191" s="3" t="n">
        <v>0.105</v>
      </c>
      <c r="G191" s="3" t="inlineStr">
        <is>
          <t>2021-07</t>
        </is>
      </c>
      <c r="H191" s="3" t="n">
        <v>0.1858</v>
      </c>
    </row>
    <row r="192" ht="20" customHeight="1">
      <c r="A192" s="3" t="inlineStr">
        <is>
          <t>Cooking gas</t>
        </is>
      </c>
      <c r="B192" s="3" t="inlineStr">
        <is>
          <t>Gas</t>
        </is>
      </c>
      <c r="C192" s="3" t="inlineStr">
        <is>
          <t>NATURAL_GAS</t>
        </is>
      </c>
      <c r="D192" s="3" t="inlineStr">
        <is>
          <t>INSEE BDM 010767333: Gaz naturel TTF, contrats à terme à la première échéance aux Pays-Bas - ICE Futures Europe - Prix en euros par mégawattheure</t>
        </is>
      </c>
      <c r="E192" s="3" t="inlineStr">
        <is>
          <t>kWh</t>
        </is>
      </c>
      <c r="F192" s="3" t="n">
        <v>0.105</v>
      </c>
      <c r="G192" s="3" t="inlineStr">
        <is>
          <t>2021-08</t>
        </is>
      </c>
      <c r="H192" s="3" t="n">
        <v>0.2301</v>
      </c>
    </row>
    <row r="193" ht="20" customHeight="1">
      <c r="A193" s="3" t="inlineStr">
        <is>
          <t>Cooking gas</t>
        </is>
      </c>
      <c r="B193" s="3" t="inlineStr">
        <is>
          <t>Gas</t>
        </is>
      </c>
      <c r="C193" s="3" t="inlineStr">
        <is>
          <t>NATURAL_GAS</t>
        </is>
      </c>
      <c r="D193" s="3" t="inlineStr">
        <is>
          <t>INSEE BDM 010767333: Gaz naturel TTF, contrats à terme à la première échéance aux Pays-Bas - ICE Futures Europe - Prix en euros par mégawattheure</t>
        </is>
      </c>
      <c r="E193" s="3" t="inlineStr">
        <is>
          <t>kWh</t>
        </is>
      </c>
      <c r="F193" s="3" t="n">
        <v>0.105</v>
      </c>
      <c r="G193" s="3" t="inlineStr">
        <is>
          <t>2021-09</t>
        </is>
      </c>
      <c r="H193" s="3" t="n">
        <v>0.3407</v>
      </c>
    </row>
    <row r="194" ht="20" customHeight="1">
      <c r="A194" s="3" t="inlineStr">
        <is>
          <t>Cooking gas</t>
        </is>
      </c>
      <c r="B194" s="3" t="inlineStr">
        <is>
          <t>Gas</t>
        </is>
      </c>
      <c r="C194" s="3" t="inlineStr">
        <is>
          <t>NATURAL_GAS</t>
        </is>
      </c>
      <c r="D194" s="3" t="inlineStr">
        <is>
          <t>INSEE BDM 010767333: Gaz naturel TTF, contrats à terme à la première échéance aux Pays-Bas - ICE Futures Europe - Prix en euros par mégawattheure</t>
        </is>
      </c>
      <c r="E194" s="3" t="inlineStr">
        <is>
          <t>kWh</t>
        </is>
      </c>
      <c r="F194" s="3" t="n">
        <v>0.105</v>
      </c>
      <c r="G194" s="3" t="inlineStr">
        <is>
          <t>2021-10</t>
        </is>
      </c>
      <c r="H194" s="3" t="n">
        <v>0.4699</v>
      </c>
    </row>
    <row r="195" ht="20" customHeight="1">
      <c r="A195" s="3" t="inlineStr">
        <is>
          <t>Cooking gas</t>
        </is>
      </c>
      <c r="B195" s="3" t="inlineStr">
        <is>
          <t>Gas</t>
        </is>
      </c>
      <c r="C195" s="3" t="inlineStr">
        <is>
          <t>NATURAL_GAS</t>
        </is>
      </c>
      <c r="D195" s="3" t="inlineStr">
        <is>
          <t>INSEE BDM 010767333: Gaz naturel TTF, contrats à terme à la première échéance aux Pays-Bas - ICE Futures Europe - Prix en euros par mégawattheure</t>
        </is>
      </c>
      <c r="E195" s="3" t="inlineStr">
        <is>
          <t>kWh</t>
        </is>
      </c>
      <c r="F195" s="3" t="n">
        <v>0.105</v>
      </c>
      <c r="G195" s="3" t="inlineStr">
        <is>
          <t>2021-11</t>
        </is>
      </c>
      <c r="H195" s="3" t="n">
        <v>0.4251</v>
      </c>
    </row>
    <row r="196" ht="20" customHeight="1">
      <c r="A196" s="3" t="inlineStr">
        <is>
          <t>Cooking gas</t>
        </is>
      </c>
      <c r="B196" s="3" t="inlineStr">
        <is>
          <t>Gas</t>
        </is>
      </c>
      <c r="C196" s="3" t="inlineStr">
        <is>
          <t>NATURAL_GAS</t>
        </is>
      </c>
      <c r="D196" s="3" t="inlineStr">
        <is>
          <t>INSEE BDM 010767333: Gaz naturel TTF, contrats à terme à la première échéance aux Pays-Bas - ICE Futures Europe - Prix en euros par mégawattheure</t>
        </is>
      </c>
      <c r="E196" s="3" t="inlineStr">
        <is>
          <t>kWh</t>
        </is>
      </c>
      <c r="F196" s="3" t="n">
        <v>0.105</v>
      </c>
      <c r="G196" s="3" t="inlineStr">
        <is>
          <t>2021-12</t>
        </is>
      </c>
      <c r="H196" s="3" t="n">
        <v>0.5909</v>
      </c>
    </row>
    <row r="197" ht="20" customHeight="1">
      <c r="A197" s="3" t="inlineStr">
        <is>
          <t>Cooking gas</t>
        </is>
      </c>
      <c r="B197" s="3" t="inlineStr">
        <is>
          <t>Gas</t>
        </is>
      </c>
      <c r="C197" s="3" t="inlineStr">
        <is>
          <t>NATURAL_GAS</t>
        </is>
      </c>
      <c r="D197" s="3" t="inlineStr">
        <is>
          <t>INSEE BDM 010767333: Gaz naturel TTF, contrats à terme à la première échéance aux Pays-Bas - ICE Futures Europe - Prix en euros par mégawattheure</t>
        </is>
      </c>
      <c r="E197" s="3" t="inlineStr">
        <is>
          <t>kWh</t>
        </is>
      </c>
      <c r="F197" s="3" t="n">
        <v>0.105</v>
      </c>
      <c r="G197" s="3" t="inlineStr">
        <is>
          <t>2022-01</t>
        </is>
      </c>
      <c r="H197" s="3" t="n">
        <v>0.4385</v>
      </c>
    </row>
    <row r="198" ht="20" customHeight="1">
      <c r="A198" s="3" t="inlineStr">
        <is>
          <t>Cooking gas</t>
        </is>
      </c>
      <c r="B198" s="3" t="inlineStr">
        <is>
          <t>Gas</t>
        </is>
      </c>
      <c r="C198" s="3" t="inlineStr">
        <is>
          <t>NATURAL_GAS</t>
        </is>
      </c>
      <c r="D198" s="3" t="inlineStr">
        <is>
          <t>INSEE BDM 010767333: Gaz naturel TTF, contrats à terme à la première échéance aux Pays-Bas - ICE Futures Europe - Prix en euros par mégawattheure</t>
        </is>
      </c>
      <c r="E198" s="3" t="inlineStr">
        <is>
          <t>kWh</t>
        </is>
      </c>
      <c r="F198" s="3" t="n">
        <v>0.105</v>
      </c>
      <c r="G198" s="3" t="inlineStr">
        <is>
          <t>2022-02</t>
        </is>
      </c>
      <c r="H198" s="3" t="n">
        <v>0.4215</v>
      </c>
    </row>
    <row r="199" ht="20" customHeight="1">
      <c r="A199" s="3" t="inlineStr">
        <is>
          <t>Cooking gas</t>
        </is>
      </c>
      <c r="B199" s="3" t="inlineStr">
        <is>
          <t>Gas</t>
        </is>
      </c>
      <c r="C199" s="3" t="inlineStr">
        <is>
          <t>NATURAL_GAS</t>
        </is>
      </c>
      <c r="D199" s="3" t="inlineStr">
        <is>
          <t>INSEE BDM 010767333: Gaz naturel TTF, contrats à terme à la première échéance aux Pays-Bas - ICE Futures Europe - Prix en euros par mégawattheure</t>
        </is>
      </c>
      <c r="E199" s="3" t="inlineStr">
        <is>
          <t>kWh</t>
        </is>
      </c>
      <c r="F199" s="3" t="n">
        <v>0.105</v>
      </c>
      <c r="G199" s="3" t="inlineStr">
        <is>
          <t>2022-03</t>
        </is>
      </c>
      <c r="H199" s="3" t="n">
        <v>0.6758</v>
      </c>
    </row>
    <row r="200" ht="20" customHeight="1">
      <c r="A200" s="3" t="inlineStr">
        <is>
          <t>Cooking gas</t>
        </is>
      </c>
      <c r="B200" s="3" t="inlineStr">
        <is>
          <t>Gas</t>
        </is>
      </c>
      <c r="C200" s="3" t="inlineStr">
        <is>
          <t>NATURAL_GAS</t>
        </is>
      </c>
      <c r="D200" s="3" t="inlineStr">
        <is>
          <t>INSEE BDM 010767333: Gaz naturel TTF, contrats à terme à la première échéance aux Pays-Bas - ICE Futures Europe - Prix en euros par mégawattheure</t>
        </is>
      </c>
      <c r="E200" s="3" t="inlineStr">
        <is>
          <t>kWh</t>
        </is>
      </c>
      <c r="F200" s="3" t="n">
        <v>0.105</v>
      </c>
      <c r="G200" s="3" t="inlineStr">
        <is>
          <t>2022-04</t>
        </is>
      </c>
      <c r="H200" s="3" t="n">
        <v>0.524</v>
      </c>
    </row>
    <row r="201" ht="20" customHeight="1">
      <c r="A201" s="3" t="inlineStr">
        <is>
          <t>Cooking gas</t>
        </is>
      </c>
      <c r="B201" s="3" t="inlineStr">
        <is>
          <t>Gas</t>
        </is>
      </c>
      <c r="C201" s="3" t="inlineStr">
        <is>
          <t>NATURAL_GAS</t>
        </is>
      </c>
      <c r="D201" s="3" t="inlineStr">
        <is>
          <t>INSEE BDM 010767333: Gaz naturel TTF, contrats à terme à la première échéance aux Pays-Bas - ICE Futures Europe - Prix en euros par mégawattheure</t>
        </is>
      </c>
      <c r="E201" s="3" t="inlineStr">
        <is>
          <t>kWh</t>
        </is>
      </c>
      <c r="F201" s="3" t="n">
        <v>0.105</v>
      </c>
      <c r="G201" s="3" t="inlineStr">
        <is>
          <t>2022-05</t>
        </is>
      </c>
      <c r="H201" s="3" t="n">
        <v>0.4843</v>
      </c>
    </row>
    <row r="202" ht="20" customHeight="1">
      <c r="A202" s="3" t="inlineStr">
        <is>
          <t>Cooking gas</t>
        </is>
      </c>
      <c r="B202" s="3" t="inlineStr">
        <is>
          <t>Gas</t>
        </is>
      </c>
      <c r="C202" s="3" t="inlineStr">
        <is>
          <t>NATURAL_GAS</t>
        </is>
      </c>
      <c r="D202" s="3" t="inlineStr">
        <is>
          <t>INSEE BDM 010767333: Gaz naturel TTF, contrats à terme à la première échéance aux Pays-Bas - ICE Futures Europe - Prix en euros par mégawattheure</t>
        </is>
      </c>
      <c r="E202" s="3" t="inlineStr">
        <is>
          <t>kWh</t>
        </is>
      </c>
      <c r="F202" s="3" t="n">
        <v>0.105</v>
      </c>
      <c r="G202" s="3" t="inlineStr">
        <is>
          <t>2022-06</t>
        </is>
      </c>
      <c r="H202" s="3" t="n">
        <v>0.5574</v>
      </c>
    </row>
    <row r="203" ht="20" customHeight="1">
      <c r="A203" s="3" t="inlineStr">
        <is>
          <t>Cooking gas</t>
        </is>
      </c>
      <c r="B203" s="3" t="inlineStr">
        <is>
          <t>Gas</t>
        </is>
      </c>
      <c r="C203" s="3" t="inlineStr">
        <is>
          <t>NATURAL_GAS</t>
        </is>
      </c>
      <c r="D203" s="3" t="inlineStr">
        <is>
          <t>INSEE BDM 010767333: Gaz naturel TTF, contrats à terme à la première échéance aux Pays-Bas - ICE Futures Europe - Prix en euros par mégawattheure</t>
        </is>
      </c>
      <c r="E203" s="3" t="inlineStr">
        <is>
          <t>kWh</t>
        </is>
      </c>
      <c r="F203" s="3" t="n">
        <v>0.105</v>
      </c>
      <c r="G203" s="3" t="inlineStr">
        <is>
          <t>2022-07</t>
        </is>
      </c>
      <c r="H203" s="3" t="n">
        <v>0.8853</v>
      </c>
    </row>
    <row r="204" ht="20" customHeight="1">
      <c r="A204" s="3" t="inlineStr">
        <is>
          <t>Cooking gas</t>
        </is>
      </c>
      <c r="B204" s="3" t="inlineStr">
        <is>
          <t>Gas</t>
        </is>
      </c>
      <c r="C204" s="3" t="inlineStr">
        <is>
          <t>NATURAL_GAS</t>
        </is>
      </c>
      <c r="D204" s="3" t="inlineStr">
        <is>
          <t>INSEE BDM 010767333: Gaz naturel TTF, contrats à terme à la première échéance aux Pays-Bas - ICE Futures Europe - Prix en euros par mégawattheure</t>
        </is>
      </c>
      <c r="E204" s="3" t="inlineStr">
        <is>
          <t>kWh</t>
        </is>
      </c>
      <c r="F204" s="3" t="n">
        <v>0.105</v>
      </c>
      <c r="G204" s="3" t="inlineStr">
        <is>
          <t>2022-08</t>
        </is>
      </c>
      <c r="H204" s="3" t="n">
        <v>1.2147</v>
      </c>
    </row>
    <row r="205" ht="20" customHeight="1">
      <c r="A205" s="3" t="inlineStr">
        <is>
          <t>Cooking gas</t>
        </is>
      </c>
      <c r="B205" s="3" t="inlineStr">
        <is>
          <t>Gas</t>
        </is>
      </c>
      <c r="C205" s="3" t="inlineStr">
        <is>
          <t>NATURAL_GAS</t>
        </is>
      </c>
      <c r="D205" s="3" t="inlineStr">
        <is>
          <t>INSEE BDM 010767333: Gaz naturel TTF, contrats à terme à la première échéance aux Pays-Bas - ICE Futures Europe - Prix en euros par mégawattheure</t>
        </is>
      </c>
      <c r="E205" s="3" t="inlineStr">
        <is>
          <t>kWh</t>
        </is>
      </c>
      <c r="F205" s="3" t="n">
        <v>0.105</v>
      </c>
      <c r="G205" s="3" t="inlineStr">
        <is>
          <t>2022-09</t>
        </is>
      </c>
      <c r="H205" s="3" t="n">
        <v>1.0474</v>
      </c>
    </row>
    <row r="206" ht="20" customHeight="1">
      <c r="A206" s="3" t="inlineStr">
        <is>
          <t>Cooking gas</t>
        </is>
      </c>
      <c r="B206" s="3" t="inlineStr">
        <is>
          <t>Gas</t>
        </is>
      </c>
      <c r="C206" s="3" t="inlineStr">
        <is>
          <t>NATURAL_GAS</t>
        </is>
      </c>
      <c r="D206" s="3" t="inlineStr">
        <is>
          <t>INSEE BDM 010767333: Gaz naturel TTF, contrats à terme à la première échéance aux Pays-Bas - ICE Futures Europe - Prix en euros par mégawattheure</t>
        </is>
      </c>
      <c r="E206" s="3" t="inlineStr">
        <is>
          <t>kWh</t>
        </is>
      </c>
      <c r="F206" s="3" t="n">
        <v>0.105</v>
      </c>
      <c r="G206" s="3" t="inlineStr">
        <is>
          <t>2022-10</t>
        </is>
      </c>
      <c r="H206" s="3" t="n">
        <v>0.6974</v>
      </c>
    </row>
    <row r="207" ht="20" customHeight="1">
      <c r="A207" s="3" t="inlineStr">
        <is>
          <t>Cooking gas</t>
        </is>
      </c>
      <c r="B207" s="3" t="inlineStr">
        <is>
          <t>Gas</t>
        </is>
      </c>
      <c r="C207" s="3" t="inlineStr">
        <is>
          <t>NATURAL_GAS</t>
        </is>
      </c>
      <c r="D207" s="3" t="inlineStr">
        <is>
          <t>INSEE BDM 010767333: Gaz naturel TTF, contrats à terme à la première échéance aux Pays-Bas - ICE Futures Europe - Prix en euros par mégawattheure</t>
        </is>
      </c>
      <c r="E207" s="3" t="inlineStr">
        <is>
          <t>kWh</t>
        </is>
      </c>
      <c r="F207" s="3" t="n">
        <v>0.105</v>
      </c>
      <c r="G207" s="3" t="inlineStr">
        <is>
          <t>2022-11</t>
        </is>
      </c>
      <c r="H207" s="3" t="n">
        <v>0.6151</v>
      </c>
    </row>
    <row r="208" ht="20" customHeight="1">
      <c r="A208" s="3" t="inlineStr">
        <is>
          <t>Cooking gas</t>
        </is>
      </c>
      <c r="B208" s="3" t="inlineStr">
        <is>
          <t>Gas</t>
        </is>
      </c>
      <c r="C208" s="3" t="inlineStr">
        <is>
          <t>NATURAL_GAS</t>
        </is>
      </c>
      <c r="D208" s="3" t="inlineStr">
        <is>
          <t>INSEE BDM 010767333: Gaz naturel TTF, contrats à terme à la première échéance aux Pays-Bas - ICE Futures Europe - Prix en euros par mégawattheure</t>
        </is>
      </c>
      <c r="E208" s="3" t="inlineStr">
        <is>
          <t>kWh</t>
        </is>
      </c>
      <c r="F208" s="3" t="n">
        <v>0.105</v>
      </c>
      <c r="G208" s="3" t="inlineStr">
        <is>
          <t>2022-12</t>
        </is>
      </c>
      <c r="H208" s="3" t="n">
        <v>0.5981</v>
      </c>
    </row>
    <row r="209" ht="20" customHeight="1">
      <c r="A209" s="3" t="inlineStr">
        <is>
          <t>Cooking gas</t>
        </is>
      </c>
      <c r="B209" s="3" t="inlineStr">
        <is>
          <t>Gas</t>
        </is>
      </c>
      <c r="C209" s="3" t="inlineStr">
        <is>
          <t>NATURAL_GAS</t>
        </is>
      </c>
      <c r="D209" s="3" t="inlineStr">
        <is>
          <t>INSEE BDM 010767333: Gaz naturel TTF, contrats à terme à la première échéance aux Pays-Bas - ICE Futures Europe - Prix en euros par mégawattheure</t>
        </is>
      </c>
      <c r="E209" s="3" t="inlineStr">
        <is>
          <t>kWh</t>
        </is>
      </c>
      <c r="F209" s="3" t="n">
        <v>0.105</v>
      </c>
      <c r="G209" s="3" t="inlineStr">
        <is>
          <t>2023-01</t>
        </is>
      </c>
      <c r="H209" s="3" t="n">
        <v>0.3289</v>
      </c>
    </row>
    <row r="210" ht="20" customHeight="1">
      <c r="A210" s="3" t="inlineStr">
        <is>
          <t>Cooking gas</t>
        </is>
      </c>
      <c r="B210" s="3" t="inlineStr">
        <is>
          <t>Gas</t>
        </is>
      </c>
      <c r="C210" s="3" t="inlineStr">
        <is>
          <t>NATURAL_GAS</t>
        </is>
      </c>
      <c r="D210" s="3" t="inlineStr">
        <is>
          <t>INSEE BDM 010767333: Gaz naturel TTF, contrats à terme à la première échéance aux Pays-Bas - ICE Futures Europe - Prix en euros par mégawattheure</t>
        </is>
      </c>
      <c r="E210" s="3" t="inlineStr">
        <is>
          <t>kWh</t>
        </is>
      </c>
      <c r="F210" s="3" t="n">
        <v>0.105</v>
      </c>
      <c r="G210" s="3" t="inlineStr">
        <is>
          <t>2023-02</t>
        </is>
      </c>
      <c r="H210" s="3" t="n">
        <v>0.2707</v>
      </c>
    </row>
    <row r="211" ht="20" customHeight="1">
      <c r="A211" s="3" t="inlineStr">
        <is>
          <t>Cooking gas</t>
        </is>
      </c>
      <c r="B211" s="3" t="inlineStr">
        <is>
          <t>Gas</t>
        </is>
      </c>
      <c r="C211" s="3" t="inlineStr">
        <is>
          <t>NATURAL_GAS</t>
        </is>
      </c>
      <c r="D211" s="3" t="inlineStr">
        <is>
          <t>INSEE BDM 010767333: Gaz naturel TTF, contrats à terme à la première échéance aux Pays-Bas - ICE Futures Europe - Prix en euros par mégawattheure</t>
        </is>
      </c>
      <c r="E211" s="3" t="inlineStr">
        <is>
          <t>kWh</t>
        </is>
      </c>
      <c r="F211" s="3" t="n">
        <v>0.105</v>
      </c>
      <c r="G211" s="3" t="inlineStr">
        <is>
          <t>2023-03</t>
        </is>
      </c>
      <c r="H211" s="3" t="n">
        <v>0.2265</v>
      </c>
    </row>
    <row r="212" ht="20" customHeight="1">
      <c r="A212" s="3" t="inlineStr">
        <is>
          <t>Cooking gas</t>
        </is>
      </c>
      <c r="B212" s="3" t="inlineStr">
        <is>
          <t>Gas</t>
        </is>
      </c>
      <c r="C212" s="3" t="inlineStr">
        <is>
          <t>NATURAL_GAS</t>
        </is>
      </c>
      <c r="D212" s="3" t="inlineStr">
        <is>
          <t>INSEE BDM 010767333: Gaz naturel TTF, contrats à terme à la première échéance aux Pays-Bas - ICE Futures Europe - Prix en euros par mégawattheure</t>
        </is>
      </c>
      <c r="E212" s="3" t="inlineStr">
        <is>
          <t>kWh</t>
        </is>
      </c>
      <c r="F212" s="3" t="n">
        <v>0.105</v>
      </c>
      <c r="G212" s="3" t="inlineStr">
        <is>
          <t>2023-04</t>
        </is>
      </c>
      <c r="H212" s="3" t="n">
        <v>0.2167</v>
      </c>
    </row>
    <row r="213" ht="20" customHeight="1">
      <c r="A213" s="3" t="inlineStr">
        <is>
          <t>Cooking gas</t>
        </is>
      </c>
      <c r="B213" s="3" t="inlineStr">
        <is>
          <t>Gas</t>
        </is>
      </c>
      <c r="C213" s="3" t="inlineStr">
        <is>
          <t>NATURAL_GAS</t>
        </is>
      </c>
      <c r="D213" s="3" t="inlineStr">
        <is>
          <t>INSEE BDM 010767333: Gaz naturel TTF, contrats à terme à la première échéance aux Pays-Bas - ICE Futures Europe - Prix en euros par mégawattheure</t>
        </is>
      </c>
      <c r="E213" s="3" t="inlineStr">
        <is>
          <t>kWh</t>
        </is>
      </c>
      <c r="F213" s="3" t="n">
        <v>0.105</v>
      </c>
      <c r="G213" s="3" t="inlineStr">
        <is>
          <t>2023-05</t>
        </is>
      </c>
      <c r="H213" s="3" t="n">
        <v>0.1632</v>
      </c>
    </row>
    <row r="214" ht="20" customHeight="1">
      <c r="A214" s="3" t="inlineStr">
        <is>
          <t>Cooking gas</t>
        </is>
      </c>
      <c r="B214" s="3" t="inlineStr">
        <is>
          <t>Gas</t>
        </is>
      </c>
      <c r="C214" s="3" t="inlineStr">
        <is>
          <t>NATURAL_GAS</t>
        </is>
      </c>
      <c r="D214" s="3" t="inlineStr">
        <is>
          <t>INSEE BDM 010767333: Gaz naturel TTF, contrats à terme à la première échéance aux Pays-Bas - ICE Futures Europe - Prix en euros par mégawattheure</t>
        </is>
      </c>
      <c r="E214" s="3" t="inlineStr">
        <is>
          <t>kWh</t>
        </is>
      </c>
      <c r="F214" s="3" t="n">
        <v>0.105</v>
      </c>
      <c r="G214" s="3" t="inlineStr">
        <is>
          <t>2023-06</t>
        </is>
      </c>
      <c r="H214" s="3" t="n">
        <v>0.1678</v>
      </c>
    </row>
    <row r="215" ht="20" customHeight="1">
      <c r="A215" s="3" t="inlineStr">
        <is>
          <t>Cooking gas</t>
        </is>
      </c>
      <c r="B215" s="3" t="inlineStr">
        <is>
          <t>Gas</t>
        </is>
      </c>
      <c r="C215" s="3" t="inlineStr">
        <is>
          <t>NATURAL_GAS</t>
        </is>
      </c>
      <c r="D215" s="3" t="inlineStr">
        <is>
          <t>INSEE BDM 010767333: Gaz naturel TTF, contrats à terme à la première échéance aux Pays-Bas - ICE Futures Europe - Prix en euros par mégawattheure</t>
        </is>
      </c>
      <c r="E215" s="3" t="inlineStr">
        <is>
          <t>kWh</t>
        </is>
      </c>
      <c r="F215" s="3" t="n">
        <v>0.105</v>
      </c>
      <c r="G215" s="3" t="inlineStr">
        <is>
          <t>2023-07</t>
        </is>
      </c>
      <c r="H215" s="3" t="n">
        <v>0.1518</v>
      </c>
    </row>
    <row r="216" ht="20" customHeight="1">
      <c r="A216" s="3" t="inlineStr">
        <is>
          <t>Cooking gas</t>
        </is>
      </c>
      <c r="B216" s="3" t="inlineStr">
        <is>
          <t>Gas</t>
        </is>
      </c>
      <c r="C216" s="3" t="inlineStr">
        <is>
          <t>NATURAL_GAS</t>
        </is>
      </c>
      <c r="D216" s="3" t="inlineStr">
        <is>
          <t>INSEE BDM 010767333: Gaz naturel TTF, contrats à terme à la première échéance aux Pays-Bas - ICE Futures Europe - Prix en euros par mégawattheure</t>
        </is>
      </c>
      <c r="E216" s="3" t="inlineStr">
        <is>
          <t>kWh</t>
        </is>
      </c>
      <c r="F216" s="3" t="n">
        <v>0.105</v>
      </c>
      <c r="G216" s="3" t="inlineStr">
        <is>
          <t>2023-08</t>
        </is>
      </c>
      <c r="H216" s="3" t="n">
        <v>0.1801</v>
      </c>
    </row>
    <row r="217" ht="20" customHeight="1">
      <c r="A217" s="3" t="inlineStr">
        <is>
          <t>Cooking gas</t>
        </is>
      </c>
      <c r="B217" s="3" t="inlineStr">
        <is>
          <t>Gas</t>
        </is>
      </c>
      <c r="C217" s="3" t="inlineStr">
        <is>
          <t>NATURAL_GAS</t>
        </is>
      </c>
      <c r="D217" s="3" t="inlineStr">
        <is>
          <t>INSEE BDM 010767333: Gaz naturel TTF, contrats à terme à la première échéance aux Pays-Bas - ICE Futures Europe - Prix en euros par mégawattheure</t>
        </is>
      </c>
      <c r="E217" s="3" t="inlineStr">
        <is>
          <t>kWh</t>
        </is>
      </c>
      <c r="F217" s="3" t="n">
        <v>0.105</v>
      </c>
      <c r="G217" s="3" t="inlineStr">
        <is>
          <t>2023-09</t>
        </is>
      </c>
      <c r="H217" s="3" t="n">
        <v>0.1899</v>
      </c>
    </row>
    <row r="218" ht="20" customHeight="1">
      <c r="A218" s="3" t="inlineStr">
        <is>
          <t>Cooking gas</t>
        </is>
      </c>
      <c r="B218" s="3" t="inlineStr">
        <is>
          <t>Gas</t>
        </is>
      </c>
      <c r="C218" s="3" t="inlineStr">
        <is>
          <t>NATURAL_GAS</t>
        </is>
      </c>
      <c r="D218" s="3" t="inlineStr">
        <is>
          <t>INSEE BDM 010767333: Gaz naturel TTF, contrats à terme à la première échéance aux Pays-Bas - ICE Futures Europe - Prix en euros par mégawattheure</t>
        </is>
      </c>
      <c r="E218" s="3" t="inlineStr">
        <is>
          <t>kWh</t>
        </is>
      </c>
      <c r="F218" s="3" t="n">
        <v>0.105</v>
      </c>
      <c r="G218" s="3" t="inlineStr">
        <is>
          <t>2023-10</t>
        </is>
      </c>
      <c r="H218" s="3" t="n">
        <v>0.2424</v>
      </c>
    </row>
    <row r="219" ht="20" customHeight="1">
      <c r="A219" s="3" t="inlineStr">
        <is>
          <t>Cooking gas</t>
        </is>
      </c>
      <c r="B219" s="3" t="inlineStr">
        <is>
          <t>Gas</t>
        </is>
      </c>
      <c r="C219" s="3" t="inlineStr">
        <is>
          <t>NATURAL_GAS</t>
        </is>
      </c>
      <c r="D219" s="3" t="inlineStr">
        <is>
          <t>INSEE BDM 010767333: Gaz naturel TTF, contrats à terme à la première échéance aux Pays-Bas - ICE Futures Europe - Prix en euros par mégawattheure</t>
        </is>
      </c>
      <c r="E219" s="3" t="inlineStr">
        <is>
          <t>kWh</t>
        </is>
      </c>
      <c r="F219" s="3" t="n">
        <v>0.105</v>
      </c>
      <c r="G219" s="3" t="inlineStr">
        <is>
          <t>2023-11</t>
        </is>
      </c>
      <c r="H219" s="3" t="n">
        <v>0.2352</v>
      </c>
    </row>
    <row r="220" ht="20" customHeight="1">
      <c r="A220" s="3" t="inlineStr">
        <is>
          <t>Cooking gas</t>
        </is>
      </c>
      <c r="B220" s="3" t="inlineStr">
        <is>
          <t>Gas</t>
        </is>
      </c>
      <c r="C220" s="3" t="inlineStr">
        <is>
          <t>NATURAL_GAS</t>
        </is>
      </c>
      <c r="D220" s="3" t="inlineStr">
        <is>
          <t>INSEE BDM 010767333: Gaz naturel TTF, contrats à terme à la première échéance aux Pays-Bas - ICE Futures Europe - Prix en euros par mégawattheure</t>
        </is>
      </c>
      <c r="E220" s="3" t="inlineStr">
        <is>
          <t>kWh</t>
        </is>
      </c>
      <c r="F220" s="3" t="n">
        <v>0.105</v>
      </c>
      <c r="G220" s="3" t="inlineStr">
        <is>
          <t>2023-12</t>
        </is>
      </c>
      <c r="H220" s="3" t="n">
        <v>0.1853</v>
      </c>
    </row>
    <row r="221" ht="20" customHeight="1">
      <c r="A221" s="3" t="inlineStr">
        <is>
          <t>Rent</t>
        </is>
      </c>
      <c r="B221" s="3" t="n"/>
      <c r="C221" s="3" t="inlineStr">
        <is>
          <t>RENT_COMMERCIAL</t>
        </is>
      </c>
      <c r="D221" s="3" t="inlineStr">
        <is>
          <t>INSEE BDM 001532540: Indice des loyers commerciaux (ILC) - Base 100 au 1er trimestre 2008</t>
        </is>
      </c>
      <c r="E221" s="3" t="inlineStr">
        <is>
          <t>monthly package</t>
        </is>
      </c>
      <c r="F221" s="3" t="n">
        <v>5200</v>
      </c>
      <c r="G221" s="3" t="inlineStr">
        <is>
          <t>2021-01</t>
        </is>
      </c>
      <c r="H221" s="3" t="n">
        <v>5200</v>
      </c>
    </row>
    <row r="222" ht="20" customHeight="1">
      <c r="A222" s="3" t="inlineStr">
        <is>
          <t>Rent</t>
        </is>
      </c>
      <c r="B222" s="3" t="n"/>
      <c r="C222" s="3" t="inlineStr">
        <is>
          <t>RENT_COMMERCIAL</t>
        </is>
      </c>
      <c r="D222" s="3" t="inlineStr">
        <is>
          <t>INSEE BDM 001532540: Indice des loyers commerciaux (ILC) - Base 100 au 1er trimestre 2008</t>
        </is>
      </c>
      <c r="E222" s="3" t="inlineStr">
        <is>
          <t>monthly package</t>
        </is>
      </c>
      <c r="F222" s="3" t="n">
        <v>5200</v>
      </c>
      <c r="G222" s="3" t="inlineStr">
        <is>
          <t>2021-02</t>
        </is>
      </c>
      <c r="H222" s="3" t="n">
        <v>5200</v>
      </c>
    </row>
    <row r="223" ht="20" customHeight="1">
      <c r="A223" s="3" t="inlineStr">
        <is>
          <t>Rent</t>
        </is>
      </c>
      <c r="B223" s="3" t="n"/>
      <c r="C223" s="3" t="inlineStr">
        <is>
          <t>RENT_COMMERCIAL</t>
        </is>
      </c>
      <c r="D223" s="3" t="inlineStr">
        <is>
          <t>INSEE BDM 001532540: Indice des loyers commerciaux (ILC) - Base 100 au 1er trimestre 2008</t>
        </is>
      </c>
      <c r="E223" s="3" t="inlineStr">
        <is>
          <t>monthly package</t>
        </is>
      </c>
      <c r="F223" s="3" t="n">
        <v>5200</v>
      </c>
      <c r="G223" s="3" t="inlineStr">
        <is>
          <t>2021-03</t>
        </is>
      </c>
      <c r="H223" s="3" t="n">
        <v>5200</v>
      </c>
    </row>
    <row r="224" ht="20" customHeight="1">
      <c r="A224" s="3" t="inlineStr">
        <is>
          <t>Rent</t>
        </is>
      </c>
      <c r="B224" s="3" t="n"/>
      <c r="C224" s="3" t="inlineStr">
        <is>
          <t>RENT_COMMERCIAL</t>
        </is>
      </c>
      <c r="D224" s="3" t="inlineStr">
        <is>
          <t>INSEE BDM 001532540: Indice des loyers commerciaux (ILC) - Base 100 au 1er trimestre 2008</t>
        </is>
      </c>
      <c r="E224" s="3" t="inlineStr">
        <is>
          <t>monthly package</t>
        </is>
      </c>
      <c r="F224" s="3" t="n">
        <v>5200</v>
      </c>
      <c r="G224" s="3" t="inlineStr">
        <is>
          <t>2021-04</t>
        </is>
      </c>
      <c r="H224" s="3" t="n">
        <v>5200</v>
      </c>
    </row>
    <row r="225" ht="20" customHeight="1">
      <c r="A225" s="3" t="inlineStr">
        <is>
          <t>Rent</t>
        </is>
      </c>
      <c r="B225" s="3" t="n"/>
      <c r="C225" s="3" t="inlineStr">
        <is>
          <t>RENT_COMMERCIAL</t>
        </is>
      </c>
      <c r="D225" s="3" t="inlineStr">
        <is>
          <t>INSEE BDM 001532540: Indice des loyers commerciaux (ILC) - Base 100 au 1er trimestre 2008</t>
        </is>
      </c>
      <c r="E225" s="3" t="inlineStr">
        <is>
          <t>monthly package</t>
        </is>
      </c>
      <c r="F225" s="3" t="n">
        <v>5200</v>
      </c>
      <c r="G225" s="3" t="inlineStr">
        <is>
          <t>2021-05</t>
        </is>
      </c>
      <c r="H225" s="3" t="n">
        <v>5200</v>
      </c>
    </row>
    <row r="226" ht="20" customHeight="1">
      <c r="A226" s="3" t="inlineStr">
        <is>
          <t>Rent</t>
        </is>
      </c>
      <c r="B226" s="3" t="n"/>
      <c r="C226" s="3" t="inlineStr">
        <is>
          <t>RENT_COMMERCIAL</t>
        </is>
      </c>
      <c r="D226" s="3" t="inlineStr">
        <is>
          <t>INSEE BDM 001532540: Indice des loyers commerciaux (ILC) - Base 100 au 1er trimestre 2008</t>
        </is>
      </c>
      <c r="E226" s="3" t="inlineStr">
        <is>
          <t>monthly package</t>
        </is>
      </c>
      <c r="F226" s="3" t="n">
        <v>5200</v>
      </c>
      <c r="G226" s="3" t="inlineStr">
        <is>
          <t>2021-06</t>
        </is>
      </c>
      <c r="H226" s="3" t="n">
        <v>5200</v>
      </c>
    </row>
    <row r="227" ht="20" customHeight="1">
      <c r="A227" s="3" t="inlineStr">
        <is>
          <t>Rent</t>
        </is>
      </c>
      <c r="B227" s="3" t="n"/>
      <c r="C227" s="3" t="inlineStr">
        <is>
          <t>RENT_COMMERCIAL</t>
        </is>
      </c>
      <c r="D227" s="3" t="inlineStr">
        <is>
          <t>INSEE BDM 001532540: Indice des loyers commerciaux (ILC) - Base 100 au 1er trimestre 2008</t>
        </is>
      </c>
      <c r="E227" s="3" t="inlineStr">
        <is>
          <t>monthly package</t>
        </is>
      </c>
      <c r="F227" s="3" t="n">
        <v>5200</v>
      </c>
      <c r="G227" s="3" t="inlineStr">
        <is>
          <t>2021-07</t>
        </is>
      </c>
      <c r="H227" s="3" t="n">
        <v>5200</v>
      </c>
    </row>
    <row r="228" ht="20" customHeight="1">
      <c r="A228" s="3" t="inlineStr">
        <is>
          <t>Rent</t>
        </is>
      </c>
      <c r="B228" s="3" t="n"/>
      <c r="C228" s="3" t="inlineStr">
        <is>
          <t>RENT_COMMERCIAL</t>
        </is>
      </c>
      <c r="D228" s="3" t="inlineStr">
        <is>
          <t>INSEE BDM 001532540: Indice des loyers commerciaux (ILC) - Base 100 au 1er trimestre 2008</t>
        </is>
      </c>
      <c r="E228" s="3" t="inlineStr">
        <is>
          <t>monthly package</t>
        </is>
      </c>
      <c r="F228" s="3" t="n">
        <v>5200</v>
      </c>
      <c r="G228" s="3" t="inlineStr">
        <is>
          <t>2021-08</t>
        </is>
      </c>
      <c r="H228" s="3" t="n">
        <v>5200</v>
      </c>
    </row>
    <row r="229" ht="20" customHeight="1">
      <c r="A229" s="3" t="inlineStr">
        <is>
          <t>Rent</t>
        </is>
      </c>
      <c r="B229" s="3" t="n"/>
      <c r="C229" s="3" t="inlineStr">
        <is>
          <t>RENT_COMMERCIAL</t>
        </is>
      </c>
      <c r="D229" s="3" t="inlineStr">
        <is>
          <t>INSEE BDM 001532540: Indice des loyers commerciaux (ILC) - Base 100 au 1er trimestre 2008</t>
        </is>
      </c>
      <c r="E229" s="3" t="inlineStr">
        <is>
          <t>monthly package</t>
        </is>
      </c>
      <c r="F229" s="3" t="n">
        <v>5200</v>
      </c>
      <c r="G229" s="3" t="inlineStr">
        <is>
          <t>2021-09</t>
        </is>
      </c>
      <c r="H229" s="3" t="n">
        <v>5200</v>
      </c>
    </row>
    <row r="230" ht="20" customHeight="1">
      <c r="A230" s="3" t="inlineStr">
        <is>
          <t>Rent</t>
        </is>
      </c>
      <c r="B230" s="3" t="n"/>
      <c r="C230" s="3" t="inlineStr">
        <is>
          <t>RENT_COMMERCIAL</t>
        </is>
      </c>
      <c r="D230" s="3" t="inlineStr">
        <is>
          <t>INSEE BDM 001532540: Indice des loyers commerciaux (ILC) - Base 100 au 1er trimestre 2008</t>
        </is>
      </c>
      <c r="E230" s="3" t="inlineStr">
        <is>
          <t>monthly package</t>
        </is>
      </c>
      <c r="F230" s="3" t="n">
        <v>5200</v>
      </c>
      <c r="G230" s="3" t="inlineStr">
        <is>
          <t>2021-10</t>
        </is>
      </c>
      <c r="H230" s="3" t="n">
        <v>5200</v>
      </c>
    </row>
    <row r="231" ht="20" customHeight="1">
      <c r="A231" s="3" t="inlineStr">
        <is>
          <t>Rent</t>
        </is>
      </c>
      <c r="B231" s="3" t="n"/>
      <c r="C231" s="3" t="inlineStr">
        <is>
          <t>RENT_COMMERCIAL</t>
        </is>
      </c>
      <c r="D231" s="3" t="inlineStr">
        <is>
          <t>INSEE BDM 001532540: Indice des loyers commerciaux (ILC) - Base 100 au 1er trimestre 2008</t>
        </is>
      </c>
      <c r="E231" s="3" t="inlineStr">
        <is>
          <t>monthly package</t>
        </is>
      </c>
      <c r="F231" s="3" t="n">
        <v>5200</v>
      </c>
      <c r="G231" s="3" t="inlineStr">
        <is>
          <t>2021-11</t>
        </is>
      </c>
      <c r="H231" s="3" t="n">
        <v>5200</v>
      </c>
    </row>
    <row r="232" ht="20" customHeight="1">
      <c r="A232" s="3" t="inlineStr">
        <is>
          <t>Rent</t>
        </is>
      </c>
      <c r="B232" s="3" t="n"/>
      <c r="C232" s="3" t="inlineStr">
        <is>
          <t>RENT_COMMERCIAL</t>
        </is>
      </c>
      <c r="D232" s="3" t="inlineStr">
        <is>
          <t>INSEE BDM 001532540: Indice des loyers commerciaux (ILC) - Base 100 au 1er trimestre 2008</t>
        </is>
      </c>
      <c r="E232" s="3" t="inlineStr">
        <is>
          <t>monthly package</t>
        </is>
      </c>
      <c r="F232" s="3" t="n">
        <v>5200</v>
      </c>
      <c r="G232" s="3" t="inlineStr">
        <is>
          <t>2021-12</t>
        </is>
      </c>
      <c r="H232" s="3" t="n">
        <v>5200</v>
      </c>
    </row>
    <row r="233" ht="20" customHeight="1">
      <c r="A233" s="3" t="inlineStr">
        <is>
          <t>Rent</t>
        </is>
      </c>
      <c r="B233" s="3" t="n"/>
      <c r="C233" s="3" t="inlineStr">
        <is>
          <t>RENT_COMMERCIAL</t>
        </is>
      </c>
      <c r="D233" s="3" t="inlineStr">
        <is>
          <t>INSEE BDM 001532540: Indice des loyers commerciaux (ILC) - Base 100 au 1er trimestre 2008</t>
        </is>
      </c>
      <c r="E233" s="3" t="inlineStr">
        <is>
          <t>monthly package</t>
        </is>
      </c>
      <c r="F233" s="3" t="n">
        <v>5200</v>
      </c>
      <c r="G233" s="3" t="inlineStr">
        <is>
          <t>2022-01</t>
        </is>
      </c>
      <c r="H233" s="3" t="n">
        <v>5200</v>
      </c>
    </row>
    <row r="234" ht="20" customHeight="1">
      <c r="A234" s="3" t="inlineStr">
        <is>
          <t>Rent</t>
        </is>
      </c>
      <c r="B234" s="3" t="n"/>
      <c r="C234" s="3" t="inlineStr">
        <is>
          <t>RENT_COMMERCIAL</t>
        </is>
      </c>
      <c r="D234" s="3" t="inlineStr">
        <is>
          <t>INSEE BDM 001532540: Indice des loyers commerciaux (ILC) - Base 100 au 1er trimestre 2008</t>
        </is>
      </c>
      <c r="E234" s="3" t="inlineStr">
        <is>
          <t>monthly package</t>
        </is>
      </c>
      <c r="F234" s="3" t="n">
        <v>5200</v>
      </c>
      <c r="G234" s="3" t="inlineStr">
        <is>
          <t>2022-02</t>
        </is>
      </c>
      <c r="H234" s="3" t="n">
        <v>5200</v>
      </c>
    </row>
    <row r="235" ht="20" customHeight="1">
      <c r="A235" s="3" t="inlineStr">
        <is>
          <t>Rent</t>
        </is>
      </c>
      <c r="B235" s="3" t="n"/>
      <c r="C235" s="3" t="inlineStr">
        <is>
          <t>RENT_COMMERCIAL</t>
        </is>
      </c>
      <c r="D235" s="3" t="inlineStr">
        <is>
          <t>INSEE BDM 001532540: Indice des loyers commerciaux (ILC) - Base 100 au 1er trimestre 2008</t>
        </is>
      </c>
      <c r="E235" s="3" t="inlineStr">
        <is>
          <t>monthly package</t>
        </is>
      </c>
      <c r="F235" s="3" t="n">
        <v>5200</v>
      </c>
      <c r="G235" s="3" t="inlineStr">
        <is>
          <t>2022-03</t>
        </is>
      </c>
      <c r="H235" s="3" t="n">
        <v>5200</v>
      </c>
    </row>
    <row r="236" ht="20" customHeight="1">
      <c r="A236" s="3" t="inlineStr">
        <is>
          <t>Rent</t>
        </is>
      </c>
      <c r="B236" s="3" t="n"/>
      <c r="C236" s="3" t="inlineStr">
        <is>
          <t>RENT_COMMERCIAL</t>
        </is>
      </c>
      <c r="D236" s="3" t="inlineStr">
        <is>
          <t>INSEE BDM 001532540: Indice des loyers commerciaux (ILC) - Base 100 au 1er trimestre 2008</t>
        </is>
      </c>
      <c r="E236" s="3" t="inlineStr">
        <is>
          <t>monthly package</t>
        </is>
      </c>
      <c r="F236" s="3" t="n">
        <v>5200</v>
      </c>
      <c r="G236" s="3" t="inlineStr">
        <is>
          <t>2022-04</t>
        </is>
      </c>
      <c r="H236" s="3" t="n">
        <v>5200</v>
      </c>
    </row>
    <row r="237" ht="20" customHeight="1">
      <c r="A237" s="3" t="inlineStr">
        <is>
          <t>Rent</t>
        </is>
      </c>
      <c r="B237" s="3" t="n"/>
      <c r="C237" s="3" t="inlineStr">
        <is>
          <t>RENT_COMMERCIAL</t>
        </is>
      </c>
      <c r="D237" s="3" t="inlineStr">
        <is>
          <t>INSEE BDM 001532540: Indice des loyers commerciaux (ILC) - Base 100 au 1er trimestre 2008</t>
        </is>
      </c>
      <c r="E237" s="3" t="inlineStr">
        <is>
          <t>monthly package</t>
        </is>
      </c>
      <c r="F237" s="3" t="n">
        <v>5200</v>
      </c>
      <c r="G237" s="3" t="inlineStr">
        <is>
          <t>2022-05</t>
        </is>
      </c>
      <c r="H237" s="3" t="n">
        <v>5200</v>
      </c>
    </row>
    <row r="238" ht="20" customHeight="1">
      <c r="A238" s="3" t="inlineStr">
        <is>
          <t>Rent</t>
        </is>
      </c>
      <c r="B238" s="3" t="n"/>
      <c r="C238" s="3" t="inlineStr">
        <is>
          <t>RENT_COMMERCIAL</t>
        </is>
      </c>
      <c r="D238" s="3" t="inlineStr">
        <is>
          <t>INSEE BDM 001532540: Indice des loyers commerciaux (ILC) - Base 100 au 1er trimestre 2008</t>
        </is>
      </c>
      <c r="E238" s="3" t="inlineStr">
        <is>
          <t>monthly package</t>
        </is>
      </c>
      <c r="F238" s="3" t="n">
        <v>5200</v>
      </c>
      <c r="G238" s="3" t="inlineStr">
        <is>
          <t>2022-06</t>
        </is>
      </c>
      <c r="H238" s="3" t="n">
        <v>5200</v>
      </c>
    </row>
    <row r="239" ht="20" customHeight="1">
      <c r="A239" s="3" t="inlineStr">
        <is>
          <t>Rent</t>
        </is>
      </c>
      <c r="B239" s="3" t="n"/>
      <c r="C239" s="3" t="inlineStr">
        <is>
          <t>RENT_COMMERCIAL</t>
        </is>
      </c>
      <c r="D239" s="3" t="inlineStr">
        <is>
          <t>INSEE BDM 001532540: Indice des loyers commerciaux (ILC) - Base 100 au 1er trimestre 2008</t>
        </is>
      </c>
      <c r="E239" s="3" t="inlineStr">
        <is>
          <t>monthly package</t>
        </is>
      </c>
      <c r="F239" s="3" t="n">
        <v>5200</v>
      </c>
      <c r="G239" s="3" t="inlineStr">
        <is>
          <t>2022-07</t>
        </is>
      </c>
      <c r="H239" s="3" t="n">
        <v>5200</v>
      </c>
    </row>
    <row r="240" ht="20" customHeight="1">
      <c r="A240" s="3" t="inlineStr">
        <is>
          <t>Rent</t>
        </is>
      </c>
      <c r="B240" s="3" t="n"/>
      <c r="C240" s="3" t="inlineStr">
        <is>
          <t>RENT_COMMERCIAL</t>
        </is>
      </c>
      <c r="D240" s="3" t="inlineStr">
        <is>
          <t>INSEE BDM 001532540: Indice des loyers commerciaux (ILC) - Base 100 au 1er trimestre 2008</t>
        </is>
      </c>
      <c r="E240" s="3" t="inlineStr">
        <is>
          <t>monthly package</t>
        </is>
      </c>
      <c r="F240" s="3" t="n">
        <v>5200</v>
      </c>
      <c r="G240" s="3" t="inlineStr">
        <is>
          <t>2022-08</t>
        </is>
      </c>
      <c r="H240" s="3" t="n">
        <v>5200</v>
      </c>
    </row>
    <row r="241" ht="20" customHeight="1">
      <c r="A241" s="3" t="inlineStr">
        <is>
          <t>Rent</t>
        </is>
      </c>
      <c r="B241" s="3" t="n"/>
      <c r="C241" s="3" t="inlineStr">
        <is>
          <t>RENT_COMMERCIAL</t>
        </is>
      </c>
      <c r="D241" s="3" t="inlineStr">
        <is>
          <t>INSEE BDM 001532540: Indice des loyers commerciaux (ILC) - Base 100 au 1er trimestre 2008</t>
        </is>
      </c>
      <c r="E241" s="3" t="inlineStr">
        <is>
          <t>monthly package</t>
        </is>
      </c>
      <c r="F241" s="3" t="n">
        <v>5200</v>
      </c>
      <c r="G241" s="3" t="inlineStr">
        <is>
          <t>2022-09</t>
        </is>
      </c>
      <c r="H241" s="3" t="n">
        <v>5200</v>
      </c>
    </row>
    <row r="242" ht="20" customHeight="1">
      <c r="A242" s="3" t="inlineStr">
        <is>
          <t>Rent</t>
        </is>
      </c>
      <c r="B242" s="3" t="n"/>
      <c r="C242" s="3" t="inlineStr">
        <is>
          <t>RENT_COMMERCIAL</t>
        </is>
      </c>
      <c r="D242" s="3" t="inlineStr">
        <is>
          <t>INSEE BDM 001532540: Indice des loyers commerciaux (ILC) - Base 100 au 1er trimestre 2008</t>
        </is>
      </c>
      <c r="E242" s="3" t="inlineStr">
        <is>
          <t>monthly package</t>
        </is>
      </c>
      <c r="F242" s="3" t="n">
        <v>5200</v>
      </c>
      <c r="G242" s="3" t="inlineStr">
        <is>
          <t>2022-10</t>
        </is>
      </c>
      <c r="H242" s="3" t="n">
        <v>5200</v>
      </c>
    </row>
    <row r="243" ht="20" customHeight="1">
      <c r="A243" s="3" t="inlineStr">
        <is>
          <t>Rent</t>
        </is>
      </c>
      <c r="B243" s="3" t="n"/>
      <c r="C243" s="3" t="inlineStr">
        <is>
          <t>RENT_COMMERCIAL</t>
        </is>
      </c>
      <c r="D243" s="3" t="inlineStr">
        <is>
          <t>INSEE BDM 001532540: Indice des loyers commerciaux (ILC) - Base 100 au 1er trimestre 2008</t>
        </is>
      </c>
      <c r="E243" s="3" t="inlineStr">
        <is>
          <t>monthly package</t>
        </is>
      </c>
      <c r="F243" s="3" t="n">
        <v>5200</v>
      </c>
      <c r="G243" s="3" t="inlineStr">
        <is>
          <t>2022-11</t>
        </is>
      </c>
      <c r="H243" s="3" t="n">
        <v>5200</v>
      </c>
    </row>
    <row r="244" ht="20" customHeight="1">
      <c r="A244" s="3" t="inlineStr">
        <is>
          <t>Rent</t>
        </is>
      </c>
      <c r="B244" s="3" t="n"/>
      <c r="C244" s="3" t="inlineStr">
        <is>
          <t>RENT_COMMERCIAL</t>
        </is>
      </c>
      <c r="D244" s="3" t="inlineStr">
        <is>
          <t>INSEE BDM 001532540: Indice des loyers commerciaux (ILC) - Base 100 au 1er trimestre 2008</t>
        </is>
      </c>
      <c r="E244" s="3" t="inlineStr">
        <is>
          <t>monthly package</t>
        </is>
      </c>
      <c r="F244" s="3" t="n">
        <v>5200</v>
      </c>
      <c r="G244" s="3" t="inlineStr">
        <is>
          <t>2022-12</t>
        </is>
      </c>
      <c r="H244" s="3" t="n">
        <v>5200</v>
      </c>
    </row>
    <row r="245" ht="20" customHeight="1">
      <c r="A245" s="3" t="inlineStr">
        <is>
          <t>Rent</t>
        </is>
      </c>
      <c r="B245" s="3" t="n"/>
      <c r="C245" s="3" t="inlineStr">
        <is>
          <t>RENT_COMMERCIAL</t>
        </is>
      </c>
      <c r="D245" s="3" t="inlineStr">
        <is>
          <t>INSEE BDM 001532540: Indice des loyers commerciaux (ILC) - Base 100 au 1er trimestre 2008</t>
        </is>
      </c>
      <c r="E245" s="3" t="inlineStr">
        <is>
          <t>monthly package</t>
        </is>
      </c>
      <c r="F245" s="3" t="n">
        <v>5200</v>
      </c>
      <c r="G245" s="3" t="inlineStr">
        <is>
          <t>2023-01</t>
        </is>
      </c>
      <c r="H245" s="3" t="n">
        <v>5200</v>
      </c>
    </row>
    <row r="246" ht="20" customHeight="1">
      <c r="A246" s="3" t="inlineStr">
        <is>
          <t>Rent</t>
        </is>
      </c>
      <c r="B246" s="3" t="n"/>
      <c r="C246" s="3" t="inlineStr">
        <is>
          <t>RENT_COMMERCIAL</t>
        </is>
      </c>
      <c r="D246" s="3" t="inlineStr">
        <is>
          <t>INSEE BDM 001532540: Indice des loyers commerciaux (ILC) - Base 100 au 1er trimestre 2008</t>
        </is>
      </c>
      <c r="E246" s="3" t="inlineStr">
        <is>
          <t>monthly package</t>
        </is>
      </c>
      <c r="F246" s="3" t="n">
        <v>5200</v>
      </c>
      <c r="G246" s="3" t="inlineStr">
        <is>
          <t>2023-02</t>
        </is>
      </c>
      <c r="H246" s="3" t="n">
        <v>5200</v>
      </c>
    </row>
    <row r="247" ht="20" customHeight="1">
      <c r="A247" s="3" t="inlineStr">
        <is>
          <t>Rent</t>
        </is>
      </c>
      <c r="B247" s="3" t="n"/>
      <c r="C247" s="3" t="inlineStr">
        <is>
          <t>RENT_COMMERCIAL</t>
        </is>
      </c>
      <c r="D247" s="3" t="inlineStr">
        <is>
          <t>INSEE BDM 001532540: Indice des loyers commerciaux (ILC) - Base 100 au 1er trimestre 2008</t>
        </is>
      </c>
      <c r="E247" s="3" t="inlineStr">
        <is>
          <t>monthly package</t>
        </is>
      </c>
      <c r="F247" s="3" t="n">
        <v>5200</v>
      </c>
      <c r="G247" s="3" t="inlineStr">
        <is>
          <t>2023-03</t>
        </is>
      </c>
      <c r="H247" s="3" t="n">
        <v>5200</v>
      </c>
    </row>
    <row r="248" ht="20" customHeight="1">
      <c r="A248" s="3" t="inlineStr">
        <is>
          <t>Rent</t>
        </is>
      </c>
      <c r="B248" s="3" t="n"/>
      <c r="C248" s="3" t="inlineStr">
        <is>
          <t>RENT_COMMERCIAL</t>
        </is>
      </c>
      <c r="D248" s="3" t="inlineStr">
        <is>
          <t>INSEE BDM 001532540: Indice des loyers commerciaux (ILC) - Base 100 au 1er trimestre 2008</t>
        </is>
      </c>
      <c r="E248" s="3" t="inlineStr">
        <is>
          <t>monthly package</t>
        </is>
      </c>
      <c r="F248" s="3" t="n">
        <v>5200</v>
      </c>
      <c r="G248" s="3" t="inlineStr">
        <is>
          <t>2023-04</t>
        </is>
      </c>
      <c r="H248" s="3" t="n">
        <v>5200</v>
      </c>
    </row>
    <row r="249" ht="20" customHeight="1">
      <c r="A249" s="3" t="inlineStr">
        <is>
          <t>Rent</t>
        </is>
      </c>
      <c r="B249" s="3" t="n"/>
      <c r="C249" s="3" t="inlineStr">
        <is>
          <t>RENT_COMMERCIAL</t>
        </is>
      </c>
      <c r="D249" s="3" t="inlineStr">
        <is>
          <t>INSEE BDM 001532540: Indice des loyers commerciaux (ILC) - Base 100 au 1er trimestre 2008</t>
        </is>
      </c>
      <c r="E249" s="3" t="inlineStr">
        <is>
          <t>monthly package</t>
        </is>
      </c>
      <c r="F249" s="3" t="n">
        <v>5200</v>
      </c>
      <c r="G249" s="3" t="inlineStr">
        <is>
          <t>2023-05</t>
        </is>
      </c>
      <c r="H249" s="3" t="n">
        <v>5200</v>
      </c>
    </row>
    <row r="250" ht="20" customHeight="1">
      <c r="A250" s="3" t="inlineStr">
        <is>
          <t>Rent</t>
        </is>
      </c>
      <c r="B250" s="3" t="n"/>
      <c r="C250" s="3" t="inlineStr">
        <is>
          <t>RENT_COMMERCIAL</t>
        </is>
      </c>
      <c r="D250" s="3" t="inlineStr">
        <is>
          <t>INSEE BDM 001532540: Indice des loyers commerciaux (ILC) - Base 100 au 1er trimestre 2008</t>
        </is>
      </c>
      <c r="E250" s="3" t="inlineStr">
        <is>
          <t>monthly package</t>
        </is>
      </c>
      <c r="F250" s="3" t="n">
        <v>5200</v>
      </c>
      <c r="G250" s="3" t="inlineStr">
        <is>
          <t>2023-06</t>
        </is>
      </c>
      <c r="H250" s="3" t="n">
        <v>5200</v>
      </c>
    </row>
    <row r="251" ht="20" customHeight="1">
      <c r="A251" s="3" t="inlineStr">
        <is>
          <t>Rent</t>
        </is>
      </c>
      <c r="B251" s="3" t="n"/>
      <c r="C251" s="3" t="inlineStr">
        <is>
          <t>RENT_COMMERCIAL</t>
        </is>
      </c>
      <c r="D251" s="3" t="inlineStr">
        <is>
          <t>INSEE BDM 001532540: Indice des loyers commerciaux (ILC) - Base 100 au 1er trimestre 2008</t>
        </is>
      </c>
      <c r="E251" s="3" t="inlineStr">
        <is>
          <t>monthly package</t>
        </is>
      </c>
      <c r="F251" s="3" t="n">
        <v>5200</v>
      </c>
      <c r="G251" s="3" t="inlineStr">
        <is>
          <t>2023-07</t>
        </is>
      </c>
      <c r="H251" s="3" t="n">
        <v>5200</v>
      </c>
    </row>
    <row r="252" ht="20" customHeight="1">
      <c r="A252" s="3" t="inlineStr">
        <is>
          <t>Rent</t>
        </is>
      </c>
      <c r="B252" s="3" t="n"/>
      <c r="C252" s="3" t="inlineStr">
        <is>
          <t>RENT_COMMERCIAL</t>
        </is>
      </c>
      <c r="D252" s="3" t="inlineStr">
        <is>
          <t>INSEE BDM 001532540: Indice des loyers commerciaux (ILC) - Base 100 au 1er trimestre 2008</t>
        </is>
      </c>
      <c r="E252" s="3" t="inlineStr">
        <is>
          <t>monthly package</t>
        </is>
      </c>
      <c r="F252" s="3" t="n">
        <v>5200</v>
      </c>
      <c r="G252" s="3" t="inlineStr">
        <is>
          <t>2023-08</t>
        </is>
      </c>
      <c r="H252" s="3" t="n">
        <v>5200</v>
      </c>
    </row>
    <row r="253" ht="20" customHeight="1">
      <c r="A253" s="3" t="inlineStr">
        <is>
          <t>Rent</t>
        </is>
      </c>
      <c r="B253" s="3" t="n"/>
      <c r="C253" s="3" t="inlineStr">
        <is>
          <t>RENT_COMMERCIAL</t>
        </is>
      </c>
      <c r="D253" s="3" t="inlineStr">
        <is>
          <t>INSEE BDM 001532540: Indice des loyers commerciaux (ILC) - Base 100 au 1er trimestre 2008</t>
        </is>
      </c>
      <c r="E253" s="3" t="inlineStr">
        <is>
          <t>monthly package</t>
        </is>
      </c>
      <c r="F253" s="3" t="n">
        <v>5200</v>
      </c>
      <c r="G253" s="3" t="inlineStr">
        <is>
          <t>2023-09</t>
        </is>
      </c>
      <c r="H253" s="3" t="n">
        <v>5200</v>
      </c>
    </row>
    <row r="254" ht="20" customHeight="1">
      <c r="A254" s="3" t="inlineStr">
        <is>
          <t>Rent</t>
        </is>
      </c>
      <c r="B254" s="3" t="n"/>
      <c r="C254" s="3" t="inlineStr">
        <is>
          <t>RENT_COMMERCIAL</t>
        </is>
      </c>
      <c r="D254" s="3" t="inlineStr">
        <is>
          <t>INSEE BDM 001532540: Indice des loyers commerciaux (ILC) - Base 100 au 1er trimestre 2008</t>
        </is>
      </c>
      <c r="E254" s="3" t="inlineStr">
        <is>
          <t>monthly package</t>
        </is>
      </c>
      <c r="F254" s="3" t="n">
        <v>5200</v>
      </c>
      <c r="G254" s="3" t="inlineStr">
        <is>
          <t>2023-10</t>
        </is>
      </c>
      <c r="H254" s="3" t="n">
        <v>5200</v>
      </c>
    </row>
    <row r="255" ht="20" customHeight="1">
      <c r="A255" s="3" t="inlineStr">
        <is>
          <t>Rent</t>
        </is>
      </c>
      <c r="B255" s="3" t="n"/>
      <c r="C255" s="3" t="inlineStr">
        <is>
          <t>RENT_COMMERCIAL</t>
        </is>
      </c>
      <c r="D255" s="3" t="inlineStr">
        <is>
          <t>INSEE BDM 001532540: Indice des loyers commerciaux (ILC) - Base 100 au 1er trimestre 2008</t>
        </is>
      </c>
      <c r="E255" s="3" t="inlineStr">
        <is>
          <t>monthly package</t>
        </is>
      </c>
      <c r="F255" s="3" t="n">
        <v>5200</v>
      </c>
      <c r="G255" s="3" t="inlineStr">
        <is>
          <t>2023-11</t>
        </is>
      </c>
      <c r="H255" s="3" t="n">
        <v>5200</v>
      </c>
    </row>
    <row r="256" ht="20" customHeight="1">
      <c r="A256" s="3" t="inlineStr">
        <is>
          <t>Rent</t>
        </is>
      </c>
      <c r="B256" s="3" t="n"/>
      <c r="C256" s="3" t="inlineStr">
        <is>
          <t>RENT_COMMERCIAL</t>
        </is>
      </c>
      <c r="D256" s="3" t="inlineStr">
        <is>
          <t>INSEE BDM 001532540: Indice des loyers commerciaux (ILC) - Base 100 au 1er trimestre 2008</t>
        </is>
      </c>
      <c r="E256" s="3" t="inlineStr">
        <is>
          <t>monthly package</t>
        </is>
      </c>
      <c r="F256" s="3" t="n">
        <v>5200</v>
      </c>
      <c r="G256" s="3" t="inlineStr">
        <is>
          <t>2023-12</t>
        </is>
      </c>
      <c r="H256" s="3" t="n">
        <v>5200</v>
      </c>
    </row>
    <row r="257" ht="20" customHeight="1">
      <c r="A257" s="3" t="inlineStr">
        <is>
          <t>Bread and flour-based inputs</t>
        </is>
      </c>
      <c r="B257" s="3" t="inlineStr">
        <is>
          <t>Wheat</t>
        </is>
      </c>
      <c r="C257" s="3" t="inlineStr">
        <is>
          <t>WHEAT</t>
        </is>
      </c>
      <c r="D257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57" s="3" t="inlineStr">
        <is>
          <t>monthly package</t>
        </is>
      </c>
      <c r="F257" s="3" t="n">
        <v>2500</v>
      </c>
      <c r="G257" s="3" t="inlineStr">
        <is>
          <t>2021-01</t>
        </is>
      </c>
      <c r="H257" s="3" t="n">
        <v>2500</v>
      </c>
    </row>
    <row r="258" ht="20" customHeight="1">
      <c r="A258" s="3" t="inlineStr">
        <is>
          <t>Bread and flour-based inputs</t>
        </is>
      </c>
      <c r="B258" s="3" t="inlineStr">
        <is>
          <t>Wheat</t>
        </is>
      </c>
      <c r="C258" s="3" t="inlineStr">
        <is>
          <t>WHEAT</t>
        </is>
      </c>
      <c r="D258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58" s="3" t="inlineStr">
        <is>
          <t>monthly package</t>
        </is>
      </c>
      <c r="F258" s="3" t="n">
        <v>2500</v>
      </c>
      <c r="G258" s="3" t="inlineStr">
        <is>
          <t>2021-02</t>
        </is>
      </c>
      <c r="H258" s="3" t="n">
        <v>2530.527</v>
      </c>
    </row>
    <row r="259" ht="20" customHeight="1">
      <c r="A259" s="3" t="inlineStr">
        <is>
          <t>Bread and flour-based inputs</t>
        </is>
      </c>
      <c r="B259" s="3" t="inlineStr">
        <is>
          <t>Wheat</t>
        </is>
      </c>
      <c r="C259" s="3" t="inlineStr">
        <is>
          <t>WHEAT</t>
        </is>
      </c>
      <c r="D259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59" s="3" t="inlineStr">
        <is>
          <t>monthly package</t>
        </is>
      </c>
      <c r="F259" s="3" t="n">
        <v>2500</v>
      </c>
      <c r="G259" s="3" t="inlineStr">
        <is>
          <t>2021-03</t>
        </is>
      </c>
      <c r="H259" s="3" t="n">
        <v>2391.1472</v>
      </c>
    </row>
    <row r="260" ht="20" customHeight="1">
      <c r="A260" s="3" t="inlineStr">
        <is>
          <t>Bread and flour-based inputs</t>
        </is>
      </c>
      <c r="B260" s="3" t="inlineStr">
        <is>
          <t>Wheat</t>
        </is>
      </c>
      <c r="C260" s="3" t="inlineStr">
        <is>
          <t>WHEAT</t>
        </is>
      </c>
      <c r="D260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60" s="3" t="inlineStr">
        <is>
          <t>monthly package</t>
        </is>
      </c>
      <c r="F260" s="3" t="n">
        <v>2500</v>
      </c>
      <c r="G260" s="3" t="inlineStr">
        <is>
          <t>2021-04</t>
        </is>
      </c>
      <c r="H260" s="3" t="n">
        <v>2502.0084</v>
      </c>
    </row>
    <row r="261" ht="20" customHeight="1">
      <c r="A261" s="3" t="inlineStr">
        <is>
          <t>Bread and flour-based inputs</t>
        </is>
      </c>
      <c r="B261" s="3" t="inlineStr">
        <is>
          <t>Wheat</t>
        </is>
      </c>
      <c r="C261" s="3" t="inlineStr">
        <is>
          <t>WHEAT</t>
        </is>
      </c>
      <c r="D261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61" s="3" t="inlineStr">
        <is>
          <t>monthly package</t>
        </is>
      </c>
      <c r="F261" s="3" t="n">
        <v>2500</v>
      </c>
      <c r="G261" s="3" t="inlineStr">
        <is>
          <t>2021-05</t>
        </is>
      </c>
      <c r="H261" s="3" t="n">
        <v>2642.9949</v>
      </c>
    </row>
    <row r="262" ht="20" customHeight="1">
      <c r="A262" s="3" t="inlineStr">
        <is>
          <t>Bread and flour-based inputs</t>
        </is>
      </c>
      <c r="B262" s="3" t="inlineStr">
        <is>
          <t>Wheat</t>
        </is>
      </c>
      <c r="C262" s="3" t="inlineStr">
        <is>
          <t>WHEAT</t>
        </is>
      </c>
      <c r="D262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62" s="3" t="inlineStr">
        <is>
          <t>monthly package</t>
        </is>
      </c>
      <c r="F262" s="3" t="n">
        <v>2500</v>
      </c>
      <c r="G262" s="3" t="inlineStr">
        <is>
          <t>2021-06</t>
        </is>
      </c>
      <c r="H262" s="3" t="n">
        <v>2492.7699</v>
      </c>
    </row>
    <row r="263" ht="20" customHeight="1">
      <c r="A263" s="3" t="inlineStr">
        <is>
          <t>Bread and flour-based inputs</t>
        </is>
      </c>
      <c r="B263" s="3" t="inlineStr">
        <is>
          <t>Wheat</t>
        </is>
      </c>
      <c r="C263" s="3" t="inlineStr">
        <is>
          <t>WHEAT</t>
        </is>
      </c>
      <c r="D263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63" s="3" t="inlineStr">
        <is>
          <t>monthly package</t>
        </is>
      </c>
      <c r="F263" s="3" t="n">
        <v>2500</v>
      </c>
      <c r="G263" s="3" t="inlineStr">
        <is>
          <t>2021-07</t>
        </is>
      </c>
      <c r="H263" s="3" t="n">
        <v>2544.9871</v>
      </c>
    </row>
    <row r="264" ht="20" customHeight="1">
      <c r="A264" s="3" t="inlineStr">
        <is>
          <t>Bread and flour-based inputs</t>
        </is>
      </c>
      <c r="B264" s="3" t="inlineStr">
        <is>
          <t>Wheat</t>
        </is>
      </c>
      <c r="C264" s="3" t="inlineStr">
        <is>
          <t>WHEAT</t>
        </is>
      </c>
      <c r="D264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64" s="3" t="inlineStr">
        <is>
          <t>monthly package</t>
        </is>
      </c>
      <c r="F264" s="3" t="n">
        <v>2500</v>
      </c>
      <c r="G264" s="3" t="inlineStr">
        <is>
          <t>2021-08</t>
        </is>
      </c>
      <c r="H264" s="3" t="n">
        <v>2857.4871</v>
      </c>
    </row>
    <row r="265" ht="20" customHeight="1">
      <c r="A265" s="3" t="inlineStr">
        <is>
          <t>Bread and flour-based inputs</t>
        </is>
      </c>
      <c r="B265" s="3" t="inlineStr">
        <is>
          <t>Wheat</t>
        </is>
      </c>
      <c r="C265" s="3" t="inlineStr">
        <is>
          <t>WHEAT</t>
        </is>
      </c>
      <c r="D265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65" s="3" t="inlineStr">
        <is>
          <t>monthly package</t>
        </is>
      </c>
      <c r="F265" s="3" t="n">
        <v>2500</v>
      </c>
      <c r="G265" s="3" t="inlineStr">
        <is>
          <t>2021-09</t>
        </is>
      </c>
      <c r="H265" s="3" t="n">
        <v>2832.1819</v>
      </c>
    </row>
    <row r="266" ht="20" customHeight="1">
      <c r="A266" s="3" t="inlineStr">
        <is>
          <t>Bread and flour-based inputs</t>
        </is>
      </c>
      <c r="B266" s="3" t="inlineStr">
        <is>
          <t>Wheat</t>
        </is>
      </c>
      <c r="C266" s="3" t="inlineStr">
        <is>
          <t>WHEAT</t>
        </is>
      </c>
      <c r="D266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66" s="3" t="inlineStr">
        <is>
          <t>monthly package</t>
        </is>
      </c>
      <c r="F266" s="3" t="n">
        <v>2500</v>
      </c>
      <c r="G266" s="3" t="inlineStr">
        <is>
          <t>2021-10</t>
        </is>
      </c>
      <c r="H266" s="3" t="n">
        <v>3030.2057</v>
      </c>
    </row>
    <row r="267" ht="20" customHeight="1">
      <c r="A267" s="3" t="inlineStr">
        <is>
          <t>Bread and flour-based inputs</t>
        </is>
      </c>
      <c r="B267" s="3" t="inlineStr">
        <is>
          <t>Wheat</t>
        </is>
      </c>
      <c r="C267" s="3" t="inlineStr">
        <is>
          <t>WHEAT</t>
        </is>
      </c>
      <c r="D267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67" s="3" t="inlineStr">
        <is>
          <t>monthly package</t>
        </is>
      </c>
      <c r="F267" s="3" t="n">
        <v>2500</v>
      </c>
      <c r="G267" s="3" t="inlineStr">
        <is>
          <t>2021-11</t>
        </is>
      </c>
      <c r="H267" s="3" t="n">
        <v>3312.1787</v>
      </c>
    </row>
    <row r="268" ht="20" customHeight="1">
      <c r="A268" s="3" t="inlineStr">
        <is>
          <t>Bread and flour-based inputs</t>
        </is>
      </c>
      <c r="B268" s="3" t="inlineStr">
        <is>
          <t>Wheat</t>
        </is>
      </c>
      <c r="C268" s="3" t="inlineStr">
        <is>
          <t>WHEAT</t>
        </is>
      </c>
      <c r="D268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68" s="3" t="inlineStr">
        <is>
          <t>monthly package</t>
        </is>
      </c>
      <c r="F268" s="3" t="n">
        <v>2500</v>
      </c>
      <c r="G268" s="3" t="inlineStr">
        <is>
          <t>2021-12</t>
        </is>
      </c>
      <c r="H268" s="3" t="n">
        <v>3292.8985</v>
      </c>
    </row>
    <row r="269" ht="20" customHeight="1">
      <c r="A269" s="3" t="inlineStr">
        <is>
          <t>Bread and flour-based inputs</t>
        </is>
      </c>
      <c r="B269" s="3" t="inlineStr">
        <is>
          <t>Wheat</t>
        </is>
      </c>
      <c r="C269" s="3" t="inlineStr">
        <is>
          <t>WHEAT</t>
        </is>
      </c>
      <c r="D269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69" s="3" t="inlineStr">
        <is>
          <t>monthly package</t>
        </is>
      </c>
      <c r="F269" s="3" t="n">
        <v>2500</v>
      </c>
      <c r="G269" s="3" t="inlineStr">
        <is>
          <t>2022-01</t>
        </is>
      </c>
      <c r="H269" s="3" t="n">
        <v>3170.3888</v>
      </c>
    </row>
    <row r="270" ht="20" customHeight="1">
      <c r="A270" s="3" t="inlineStr">
        <is>
          <t>Bread and flour-based inputs</t>
        </is>
      </c>
      <c r="B270" s="3" t="inlineStr">
        <is>
          <t>Wheat</t>
        </is>
      </c>
      <c r="C270" s="3" t="inlineStr">
        <is>
          <t>WHEAT</t>
        </is>
      </c>
      <c r="D270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70" s="3" t="inlineStr">
        <is>
          <t>monthly package</t>
        </is>
      </c>
      <c r="F270" s="3" t="n">
        <v>2500</v>
      </c>
      <c r="G270" s="3" t="inlineStr">
        <is>
          <t>2022-02</t>
        </is>
      </c>
      <c r="H270" s="3" t="n">
        <v>3349.5341</v>
      </c>
    </row>
    <row r="271" ht="20" customHeight="1">
      <c r="A271" s="3" t="inlineStr">
        <is>
          <t>Bread and flour-based inputs</t>
        </is>
      </c>
      <c r="B271" s="3" t="inlineStr">
        <is>
          <t>Wheat</t>
        </is>
      </c>
      <c r="C271" s="3" t="inlineStr">
        <is>
          <t>WHEAT</t>
        </is>
      </c>
      <c r="D271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71" s="3" t="inlineStr">
        <is>
          <t>monthly package</t>
        </is>
      </c>
      <c r="F271" s="3" t="n">
        <v>2500</v>
      </c>
      <c r="G271" s="3" t="inlineStr">
        <is>
          <t>2022-03</t>
        </is>
      </c>
      <c r="H271" s="3" t="n">
        <v>4417.1754</v>
      </c>
    </row>
    <row r="272" ht="20" customHeight="1">
      <c r="A272" s="3" t="inlineStr">
        <is>
          <t>Bread and flour-based inputs</t>
        </is>
      </c>
      <c r="B272" s="3" t="inlineStr">
        <is>
          <t>Wheat</t>
        </is>
      </c>
      <c r="C272" s="3" t="inlineStr">
        <is>
          <t>WHEAT</t>
        </is>
      </c>
      <c r="D272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72" s="3" t="inlineStr">
        <is>
          <t>monthly package</t>
        </is>
      </c>
      <c r="F272" s="3" t="n">
        <v>2500</v>
      </c>
      <c r="G272" s="3" t="inlineStr">
        <is>
          <t>2022-04</t>
        </is>
      </c>
      <c r="H272" s="3" t="n">
        <v>4516.7898</v>
      </c>
    </row>
    <row r="273" ht="20" customHeight="1">
      <c r="A273" s="3" t="inlineStr">
        <is>
          <t>Bread and flour-based inputs</t>
        </is>
      </c>
      <c r="B273" s="3" t="inlineStr">
        <is>
          <t>Wheat</t>
        </is>
      </c>
      <c r="C273" s="3" t="inlineStr">
        <is>
          <t>WHEAT</t>
        </is>
      </c>
      <c r="D273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73" s="3" t="inlineStr">
        <is>
          <t>monthly package</t>
        </is>
      </c>
      <c r="F273" s="3" t="n">
        <v>2500</v>
      </c>
      <c r="G273" s="3" t="inlineStr">
        <is>
          <t>2022-05</t>
        </is>
      </c>
      <c r="H273" s="3" t="n">
        <v>4899.9839</v>
      </c>
    </row>
    <row r="274" ht="20" customHeight="1">
      <c r="A274" s="3" t="inlineStr">
        <is>
          <t>Bread and flour-based inputs</t>
        </is>
      </c>
      <c r="B274" s="3" t="inlineStr">
        <is>
          <t>Wheat</t>
        </is>
      </c>
      <c r="C274" s="3" t="inlineStr">
        <is>
          <t>WHEAT</t>
        </is>
      </c>
      <c r="D274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74" s="3" t="inlineStr">
        <is>
          <t>monthly package</t>
        </is>
      </c>
      <c r="F274" s="3" t="n">
        <v>2500</v>
      </c>
      <c r="G274" s="3" t="inlineStr">
        <is>
          <t>2022-06</t>
        </is>
      </c>
      <c r="H274" s="3" t="n">
        <v>4368.9749</v>
      </c>
    </row>
    <row r="275" ht="20" customHeight="1">
      <c r="A275" s="3" t="inlineStr">
        <is>
          <t>Bread and flour-based inputs</t>
        </is>
      </c>
      <c r="B275" s="3" t="inlineStr">
        <is>
          <t>Wheat</t>
        </is>
      </c>
      <c r="C275" s="3" t="inlineStr">
        <is>
          <t>WHEAT</t>
        </is>
      </c>
      <c r="D275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75" s="3" t="inlineStr">
        <is>
          <t>monthly package</t>
        </is>
      </c>
      <c r="F275" s="3" t="n">
        <v>2500</v>
      </c>
      <c r="G275" s="3" t="inlineStr">
        <is>
          <t>2022-07</t>
        </is>
      </c>
      <c r="H275" s="3" t="n">
        <v>3503.7757</v>
      </c>
    </row>
    <row r="276" ht="20" customHeight="1">
      <c r="A276" s="3" t="inlineStr">
        <is>
          <t>Bread and flour-based inputs</t>
        </is>
      </c>
      <c r="B276" s="3" t="inlineStr">
        <is>
          <t>Wheat</t>
        </is>
      </c>
      <c r="C276" s="3" t="inlineStr">
        <is>
          <t>WHEAT</t>
        </is>
      </c>
      <c r="D276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76" s="3" t="inlineStr">
        <is>
          <t>monthly package</t>
        </is>
      </c>
      <c r="F276" s="3" t="n">
        <v>2500</v>
      </c>
      <c r="G276" s="3" t="inlineStr">
        <is>
          <t>2022-08</t>
        </is>
      </c>
      <c r="H276" s="3" t="n">
        <v>3494.1356</v>
      </c>
    </row>
    <row r="277" ht="20" customHeight="1">
      <c r="A277" s="3" t="inlineStr">
        <is>
          <t>Bread and flour-based inputs</t>
        </is>
      </c>
      <c r="B277" s="3" t="inlineStr">
        <is>
          <t>Wheat</t>
        </is>
      </c>
      <c r="C277" s="3" t="inlineStr">
        <is>
          <t>WHEAT</t>
        </is>
      </c>
      <c r="D277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77" s="3" t="inlineStr">
        <is>
          <t>monthly package</t>
        </is>
      </c>
      <c r="F277" s="3" t="n">
        <v>2500</v>
      </c>
      <c r="G277" s="3" t="inlineStr">
        <is>
          <t>2022-09</t>
        </is>
      </c>
      <c r="H277" s="3" t="n">
        <v>3749.5983</v>
      </c>
    </row>
    <row r="278" ht="20" customHeight="1">
      <c r="A278" s="3" t="inlineStr">
        <is>
          <t>Bread and flour-based inputs</t>
        </is>
      </c>
      <c r="B278" s="3" t="inlineStr">
        <is>
          <t>Wheat</t>
        </is>
      </c>
      <c r="C278" s="3" t="inlineStr">
        <is>
          <t>WHEAT</t>
        </is>
      </c>
      <c r="D278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78" s="3" t="inlineStr">
        <is>
          <t>monthly package</t>
        </is>
      </c>
      <c r="F278" s="3" t="n">
        <v>2500</v>
      </c>
      <c r="G278" s="3" t="inlineStr">
        <is>
          <t>2022-10</t>
        </is>
      </c>
      <c r="H278" s="3" t="n">
        <v>3864.8779</v>
      </c>
    </row>
    <row r="279" ht="20" customHeight="1">
      <c r="A279" s="3" t="inlineStr">
        <is>
          <t>Bread and flour-based inputs</t>
        </is>
      </c>
      <c r="B279" s="3" t="inlineStr">
        <is>
          <t>Wheat</t>
        </is>
      </c>
      <c r="C279" s="3" t="inlineStr">
        <is>
          <t>WHEAT</t>
        </is>
      </c>
      <c r="D279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79" s="3" t="inlineStr">
        <is>
          <t>monthly package</t>
        </is>
      </c>
      <c r="F279" s="3" t="n">
        <v>2500</v>
      </c>
      <c r="G279" s="3" t="inlineStr">
        <is>
          <t>2022-11</t>
        </is>
      </c>
      <c r="H279" s="3" t="n">
        <v>3768.8785</v>
      </c>
    </row>
    <row r="280" ht="20" customHeight="1">
      <c r="A280" s="3" t="inlineStr">
        <is>
          <t>Bread and flour-based inputs</t>
        </is>
      </c>
      <c r="B280" s="3" t="inlineStr">
        <is>
          <t>Wheat</t>
        </is>
      </c>
      <c r="C280" s="3" t="inlineStr">
        <is>
          <t>WHEAT</t>
        </is>
      </c>
      <c r="D280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80" s="3" t="inlineStr">
        <is>
          <t>monthly package</t>
        </is>
      </c>
      <c r="F280" s="3" t="n">
        <v>2500</v>
      </c>
      <c r="G280" s="3" t="inlineStr">
        <is>
          <t>2022-12</t>
        </is>
      </c>
      <c r="H280" s="3" t="n">
        <v>3479.2738</v>
      </c>
    </row>
    <row r="281" ht="20" customHeight="1">
      <c r="A281" s="3" t="inlineStr">
        <is>
          <t>Bread and flour-based inputs</t>
        </is>
      </c>
      <c r="B281" s="3" t="inlineStr">
        <is>
          <t>Wheat</t>
        </is>
      </c>
      <c r="C281" s="3" t="inlineStr">
        <is>
          <t>WHEAT</t>
        </is>
      </c>
      <c r="D281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81" s="3" t="inlineStr">
        <is>
          <t>monthly package</t>
        </is>
      </c>
      <c r="F281" s="3" t="n">
        <v>2500</v>
      </c>
      <c r="G281" s="3" t="inlineStr">
        <is>
          <t>2023-01</t>
        </is>
      </c>
      <c r="H281" s="3" t="n">
        <v>3390.5045</v>
      </c>
    </row>
    <row r="282" ht="20" customHeight="1">
      <c r="A282" s="3" t="inlineStr">
        <is>
          <t>Bread and flour-based inputs</t>
        </is>
      </c>
      <c r="B282" s="3" t="inlineStr">
        <is>
          <t>Wheat</t>
        </is>
      </c>
      <c r="C282" s="3" t="inlineStr">
        <is>
          <t>WHEAT</t>
        </is>
      </c>
      <c r="D282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82" s="3" t="inlineStr">
        <is>
          <t>monthly package</t>
        </is>
      </c>
      <c r="F282" s="3" t="n">
        <v>2500</v>
      </c>
      <c r="G282" s="3" t="inlineStr">
        <is>
          <t>2023-02</t>
        </is>
      </c>
      <c r="H282" s="3" t="n">
        <v>3535.5077</v>
      </c>
    </row>
    <row r="283" ht="20" customHeight="1">
      <c r="A283" s="3" t="inlineStr">
        <is>
          <t>Bread and flour-based inputs</t>
        </is>
      </c>
      <c r="B283" s="3" t="inlineStr">
        <is>
          <t>Wheat</t>
        </is>
      </c>
      <c r="C283" s="3" t="inlineStr">
        <is>
          <t>WHEAT</t>
        </is>
      </c>
      <c r="D283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83" s="3" t="inlineStr">
        <is>
          <t>monthly package</t>
        </is>
      </c>
      <c r="F283" s="3" t="n">
        <v>2500</v>
      </c>
      <c r="G283" s="3" t="inlineStr">
        <is>
          <t>2023-03</t>
        </is>
      </c>
      <c r="H283" s="3" t="n">
        <v>3331.8605</v>
      </c>
    </row>
    <row r="284" ht="20" customHeight="1">
      <c r="A284" s="3" t="inlineStr">
        <is>
          <t>Bread and flour-based inputs</t>
        </is>
      </c>
      <c r="B284" s="3" t="inlineStr">
        <is>
          <t>Wheat</t>
        </is>
      </c>
      <c r="C284" s="3" t="inlineStr">
        <is>
          <t>WHEAT</t>
        </is>
      </c>
      <c r="D284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84" s="3" t="inlineStr">
        <is>
          <t>monthly package</t>
        </is>
      </c>
      <c r="F284" s="3" t="n">
        <v>2500</v>
      </c>
      <c r="G284" s="3" t="inlineStr">
        <is>
          <t>2023-04</t>
        </is>
      </c>
      <c r="H284" s="3" t="n">
        <v>3417.0148</v>
      </c>
    </row>
    <row r="285" ht="20" customHeight="1">
      <c r="A285" s="3" t="inlineStr">
        <is>
          <t>Bread and flour-based inputs</t>
        </is>
      </c>
      <c r="B285" s="3" t="inlineStr">
        <is>
          <t>Wheat</t>
        </is>
      </c>
      <c r="C285" s="3" t="inlineStr">
        <is>
          <t>WHEAT</t>
        </is>
      </c>
      <c r="D285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85" s="3" t="inlineStr">
        <is>
          <t>monthly package</t>
        </is>
      </c>
      <c r="F285" s="3" t="n">
        <v>2500</v>
      </c>
      <c r="G285" s="3" t="inlineStr">
        <is>
          <t>2023-05</t>
        </is>
      </c>
      <c r="H285" s="3" t="n">
        <v>3402.5546</v>
      </c>
    </row>
    <row r="286" ht="20" customHeight="1">
      <c r="A286" s="3" t="inlineStr">
        <is>
          <t>Bread and flour-based inputs</t>
        </is>
      </c>
      <c r="B286" s="3" t="inlineStr">
        <is>
          <t>Wheat</t>
        </is>
      </c>
      <c r="C286" s="3" t="inlineStr">
        <is>
          <t>WHEAT</t>
        </is>
      </c>
      <c r="D286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86" s="3" t="inlineStr">
        <is>
          <t>monthly package</t>
        </is>
      </c>
      <c r="F286" s="3" t="n">
        <v>2500</v>
      </c>
      <c r="G286" s="3" t="inlineStr">
        <is>
          <t>2023-06</t>
        </is>
      </c>
      <c r="H286" s="3" t="n">
        <v>3292.8985</v>
      </c>
    </row>
    <row r="287" ht="20" customHeight="1">
      <c r="A287" s="3" t="inlineStr">
        <is>
          <t>Bread and flour-based inputs</t>
        </is>
      </c>
      <c r="B287" s="3" t="inlineStr">
        <is>
          <t>Wheat</t>
        </is>
      </c>
      <c r="C287" s="3" t="inlineStr">
        <is>
          <t>WHEAT</t>
        </is>
      </c>
      <c r="D287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87" s="3" t="inlineStr">
        <is>
          <t>monthly package</t>
        </is>
      </c>
      <c r="F287" s="3" t="n">
        <v>2500</v>
      </c>
      <c r="G287" s="3" t="inlineStr">
        <is>
          <t>2023-07</t>
        </is>
      </c>
      <c r="H287" s="3" t="n">
        <v>3384.8811</v>
      </c>
    </row>
    <row r="288" ht="20" customHeight="1">
      <c r="A288" s="3" t="inlineStr">
        <is>
          <t>Bread and flour-based inputs</t>
        </is>
      </c>
      <c r="B288" s="3" t="inlineStr">
        <is>
          <t>Wheat</t>
        </is>
      </c>
      <c r="C288" s="3" t="inlineStr">
        <is>
          <t>WHEAT</t>
        </is>
      </c>
      <c r="D288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88" s="3" t="inlineStr">
        <is>
          <t>monthly package</t>
        </is>
      </c>
      <c r="F288" s="3" t="n">
        <v>2500</v>
      </c>
      <c r="G288" s="3" t="inlineStr">
        <is>
          <t>2023-08</t>
        </is>
      </c>
      <c r="H288" s="3" t="n">
        <v>3020.1639</v>
      </c>
    </row>
    <row r="289" ht="20" customHeight="1">
      <c r="A289" s="3" t="inlineStr">
        <is>
          <t>Bread and flour-based inputs</t>
        </is>
      </c>
      <c r="B289" s="3" t="inlineStr">
        <is>
          <t>Wheat</t>
        </is>
      </c>
      <c r="C289" s="3" t="inlineStr">
        <is>
          <t>WHEAT</t>
        </is>
      </c>
      <c r="D289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89" s="3" t="inlineStr">
        <is>
          <t>monthly package</t>
        </is>
      </c>
      <c r="F289" s="3" t="n">
        <v>2500</v>
      </c>
      <c r="G289" s="3" t="inlineStr">
        <is>
          <t>2023-09</t>
        </is>
      </c>
      <c r="H289" s="3" t="n">
        <v>2890.8258</v>
      </c>
    </row>
    <row r="290" ht="20" customHeight="1">
      <c r="A290" s="3" t="inlineStr">
        <is>
          <t>Bread and flour-based inputs</t>
        </is>
      </c>
      <c r="B290" s="3" t="inlineStr">
        <is>
          <t>Wheat</t>
        </is>
      </c>
      <c r="C290" s="3" t="inlineStr">
        <is>
          <t>WHEAT</t>
        </is>
      </c>
      <c r="D290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90" s="3" t="inlineStr">
        <is>
          <t>monthly package</t>
        </is>
      </c>
      <c r="F290" s="3" t="n">
        <v>2500</v>
      </c>
      <c r="G290" s="3" t="inlineStr">
        <is>
          <t>2023-10</t>
        </is>
      </c>
      <c r="H290" s="3" t="n">
        <v>2677.5386</v>
      </c>
    </row>
    <row r="291" ht="20" customHeight="1">
      <c r="A291" s="3" t="inlineStr">
        <is>
          <t>Bread and flour-based inputs</t>
        </is>
      </c>
      <c r="B291" s="3" t="inlineStr">
        <is>
          <t>Wheat</t>
        </is>
      </c>
      <c r="C291" s="3" t="inlineStr">
        <is>
          <t>WHEAT</t>
        </is>
      </c>
      <c r="D291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91" s="3" t="inlineStr">
        <is>
          <t>monthly package</t>
        </is>
      </c>
      <c r="F291" s="3" t="n">
        <v>2500</v>
      </c>
      <c r="G291" s="3" t="inlineStr">
        <is>
          <t>2023-11</t>
        </is>
      </c>
      <c r="H291" s="3" t="n">
        <v>2532.5353</v>
      </c>
    </row>
    <row r="292" ht="20" customHeight="1">
      <c r="A292" s="3" t="inlineStr">
        <is>
          <t>Bread and flour-based inputs</t>
        </is>
      </c>
      <c r="B292" s="3" t="inlineStr">
        <is>
          <t>Wheat</t>
        </is>
      </c>
      <c r="C292" s="3" t="inlineStr">
        <is>
          <t>WHEAT</t>
        </is>
      </c>
      <c r="D292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92" s="3" t="inlineStr">
        <is>
          <t>monthly package</t>
        </is>
      </c>
      <c r="F292" s="3" t="n">
        <v>2500</v>
      </c>
      <c r="G292" s="3" t="inlineStr">
        <is>
          <t>2023-12</t>
        </is>
      </c>
      <c r="H292" s="3" t="n">
        <v>2573.5058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</cols>
  <sheetData>
    <row r="1" ht="20" customHeight="1">
      <c r="A1" s="1" t="inlineStr">
        <is>
          <t>Restaurant - Benchmarks &amp; sources</t>
        </is>
      </c>
    </row>
    <row r="2" ht="20" customHeight="1">
      <c r="A2" s="2" t="inlineStr">
        <is>
          <t>Ratios and API sources used to construct the synthetic cash-plan model.</t>
        </is>
      </c>
    </row>
    <row r="3" ht="20" customHeight="1">
      <c r="A3" s="3" t="n"/>
      <c r="B3" s="3" t="n"/>
      <c r="C3" s="3" t="n"/>
      <c r="D3" s="3" t="n"/>
    </row>
    <row r="4" ht="20" customHeight="1">
      <c r="A4" s="6" t="inlineStr">
        <is>
          <t>Item</t>
        </is>
      </c>
      <c r="B4" s="6" t="inlineStr">
        <is>
          <t>Value retained</t>
        </is>
      </c>
      <c r="C4" s="6" t="inlineStr">
        <is>
          <t>Source</t>
        </is>
      </c>
      <c r="D4" s="6" t="inlineStr">
        <is>
          <t>Comment</t>
        </is>
      </c>
    </row>
    <row r="5" ht="20" customHeight="1">
      <c r="A5" s="3" t="inlineStr">
        <is>
          <t>Annual revenue A1</t>
        </is>
      </c>
      <c r="B5" s="3" t="n">
        <v>520000</v>
      </c>
      <c r="C5" s="3" t="inlineStr">
        <is>
          <t>Generated profile</t>
        </is>
      </c>
      <c r="D5" s="3" t="inlineStr">
        <is>
          <t>Editable in Hypotheses</t>
        </is>
      </c>
    </row>
    <row r="6" ht="20" customHeight="1">
      <c r="A6" s="3" t="inlineStr">
        <is>
          <t>Archetype</t>
        </is>
      </c>
      <c r="B6" s="3" t="inlineStr">
        <is>
          <t>restaurant</t>
        </is>
      </c>
      <c r="C6" s="3" t="inlineStr">
        <is>
          <t>Local inference</t>
        </is>
      </c>
      <c r="D6" s="3" t="inlineStr">
        <is>
          <t>Selected from business description keywords</t>
        </is>
      </c>
    </row>
    <row r="7" ht="20" customHeight="1">
      <c r="A7" s="3" t="inlineStr">
        <is>
          <t>Commodity API mode</t>
        </is>
      </c>
      <c r="B7" s="3" t="inlineStr">
        <is>
          <t>online</t>
        </is>
      </c>
      <c r="C7" s="3" t="inlineStr">
        <is>
          <t>Generator flag</t>
        </is>
      </c>
      <c r="D7" s="3" t="inlineStr">
        <is>
          <t>Offline mode uses deterministic synthetic series</t>
        </is>
      </c>
    </row>
    <row r="8" ht="20" customHeight="1">
      <c r="A8" s="3" t="inlineStr">
        <is>
          <t>Commodity monthly history</t>
        </is>
      </c>
      <c r="B8" s="3" t="inlineStr">
        <is>
          <t>INSEE BDM, ENTSO-E, World Bank Pink Sheet or Alpha Vantage when enabled</t>
        </is>
      </c>
      <c r="C8" s="11" t="inlineStr">
        <is>
          <t>https://bdm.insee.fr/series/sdmx/dataflow</t>
        </is>
      </c>
      <c r="D8" s="3" t="inlineStr">
        <is>
          <t>Online mode uses curated INSEE IDBANK series first, then venue/API-specific market data and synthetic fallback only when unavailable.</t>
        </is>
      </c>
    </row>
    <row r="9" ht="20" customHeight="1">
      <c r="A9" s="3" t="inlineStr">
        <is>
          <t>French statistical series</t>
        </is>
      </c>
      <c r="B9" s="3" t="inlineStr">
        <is>
          <t>INSEE BDM API</t>
        </is>
      </c>
      <c r="C9" s="11" t="inlineStr">
        <is>
          <t>https://www.insee.fr/fr/information/2862759</t>
        </is>
      </c>
      <c r="D9" s="3" t="inlineStr">
        <is>
          <t>Official INSEE SDMX web service for time-series data. Exact series IDs can be configured later.</t>
        </is>
      </c>
    </row>
    <row r="10" ht="20" customHeight="1">
      <c r="A10" s="3" t="inlineStr">
        <is>
          <t>Business ratios</t>
        </is>
      </c>
      <c r="B10" s="3" t="inlineStr">
        <is>
          <t>Generated benchmark assumptions</t>
        </is>
      </c>
      <c r="C10" s="3" t="inlineStr">
        <is>
          <t>local archetype generator</t>
        </is>
      </c>
      <c r="D10" s="3" t="inlineStr">
        <is>
          <t>Ratios are v1 synthetic assumptions, designed to be replaced by INSEE/sector benchmark series.</t>
        </is>
      </c>
    </row>
  </sheetData>
  <mergeCells count="2">
    <mergeCell ref="A1:D1"/>
    <mergeCell ref="A2:D2"/>
  </mergeCells>
  <hyperlinks>
    <hyperlink xmlns:r="http://schemas.openxmlformats.org/officeDocument/2006/relationships" ref="C8" r:id="rId1"/>
    <hyperlink xmlns:r="http://schemas.openxmlformats.org/officeDocument/2006/relationships" ref="C9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2026-06-27T18:51:24Z</dcterms:created>
  <dcterms:modified xsi:type="dcterms:W3CDTF">2026-06-27T18:51:27Z</dcterms:modified>
</cp:coreProperties>
</file>